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Settings" sheetId="2" state="visible" r:id="rId4"/>
    <sheet name="Clients" sheetId="3" state="visible" r:id="rId5"/>
    <sheet name="Jobs" sheetId="4" state="visible" r:id="rId6"/>
    <sheet name="Invoices" sheetId="5" state="visible" r:id="rId7"/>
    <sheet name="Expenses" sheetId="6" state="visible" r:id="rId8"/>
    <sheet name="Monthly P&amp;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<sst xmlns="http://schemas.openxmlformats.org/spreadsheetml/2006/main" count="363" uniqueCount="226">
  <si>
    <t xml:space="preserve">Cleaning Business System - Start Here</t>
  </si>
  <si>
    <t xml:space="preserve">Clients, jobs, invoices, payments, expenses and a monthly profit report in one file. Type each thing once - the rest fills in for you.</t>
  </si>
  <si>
    <t xml:space="preserve">HOW THE COLORS WORK</t>
  </si>
  <si>
    <t xml:space="preserve">Teal column headers = you type here (many cells have dropdown lists).</t>
  </si>
  <si>
    <t xml:space="preserve">Dark gray headers and light gray cells = automatic. Please don't type over them.</t>
  </si>
  <si>
    <t xml:space="preserve">Yellow cells on the Settings tab = your business details and price list.</t>
  </si>
  <si>
    <t xml:space="preserve">SET UP IN 5 STEPS</t>
  </si>
  <si>
    <t xml:space="preserve">1. Settings: enter your business name, sales tax rate (0% if you don't charge tax), payment terms and P&amp;L year.</t>
  </si>
  <si>
    <t xml:space="preserve">2. Settings: list your services and your standard price for each one (room for 15).</t>
  </si>
  <si>
    <t xml:space="preserve">3. Clients: add each client once - name, address, usual service, and a custom price if they have one.</t>
  </si>
  <si>
    <t xml:space="preserve">4. Jobs: add a row for every job. Pick the date, pick the client, and set Status to Completed when it's done.</t>
  </si>
  <si>
    <t xml:space="preserve">5. Invoices: completed jobs show up as invoices. When a client pays, log it in the Payments Log on the same tab.</t>
  </si>
  <si>
    <t xml:space="preserve">    The Monthly P&amp;L tab then adds up revenue, expenses, profit and cash collected for each month.</t>
  </si>
  <si>
    <t xml:space="preserve">YOUR FIRST JOB IN 60 SECONDS</t>
  </si>
  <si>
    <t xml:space="preserve">1. Clients tab: in the first empty row type a name (for example Jane Test) and an address, then pick Standard Clean under Usual Service.</t>
  </si>
  <si>
    <t xml:space="preserve">2. Jobs tab: in the first empty row type today's date (Ctrl + ; in Excel), pick Jane Test under Client,</t>
  </si>
  <si>
    <t xml:space="preserve">    and pick Completed under Status.</t>
  </si>
  <si>
    <t xml:space="preserve">3. Look right on the same row: address, price, tax, total and invoice number are already filled in.</t>
  </si>
  <si>
    <t xml:space="preserve">4. Invoices tab: Jane Test's invoice is at the end of the list with its due date and status.</t>
  </si>
  <si>
    <t xml:space="preserve">5. Monthly P&amp;L tab: this month's revenue went up by that job (if the P&amp;L year on Settings is this year).</t>
  </si>
  <si>
    <t xml:space="preserve">    Done testing? Clear the cells you typed on Clients and Jobs and everything goes back.</t>
  </si>
  <si>
    <t xml:space="preserve">HOW TO CLEAR THE SAMPLE DATA (all formulas stay in place)</t>
  </si>
  <si>
    <t xml:space="preserve">Select each range below and press the Delete key. Use Delete only - not 'Delete Row' or 'Delete Sheet'.</t>
  </si>
  <si>
    <t xml:space="preserve">    Clients tab:   A5:H204</t>
  </si>
  <si>
    <t xml:space="preserve">    Jobs tab:   A5:H504</t>
  </si>
  <si>
    <t xml:space="preserve">    Expenses tab:   A5:F504</t>
  </si>
  <si>
    <t xml:space="preserve">    Invoices tab (Payments Log):   M5:P1004</t>
  </si>
  <si>
    <t xml:space="preserve">Quick way: click the Name Box (left of the formula bar), type the range, press Enter, then press Delete.</t>
  </si>
  <si>
    <t xml:space="preserve">Then replace the sample business details and prices on the Settings tab with your own.</t>
  </si>
  <si>
    <t xml:space="preserve">GOOD TO KNOW</t>
  </si>
  <si>
    <t xml:space="preserve">Dates: type real dates like 7/14/2026. The file refuses text that isn't a date, so due dates and days overdue always work.</t>
  </si>
  <si>
    <t xml:space="preserve">Leave Service blank on a job to use the client's usual service and custom price. Pick a different service to charge its standard price.</t>
  </si>
  <si>
    <t xml:space="preserve">Rate Override on a job beats every other price. Qty is visits or hours (blank = 1). Extras adds a flat amount, e.g. inside oven.</t>
  </si>
  <si>
    <t xml:space="preserve">Only Completed jobs become invoices and count as revenue. Scheduled and Cancelled jobs are kept for your records.</t>
  </si>
  <si>
    <t xml:space="preserve">Add new rows at the bottom of each list. Don't sort the Jobs tab or delete job rows - invoice numbers come from the job's line.</t>
  </si>
  <si>
    <t xml:space="preserve">    To drop a job, set its Status to Cancelled instead.</t>
  </si>
  <si>
    <t xml:space="preserve">Client names must be unique (the file will warn you). Avoid * and ? in client names.</t>
  </si>
  <si>
    <t xml:space="preserve">Room for 200 clients, 500 jobs, 500 expenses and 1,000 payments.</t>
  </si>
  <si>
    <t xml:space="preserve">Settings</t>
  </si>
  <si>
    <t xml:space="preserve">Yellow cells are yours to change. Everything else in the file reads from here.</t>
  </si>
  <si>
    <t xml:space="preserve">Setting</t>
  </si>
  <si>
    <t xml:space="preserve">Your value</t>
  </si>
  <si>
    <t xml:space="preserve">Service type</t>
  </si>
  <si>
    <t xml:space="preserve">Rate basis / notes</t>
  </si>
  <si>
    <t xml:space="preserve">Expense categories</t>
  </si>
  <si>
    <t xml:space="preserve">Payment methods</t>
  </si>
  <si>
    <t xml:space="preserve">Business name</t>
  </si>
  <si>
    <t xml:space="preserve">Sparkle &amp; Shine Cleaning Co.</t>
  </si>
  <si>
    <t xml:space="preserve">Standard Clean</t>
  </si>
  <si>
    <t xml:space="preserve">per visit</t>
  </si>
  <si>
    <t xml:space="preserve">Cleaning Supplies</t>
  </si>
  <si>
    <t xml:space="preserve">Cash</t>
  </si>
  <si>
    <t xml:space="preserve">Owner / contact name</t>
  </si>
  <si>
    <t xml:space="preserve">Your Name</t>
  </si>
  <si>
    <t xml:space="preserve">Deep Clean</t>
  </si>
  <si>
    <t xml:space="preserve">Equipment</t>
  </si>
  <si>
    <t xml:space="preserve">Check</t>
  </si>
  <si>
    <t xml:space="preserve">Phone</t>
  </si>
  <si>
    <t xml:space="preserve">(555) 010-2040</t>
  </si>
  <si>
    <t xml:space="preserve">Move-In / Move-Out</t>
  </si>
  <si>
    <t xml:space="preserve">Fuel &amp; Mileage</t>
  </si>
  <si>
    <t xml:space="preserve">Card</t>
  </si>
  <si>
    <t xml:space="preserve">Email</t>
  </si>
  <si>
    <t xml:space="preserve">hello@example.com</t>
  </si>
  <si>
    <t xml:space="preserve">Recurring Weekly</t>
  </si>
  <si>
    <t xml:space="preserve">Wages &amp; Contractors</t>
  </si>
  <si>
    <t xml:space="preserve">Bank Transfer</t>
  </si>
  <si>
    <t xml:space="preserve">Sales tax rate (0% if you don't charge tax)</t>
  </si>
  <si>
    <t xml:space="preserve">Recurring Every 2 Weeks</t>
  </si>
  <si>
    <t xml:space="preserve">Insurance</t>
  </si>
  <si>
    <t xml:space="preserve">Payment App</t>
  </si>
  <si>
    <t xml:space="preserve">Currency symbol (shown in headers)</t>
  </si>
  <si>
    <t xml:space="preserve">$</t>
  </si>
  <si>
    <t xml:space="preserve">Office Clean (hourly)</t>
  </si>
  <si>
    <t xml:space="preserve">per hour - enter hours in Qty</t>
  </si>
  <si>
    <t xml:space="preserve">Marketing &amp; Advertising</t>
  </si>
  <si>
    <t xml:space="preserve">Other</t>
  </si>
  <si>
    <t xml:space="preserve">Payment terms (days until an invoice is due)</t>
  </si>
  <si>
    <t xml:space="preserve">Window Cleaning</t>
  </si>
  <si>
    <t xml:space="preserve">Phone &amp; Software</t>
  </si>
  <si>
    <t xml:space="preserve">P&amp;L year</t>
  </si>
  <si>
    <t xml:space="preserve">Post-Construction</t>
  </si>
  <si>
    <t xml:space="preserve">Vehicle Maintenance</t>
  </si>
  <si>
    <t xml:space="preserve">Invoice number prefix</t>
  </si>
  <si>
    <t xml:space="preserve">INV-</t>
  </si>
  <si>
    <t xml:space="preserve">Licenses &amp; Fees</t>
  </si>
  <si>
    <t xml:space="preserve">Renaming a service? Update the jobs and clients that use the old name too.</t>
  </si>
  <si>
    <t xml:space="preserve">One row per client. Jobs, invoices and balances look up this list - enter each client only once.</t>
  </si>
  <si>
    <t xml:space="preserve">Client name</t>
  </si>
  <si>
    <t xml:space="preserve">Service address</t>
  </si>
  <si>
    <t xml:space="preserve">Usual service</t>
  </si>
  <si>
    <t xml:space="preserve">Frequency</t>
  </si>
  <si>
    <t xml:space="preserve">Notes</t>
  </si>
  <si>
    <t xml:space="preserve">Completed jobs</t>
  </si>
  <si>
    <t xml:space="preserve">Hannah Whitfield</t>
  </si>
  <si>
    <t xml:space="preserve">(555) 201-3344</t>
  </si>
  <si>
    <t xml:space="preserve">hannah.w@example.com</t>
  </si>
  <si>
    <t xml:space="preserve">412 Maple Ridge Dr, Springfield</t>
  </si>
  <si>
    <t xml:space="preserve">Every 2 weeks</t>
  </si>
  <si>
    <t xml:space="preserve">Gate code 4471. Two friendly dogs.</t>
  </si>
  <si>
    <t xml:space="preserve">Marcus &amp; Elena Ortiz</t>
  </si>
  <si>
    <t xml:space="preserve">(555) 318-7702</t>
  </si>
  <si>
    <t xml:space="preserve">ortiz.home@example.com</t>
  </si>
  <si>
    <t xml:space="preserve">88 Birchwood Ln, Springfield</t>
  </si>
  <si>
    <t xml:space="preserve">Weekly</t>
  </si>
  <si>
    <t xml:space="preserve">Loyalty price. Key in lockbox.</t>
  </si>
  <si>
    <t xml:space="preserve">Brightpath Dental Office</t>
  </si>
  <si>
    <t xml:space="preserve">(555) 440-1180</t>
  </si>
  <si>
    <t xml:space="preserve">frontdesk@example.com</t>
  </si>
  <si>
    <t xml:space="preserve">1500 Commerce Pkwy, Suite 210, Springfield</t>
  </si>
  <si>
    <t xml:space="preserve">After 6 pm only.</t>
  </si>
  <si>
    <t xml:space="preserve">Priya Raman</t>
  </si>
  <si>
    <t xml:space="preserve">(555) 562-9015</t>
  </si>
  <si>
    <t xml:space="preserve">priya.r@example.com</t>
  </si>
  <si>
    <t xml:space="preserve">27 Lakeview Ct, Riverton</t>
  </si>
  <si>
    <t xml:space="preserve">Monthly</t>
  </si>
  <si>
    <t xml:space="preserve">Fragrance-free products only.</t>
  </si>
  <si>
    <t xml:space="preserve">Tom Kessler</t>
  </si>
  <si>
    <t xml:space="preserve">(555) 673-2208</t>
  </si>
  <si>
    <t xml:space="preserve">tkessler@example.com</t>
  </si>
  <si>
    <t xml:space="preserve">9 Old Mill Rd, Riverton</t>
  </si>
  <si>
    <t xml:space="preserve">Greenleaf Property Mgmt</t>
  </si>
  <si>
    <t xml:space="preserve">(555) 784-5530</t>
  </si>
  <si>
    <t xml:space="preserve">units@example.com</t>
  </si>
  <si>
    <t xml:space="preserve">300 Harbor St, Springfield</t>
  </si>
  <si>
    <t xml:space="preserve">One-time</t>
  </si>
  <si>
    <t xml:space="preserve">Rental turnovers. Unit number goes in job notes.</t>
  </si>
  <si>
    <t xml:space="preserve">Danielle Brooks</t>
  </si>
  <si>
    <t xml:space="preserve">(555) 895-6127</t>
  </si>
  <si>
    <t xml:space="preserve">dani.brooks@example.com</t>
  </si>
  <si>
    <t xml:space="preserve">1742 Sunset Ave, Springfield</t>
  </si>
  <si>
    <t xml:space="preserve">Prefers Friday mornings.</t>
  </si>
  <si>
    <t xml:space="preserve">Riverside Yoga Studio</t>
  </si>
  <si>
    <t xml:space="preserve">(555) 906-3471</t>
  </si>
  <si>
    <t xml:space="preserve">hello.riverside@example.com</t>
  </si>
  <si>
    <t xml:space="preserve">55 River Rd, Riverton</t>
  </si>
  <si>
    <t xml:space="preserve">Mop studio floors with water only.</t>
  </si>
  <si>
    <t xml:space="preserve">Type in the teal columns (A-H). Gray columns fill in by themselves. Only Completed jobs become invoices.</t>
  </si>
  <si>
    <t xml:space="preserve">Date</t>
  </si>
  <si>
    <t xml:space="preserve">Client</t>
  </si>
  <si>
    <t xml:space="preserve">Service (blank = usual)</t>
  </si>
  <si>
    <t xml:space="preserve">Qty / hours (blank = 1)</t>
  </si>
  <si>
    <t xml:space="preserve">Status</t>
  </si>
  <si>
    <t xml:space="preserve">Address</t>
  </si>
  <si>
    <t xml:space="preserve">Service used</t>
  </si>
  <si>
    <t xml:space="preserve">Invoice #</t>
  </si>
  <si>
    <t xml:space="preserve">Payment status</t>
  </si>
  <si>
    <t xml:space="preserve">Invoice line (helper)</t>
  </si>
  <si>
    <t xml:space="preserve">Completed</t>
  </si>
  <si>
    <t xml:space="preserve">Extra: inside fridge</t>
  </si>
  <si>
    <t xml:space="preserve">Unit 4B move-out</t>
  </si>
  <si>
    <t xml:space="preserve">First visit - deep clean</t>
  </si>
  <si>
    <t xml:space="preserve">Unit 2A move-in. Extra: carpet spot treatment</t>
  </si>
  <si>
    <t xml:space="preserve">Lighter clean this month</t>
  </si>
  <si>
    <t xml:space="preserve">Cancelled</t>
  </si>
  <si>
    <t xml:space="preserve">Client rescheduled</t>
  </si>
  <si>
    <t xml:space="preserve">Unit 7C move-out</t>
  </si>
  <si>
    <t xml:space="preserve">Second-story windows</t>
  </si>
  <si>
    <t xml:space="preserve">Scheduled</t>
  </si>
  <si>
    <t xml:space="preserve">Total billed</t>
  </si>
  <si>
    <t xml:space="preserve">Collected</t>
  </si>
  <si>
    <t xml:space="preserve">Outstanding</t>
  </si>
  <si>
    <t xml:space="preserve">Overdue invoices</t>
  </si>
  <si>
    <t xml:space="preserve">Left: every Completed job becomes an invoice automatically (don't type here). Right: log each payment you receive.</t>
  </si>
  <si>
    <t xml:space="preserve">Invoice date</t>
  </si>
  <si>
    <t xml:space="preserve">Service</t>
  </si>
  <si>
    <t xml:space="preserve">Due date</t>
  </si>
  <si>
    <t xml:space="preserve">Days overdue</t>
  </si>
  <si>
    <t xml:space="preserve">Job line (helper)</t>
  </si>
  <si>
    <t xml:space="preserve">Payment date</t>
  </si>
  <si>
    <t xml:space="preserve">Paid with</t>
  </si>
  <si>
    <t xml:space="preserve">INV-0001</t>
  </si>
  <si>
    <t xml:space="preserve">INV-0002</t>
  </si>
  <si>
    <t xml:space="preserve">INV-0003</t>
  </si>
  <si>
    <t xml:space="preserve">INV-0004</t>
  </si>
  <si>
    <t xml:space="preserve">INV-0005</t>
  </si>
  <si>
    <t xml:space="preserve">INV-0006</t>
  </si>
  <si>
    <t xml:space="preserve">INV-0007</t>
  </si>
  <si>
    <t xml:space="preserve">INV-0008</t>
  </si>
  <si>
    <t xml:space="preserve">INV-0010</t>
  </si>
  <si>
    <t xml:space="preserve">INV-0011</t>
  </si>
  <si>
    <t xml:space="preserve">INV-0012</t>
  </si>
  <si>
    <t xml:space="preserve">INV-0013</t>
  </si>
  <si>
    <t xml:space="preserve">INV-0014</t>
  </si>
  <si>
    <t xml:space="preserve">INV-0015</t>
  </si>
  <si>
    <t xml:space="preserve">INV-0018</t>
  </si>
  <si>
    <t xml:space="preserve">INV-0016</t>
  </si>
  <si>
    <t xml:space="preserve">INV-0017</t>
  </si>
  <si>
    <t xml:space="preserve">INV-0020</t>
  </si>
  <si>
    <t xml:space="preserve">INV-0021</t>
  </si>
  <si>
    <t xml:space="preserve">INV-0022</t>
  </si>
  <si>
    <t xml:space="preserve">INV-0023</t>
  </si>
  <si>
    <t xml:space="preserve">INV-0024</t>
  </si>
  <si>
    <t xml:space="preserve">Total on this list</t>
  </si>
  <si>
    <t xml:space="preserve">One row per business expense. Categories come from the Settings tab.</t>
  </si>
  <si>
    <t xml:space="preserve">Category</t>
  </si>
  <si>
    <t xml:space="preserve">Description / vendor</t>
  </si>
  <si>
    <t xml:space="preserve">Bulk cleaners and microfiber cloths</t>
  </si>
  <si>
    <t xml:space="preserve">General liability - monthly</t>
  </si>
  <si>
    <t xml:space="preserve">Door hangers (500)</t>
  </si>
  <si>
    <t xml:space="preserve">Fuel - July</t>
  </si>
  <si>
    <t xml:space="preserve">HEPA canister vacuum</t>
  </si>
  <si>
    <t xml:space="preserve">Keep receipt for taxes</t>
  </si>
  <si>
    <t xml:space="preserve">Fuel - August</t>
  </si>
  <si>
    <t xml:space="preserve">Scheduling app + business phone line</t>
  </si>
  <si>
    <t xml:space="preserve">Restock - glass cleaner, mop heads</t>
  </si>
  <si>
    <t xml:space="preserve">Revenue = Completed jobs by job date (before tax). Cash collected = payments by payment date. Change the year on Settings.</t>
  </si>
  <si>
    <t xml:space="preserve">Month</t>
  </si>
  <si>
    <t xml:space="preserve">Jobs completed</t>
  </si>
  <si>
    <t xml:space="preserve">Profit margin</t>
  </si>
  <si>
    <t xml:space="preserve">Year total</t>
  </si>
  <si>
    <t xml:space="preserve">Expenses by 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</si>
  <si>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</si>
  <si>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</si>
  <si>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</si>
  <si>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</si>
  <si>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</si>
  <si>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</si>
  <si>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</si>
  <si>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</si>
  <si>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</si>
  <si>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</si>
  <si>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</si>
  <si>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</si>
  <si>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</si>
  <si>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If this total is lower than Expenses above, some expenses have a blank or unlisted category.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</si>
</sst>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#,##0.00"/>
    <numFmt numFmtId="167" formatCode="0.00%"/>
    <numFmt numFmtId="168" formatCode="0"/>
    <numFmt numFmtId="169" formatCode="#,##0.00;[RED]\-#,##0.00"/>
    <numFmt numFmtId="170" formatCode="m/d/yyyy"/>
    <numFmt numFmtId="171" formatCode="mmm\ yyyy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A"/>
      <name val="Calibri"/>
      <family val="2"/>
      <charset val="1"/>
    </font>
    <font>
      <i val="true"/>
      <sz val="10"/>
      <color rgb="FF666666"/>
      <name val="Calibri"/>
      <family val="2"/>
      <charset val="1"/>
    </font>
    <font>
      <b val="true"/>
      <sz val="12"/>
      <color rgb="FF1F6F78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  <fill>
      <patternFill patternType="solid">
        <fgColor rgb="FFFFF6D5"/>
        <bgColor rgb="FFFFF3CD"/>
      </patternFill>
    </fill>
    <fill>
      <patternFill patternType="solid">
        <fgColor rgb="FF5F6B6D"/>
        <bgColor rgb="FF666666"/>
      </patternFill>
    </fill>
    <fill>
      <patternFill patternType="solid">
        <fgColor rgb="FFF2F4F4"/>
        <bgColor rgb="FFE3F4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9"/>
      </left>
      <right style="thin">
        <color rgb="FFD0D7D9"/>
      </right>
      <top style="thin">
        <color rgb="FFD0D7D9"/>
      </top>
      <bottom style="thin">
        <color rgb="FFD0D7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B00020"/>
      </font>
      <fill>
        <patternFill>
          <bgColor rgb="FFFDE2E2"/>
        </patternFill>
      </fill>
    </dxf>
    <dxf>
      <font>
        <color rgb="FF2E7D32"/>
      </font>
      <fill>
        <patternFill>
          <bgColor rgb="FFE3F4E5"/>
        </patternFill>
      </fill>
    </dxf>
    <dxf>
      <font>
        <color rgb="FF9A6700"/>
      </font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9A6700"/>
      <rgbColor rgb="FF800080"/>
      <rgbColor rgb="FF1F6F78"/>
      <rgbColor rgb="FFC0C0C0"/>
      <rgbColor rgb="FF666666"/>
      <rgbColor rgb="FF9999FF"/>
      <rgbColor rgb="FF8E44AD"/>
      <rgbColor rgb="FFFFF6D5"/>
      <rgbColor rgb="FFF2F4F4"/>
      <rgbColor rgb="FF660066"/>
      <rgbColor rgb="FFFF8080"/>
      <rgbColor rgb="FF0066CC"/>
      <rgbColor rgb="FFD0D7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4E5"/>
      <rgbColor rgb="FFFFF3CD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B8860B"/>
      <rgbColor rgb="FFFF6600"/>
      <rgbColor rgb="FF5F6B6D"/>
      <rgbColor rgb="FF969696"/>
      <rgbColor rgb="FF003366"/>
      <rgbColor rgb="FF2E7D32"/>
      <rgbColor rgb="FF003300"/>
      <rgbColor rgb="FF333300"/>
      <rgbColor rgb="FFC0392B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B1:B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8"/>
  </cols>
  <sheetData>
    <row r="1" customFormat="false" ht="24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4" t="s">
        <v>12</v>
      </c>
    </row>
    <row r="17" customFormat="false" ht="1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 t="s">
        <v>16</v>
      </c>
    </row>
    <row r="21" customFormat="false" ht="15" hidden="false" customHeight="false" outlineLevel="0" collapsed="false">
      <c r="B21" s="4" t="s">
        <v>17</v>
      </c>
    </row>
    <row r="22" customFormat="false" ht="15" hidden="false" customHeight="false" outlineLevel="0" collapsed="false">
      <c r="B22" s="4" t="s">
        <v>18</v>
      </c>
    </row>
    <row r="23" customFormat="false" ht="15" hidden="false" customHeight="false" outlineLevel="0" collapsed="false">
      <c r="B23" s="4" t="s">
        <v>19</v>
      </c>
    </row>
    <row r="24" customFormat="false" ht="15" hidden="false" customHeight="false" outlineLevel="0" collapsed="false">
      <c r="B24" s="4" t="s">
        <v>20</v>
      </c>
    </row>
    <row r="26" customFormat="false" ht="15" hidden="false" customHeight="false" outlineLevel="0" collapsed="false">
      <c r="B26" s="3" t="s">
        <v>21</v>
      </c>
    </row>
    <row r="27" customFormat="false" ht="15" hidden="false" customHeight="false" outlineLevel="0" collapsed="false">
      <c r="B27" s="4" t="s">
        <v>22</v>
      </c>
    </row>
    <row r="28" customFormat="false" ht="15" hidden="false" customHeight="false" outlineLevel="0" collapsed="false">
      <c r="B28" s="4" t="s">
        <v>23</v>
      </c>
    </row>
    <row r="29" customFormat="false" ht="15" hidden="false" customHeight="false" outlineLevel="0" collapsed="false">
      <c r="B29" s="4" t="s">
        <v>24</v>
      </c>
    </row>
    <row r="30" customFormat="false" ht="15" hidden="false" customHeight="false" outlineLevel="0" collapsed="false">
      <c r="B30" s="4" t="s">
        <v>25</v>
      </c>
    </row>
    <row r="31" customFormat="false" ht="15" hidden="false" customHeight="false" outlineLevel="0" collapsed="false">
      <c r="B31" s="4" t="s">
        <v>26</v>
      </c>
    </row>
    <row r="32" customFormat="false" ht="15" hidden="false" customHeight="false" outlineLevel="0" collapsed="false">
      <c r="B32" s="4" t="s">
        <v>27</v>
      </c>
    </row>
    <row r="33" customFormat="false" ht="15" hidden="false" customHeight="false" outlineLevel="0" collapsed="false">
      <c r="B33" s="4" t="s">
        <v>28</v>
      </c>
    </row>
    <row r="35" customFormat="false" ht="15" hidden="false" customHeight="false" outlineLevel="0" collapsed="false">
      <c r="B35" s="3" t="s">
        <v>29</v>
      </c>
    </row>
    <row r="36" customFormat="false" ht="15" hidden="false" customHeight="false" outlineLevel="0" collapsed="false">
      <c r="B36" s="4" t="s">
        <v>30</v>
      </c>
    </row>
    <row r="37" customFormat="false" ht="15" hidden="false" customHeight="false" outlineLevel="0" collapsed="false">
      <c r="B37" s="4" t="s">
        <v>31</v>
      </c>
    </row>
    <row r="38" customFormat="false" ht="15" hidden="false" customHeight="false" outlineLevel="0" collapsed="false">
      <c r="B38" s="4" t="s">
        <v>32</v>
      </c>
    </row>
    <row r="39" customFormat="false" ht="15" hidden="false" customHeight="false" outlineLevel="0" collapsed="false">
      <c r="B39" s="4" t="s">
        <v>33</v>
      </c>
    </row>
    <row r="40" customFormat="false" ht="15" hidden="false" customHeight="false" outlineLevel="0" collapsed="false">
      <c r="B40" s="4" t="s">
        <v>34</v>
      </c>
    </row>
    <row r="41" customFormat="false" ht="15" hidden="false" customHeight="false" outlineLevel="0" collapsed="false">
      <c r="B41" s="4" t="s">
        <v>35</v>
      </c>
    </row>
    <row r="42" customFormat="false" ht="15" hidden="false" customHeight="false" outlineLevel="0" collapsed="false">
      <c r="B42" s="4" t="s">
        <v>36</v>
      </c>
    </row>
    <row r="43" customFormat="false" ht="15" hidden="false" customHeight="false" outlineLevel="0" collapsed="false">
      <c r="B43" s="4" t="s">
        <v>37</v>
      </c>
    </row>
  </sheetData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3"/>
    <col collapsed="false" customWidth="true" hidden="false" outlineLevel="0" max="4" min="4" style="0" width="28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3"/>
    <col collapsed="false" customWidth="true" hidden="false" outlineLevel="0" max="10" min="10" style="0" width="20"/>
  </cols>
  <sheetData>
    <row r="1" customFormat="false" ht="19.7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32" hidden="false" customHeight="true" outlineLevel="0" collapsed="false">
      <c r="A4" s="5" t="s">
        <v>40</v>
      </c>
      <c r="B4" s="5" t="s">
        <v>41</v>
      </c>
      <c r="D4" s="5" t="s">
        <v>42</v>
      </c>
      <c r="E4" s="5" t="str">
        <f aca="false">"Standard rate ("&amp;Settings!$B$10&amp;")"</f>
        <v>Standard rate ($)</v>
      </c>
      <c r="F4" s="5" t="s">
        <v>43</v>
      </c>
      <c r="H4" s="5" t="s">
        <v>44</v>
      </c>
      <c r="J4" s="5" t="s">
        <v>45</v>
      </c>
    </row>
    <row r="5" customFormat="false" ht="15" hidden="false" customHeight="false" outlineLevel="0" collapsed="false">
      <c r="A5" s="6" t="s">
        <v>46</v>
      </c>
      <c r="B5" s="7" t="s">
        <v>47</v>
      </c>
      <c r="D5" s="7" t="s">
        <v>48</v>
      </c>
      <c r="E5" s="8" t="n">
        <v>120</v>
      </c>
      <c r="F5" s="7" t="s">
        <v>49</v>
      </c>
      <c r="H5" s="7" t="s">
        <v>50</v>
      </c>
      <c r="J5" s="7" t="s">
        <v>51</v>
      </c>
    </row>
    <row r="6" customFormat="false" ht="15" hidden="false" customHeight="false" outlineLevel="0" collapsed="false">
      <c r="A6" s="6" t="s">
        <v>52</v>
      </c>
      <c r="B6" s="7" t="s">
        <v>53</v>
      </c>
      <c r="D6" s="7" t="s">
        <v>54</v>
      </c>
      <c r="E6" s="8" t="n">
        <v>220</v>
      </c>
      <c r="F6" s="7" t="s">
        <v>49</v>
      </c>
      <c r="H6" s="7" t="s">
        <v>55</v>
      </c>
      <c r="J6" s="7" t="s">
        <v>56</v>
      </c>
    </row>
    <row r="7" customFormat="false" ht="15" hidden="false" customHeight="false" outlineLevel="0" collapsed="false">
      <c r="A7" s="6" t="s">
        <v>57</v>
      </c>
      <c r="B7" s="7" t="s">
        <v>58</v>
      </c>
      <c r="D7" s="7" t="s">
        <v>59</v>
      </c>
      <c r="E7" s="8" t="n">
        <v>320</v>
      </c>
      <c r="F7" s="7" t="s">
        <v>49</v>
      </c>
      <c r="H7" s="7" t="s">
        <v>60</v>
      </c>
      <c r="J7" s="7" t="s">
        <v>61</v>
      </c>
    </row>
    <row r="8" customFormat="false" ht="15" hidden="false" customHeight="false" outlineLevel="0" collapsed="false">
      <c r="A8" s="6" t="s">
        <v>62</v>
      </c>
      <c r="B8" s="7" t="s">
        <v>63</v>
      </c>
      <c r="D8" s="7" t="s">
        <v>64</v>
      </c>
      <c r="E8" s="8" t="n">
        <v>95</v>
      </c>
      <c r="F8" s="7" t="s">
        <v>49</v>
      </c>
      <c r="H8" s="7" t="s">
        <v>65</v>
      </c>
      <c r="J8" s="7" t="s">
        <v>66</v>
      </c>
    </row>
    <row r="9" customFormat="false" ht="15" hidden="false" customHeight="false" outlineLevel="0" collapsed="false">
      <c r="A9" s="6" t="s">
        <v>67</v>
      </c>
      <c r="B9" s="9" t="n">
        <v>0.06</v>
      </c>
      <c r="D9" s="7" t="s">
        <v>68</v>
      </c>
      <c r="E9" s="8" t="n">
        <v>110</v>
      </c>
      <c r="F9" s="7" t="s">
        <v>49</v>
      </c>
      <c r="H9" s="7" t="s">
        <v>69</v>
      </c>
      <c r="J9" s="7" t="s">
        <v>70</v>
      </c>
    </row>
    <row r="10" customFormat="false" ht="15" hidden="false" customHeight="false" outlineLevel="0" collapsed="false">
      <c r="A10" s="6" t="s">
        <v>71</v>
      </c>
      <c r="B10" s="7" t="s">
        <v>72</v>
      </c>
      <c r="D10" s="7" t="s">
        <v>73</v>
      </c>
      <c r="E10" s="8" t="n">
        <v>45</v>
      </c>
      <c r="F10" s="7" t="s">
        <v>74</v>
      </c>
      <c r="H10" s="7" t="s">
        <v>75</v>
      </c>
      <c r="J10" s="7" t="s">
        <v>76</v>
      </c>
    </row>
    <row r="11" customFormat="false" ht="15" hidden="false" customHeight="false" outlineLevel="0" collapsed="false">
      <c r="A11" s="6" t="s">
        <v>77</v>
      </c>
      <c r="B11" s="10" t="n">
        <v>14</v>
      </c>
      <c r="D11" s="7" t="s">
        <v>78</v>
      </c>
      <c r="E11" s="8" t="n">
        <v>85</v>
      </c>
      <c r="F11" s="7" t="s">
        <v>49</v>
      </c>
      <c r="H11" s="7" t="s">
        <v>79</v>
      </c>
      <c r="J11" s="7"/>
    </row>
    <row r="12" customFormat="false" ht="15" hidden="false" customHeight="false" outlineLevel="0" collapsed="false">
      <c r="A12" s="6" t="s">
        <v>80</v>
      </c>
      <c r="B12" s="10" t="n">
        <v>2026</v>
      </c>
      <c r="D12" s="7" t="s">
        <v>81</v>
      </c>
      <c r="E12" s="8" t="n">
        <v>400</v>
      </c>
      <c r="F12" s="7" t="s">
        <v>49</v>
      </c>
      <c r="H12" s="7" t="s">
        <v>82</v>
      </c>
      <c r="J12" s="7"/>
    </row>
    <row r="13" customFormat="false" ht="15" hidden="false" customHeight="false" outlineLevel="0" collapsed="false">
      <c r="A13" s="6" t="s">
        <v>83</v>
      </c>
      <c r="B13" s="7" t="s">
        <v>84</v>
      </c>
      <c r="D13" s="7"/>
      <c r="E13" s="8"/>
      <c r="F13" s="7"/>
      <c r="H13" s="7" t="s">
        <v>85</v>
      </c>
    </row>
    <row r="14" customFormat="false" ht="15" hidden="false" customHeight="false" outlineLevel="0" collapsed="false">
      <c r="D14" s="7"/>
      <c r="E14" s="8"/>
      <c r="F14" s="7"/>
      <c r="H14" s="7" t="s">
        <v>76</v>
      </c>
    </row>
    <row r="15" customFormat="false" ht="15" hidden="false" customHeight="false" outlineLevel="0" collapsed="false">
      <c r="D15" s="7"/>
      <c r="E15" s="8"/>
      <c r="F15" s="7"/>
      <c r="H15" s="7"/>
    </row>
    <row r="16" customFormat="false" ht="15" hidden="false" customHeight="false" outlineLevel="0" collapsed="false">
      <c r="D16" s="7"/>
      <c r="E16" s="8"/>
      <c r="F16" s="7"/>
      <c r="H16" s="7"/>
    </row>
    <row r="17" customFormat="false" ht="15" hidden="false" customHeight="false" outlineLevel="0" collapsed="false">
      <c r="D17" s="7"/>
      <c r="E17" s="8"/>
      <c r="F17" s="7"/>
      <c r="H17" s="7"/>
    </row>
    <row r="18" customFormat="false" ht="15" hidden="false" customHeight="false" outlineLevel="0" collapsed="false">
      <c r="D18" s="7"/>
      <c r="E18" s="8"/>
      <c r="F18" s="7"/>
      <c r="H18" s="7"/>
    </row>
    <row r="19" customFormat="false" ht="15" hidden="false" customHeight="false" outlineLevel="0" collapsed="false">
      <c r="D19" s="7"/>
      <c r="E19" s="8"/>
      <c r="F19" s="7"/>
      <c r="H19" s="7"/>
    </row>
    <row r="21" customFormat="false" ht="15" hidden="false" customHeight="false" outlineLevel="0" collapsed="false">
      <c r="D21" s="2" t="s">
        <v>86</v>
      </c>
    </row>
  </sheetData>
  <dataValidations count="4">
    <dataValidation allowBlank="true" error="Enter a percent between 0% and 100%." errorStyle="stop" errorTitle="Check this entry" operator="between" prompt="Type a percent, e.g. 6%. Use 0% if you don't charge tax." promptTitle="Tip" showDropDown="false" showErrorMessage="true" showInputMessage="true" sqref="B9" type="decimal">
      <formula1>0</formula1>
      <formula2>1</formula2>
    </dataValidation>
    <dataValidation allowBlank="true" error="Enter whole days between 0 and 365." errorStyle="stop" errorTitle="Check this entry" operator="between" prompt="Days a client has to pay, e.g. 14." promptTitle="Tip" showDropDown="false" showErrorMessage="true" showInputMessage="true" sqref="B11" type="whole">
      <formula1>0</formula1>
      <formula2>365</formula2>
    </dataValidation>
    <dataValidation allowBlank="true" error="Enter a 4-digit year, e.g. 2026." errorStyle="stop" errorTitle="Check this entry" operator="between" prompt="Year shown on the Monthly P&amp;L tab." promptTitle="Tip" showDropDown="false" showErrorMessage="true" showInputMessage="true" sqref="B12" type="whole">
      <formula1>2000</formula1>
      <formula2>2099</formula2>
    </dataValidation>
    <dataValidation allowBlank="true" error="Enter a number of 0 or more (no currency symbols or text)." errorStyle="stop" errorTitle="Check this entry" operator="greaterThanOrEqual" showDropDown="false" showErrorMessage="true" showInputMessage="true" sqref="E5:E19" type="decimal">
      <formula1>0</formula1>
      <formula2>0</formula2>
    </dataValidation>
  </dataValidation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false"/>
  </sheetPr>
  <dimension ref="A1:K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36"/>
    <col collapsed="false" customWidth="true" hidden="false" outlineLevel="0" max="9" min="9" style="0" width="11"/>
    <col collapsed="false" customWidth="true" hidden="false" outlineLevel="0" max="11" min="10" style="0" width="14"/>
  </cols>
  <sheetData>
    <row r="1" customFormat="false" ht="19.7" hidden="false" customHeight="false" outlineLevel="0" collapsed="false">
      <c r="A1" s="1" t="str">
        <f aca="false">Settings!$B$5&amp;" - Clients"</f>
        <v>Sparkle &amp; Shine Cleaning Co. - Clients</v>
      </c>
    </row>
    <row r="2" customFormat="false" ht="15" hidden="false" customHeight="false" outlineLevel="0" collapsed="false">
      <c r="A2" s="2" t="s">
        <v>87</v>
      </c>
    </row>
    <row r="4" customFormat="false" ht="32" hidden="false" customHeight="true" outlineLevel="0" collapsed="false">
      <c r="A4" s="5" t="s">
        <v>88</v>
      </c>
      <c r="B4" s="5" t="s">
        <v>57</v>
      </c>
      <c r="C4" s="5" t="s">
        <v>62</v>
      </c>
      <c r="D4" s="5" t="s">
        <v>89</v>
      </c>
      <c r="E4" s="5" t="s">
        <v>90</v>
      </c>
      <c r="F4" s="5" t="str">
        <f aca="false">"Custom rate (optional) ("&amp;Settings!$B$10&amp;")"</f>
        <v>Custom rate (optional) ($)</v>
      </c>
      <c r="G4" s="5" t="s">
        <v>91</v>
      </c>
      <c r="H4" s="5" t="s">
        <v>92</v>
      </c>
      <c r="I4" s="11" t="s">
        <v>93</v>
      </c>
      <c r="J4" s="11" t="str">
        <f aca="false">"Total billed ("&amp;Settings!$B$10&amp;")"</f>
        <v>Total billed ($)</v>
      </c>
      <c r="K4" s="11" t="str">
        <f aca="false">"Balance owed ("&amp;Settings!$B$10&amp;")"</f>
        <v>Balance owed ($)</v>
      </c>
    </row>
    <row r="5" customFormat="false" ht="15" hidden="false" customHeight="false" outlineLevel="0" collapsed="false">
      <c r="A5" s="12" t="s">
        <v>94</v>
      </c>
      <c r="B5" s="12" t="s">
        <v>95</v>
      </c>
      <c r="C5" s="12" t="s">
        <v>96</v>
      </c>
      <c r="D5" s="12" t="s">
        <v>97</v>
      </c>
      <c r="E5" s="12" t="s">
        <v>68</v>
      </c>
      <c r="F5" s="13"/>
      <c r="G5" s="12" t="s">
        <v>98</v>
      </c>
      <c r="H5" s="12" t="s">
        <v>99</v>
      </c>
      <c r="I5" s="14" t="n">
        <f aca="false">IF($A5="","",COUNTIFS(Jobs!$B$5:$B$504,$A5,Jobs!$G$5:$G$504,"Completed"))</f>
        <v>5</v>
      </c>
      <c r="J5" s="15" t="n">
        <f aca="false">IF($A5="","",SUMIFS(Invoices!$E$5:$E$504,Invoices!$C$5:$C$504,$A5))</f>
        <v>583</v>
      </c>
      <c r="K5" s="15" t="n">
        <f aca="false">IF($A5="","",SUMIFS(Invoices!$G$5:$G$504,Invoices!$C$5:$C$504,$A5))</f>
        <v>116.6</v>
      </c>
    </row>
    <row r="6" customFormat="false" ht="15" hidden="false" customHeight="false" outlineLevel="0" collapsed="false">
      <c r="A6" s="12" t="s">
        <v>100</v>
      </c>
      <c r="B6" s="12" t="s">
        <v>101</v>
      </c>
      <c r="C6" s="12" t="s">
        <v>102</v>
      </c>
      <c r="D6" s="12" t="s">
        <v>103</v>
      </c>
      <c r="E6" s="12" t="s">
        <v>64</v>
      </c>
      <c r="F6" s="13" t="n">
        <v>90</v>
      </c>
      <c r="G6" s="12" t="s">
        <v>104</v>
      </c>
      <c r="H6" s="12" t="s">
        <v>105</v>
      </c>
      <c r="I6" s="14" t="n">
        <f aca="false">IF($A6="","",COUNTIFS(Jobs!$B$5:$B$504,$A6,Jobs!$G$5:$G$504,"Completed"))</f>
        <v>5</v>
      </c>
      <c r="J6" s="15" t="n">
        <f aca="false">IF($A6="","",SUMIFS(Invoices!$E$5:$E$504,Invoices!$C$5:$C$504,$A6))</f>
        <v>477</v>
      </c>
      <c r="K6" s="15" t="n">
        <f aca="false">IF($A6="","",SUMIFS(Invoices!$G$5:$G$504,Invoices!$C$5:$C$504,$A6))</f>
        <v>0</v>
      </c>
    </row>
    <row r="7" customFormat="false" ht="15" hidden="false" customHeight="false" outlineLevel="0" collapsed="false">
      <c r="A7" s="12" t="s">
        <v>106</v>
      </c>
      <c r="B7" s="12" t="s">
        <v>107</v>
      </c>
      <c r="C7" s="12" t="s">
        <v>108</v>
      </c>
      <c r="D7" s="12" t="s">
        <v>109</v>
      </c>
      <c r="E7" s="12" t="s">
        <v>73</v>
      </c>
      <c r="F7" s="13"/>
      <c r="G7" s="12" t="s">
        <v>104</v>
      </c>
      <c r="H7" s="12" t="s">
        <v>110</v>
      </c>
      <c r="I7" s="14" t="n">
        <f aca="false">IF($A7="","",COUNTIFS(Jobs!$B$5:$B$504,$A7,Jobs!$G$5:$G$504,"Completed"))</f>
        <v>4</v>
      </c>
      <c r="J7" s="15" t="n">
        <f aca="false">IF($A7="","",SUMIFS(Invoices!$E$5:$E$504,Invoices!$C$5:$C$504,$A7))</f>
        <v>596.25</v>
      </c>
      <c r="K7" s="15" t="n">
        <f aca="false">IF($A7="","",SUMIFS(Invoices!$G$5:$G$504,Invoices!$C$5:$C$504,$A7))</f>
        <v>0</v>
      </c>
    </row>
    <row r="8" customFormat="false" ht="15" hidden="false" customHeight="false" outlineLevel="0" collapsed="false">
      <c r="A8" s="12" t="s">
        <v>111</v>
      </c>
      <c r="B8" s="12" t="s">
        <v>112</v>
      </c>
      <c r="C8" s="12" t="s">
        <v>113</v>
      </c>
      <c r="D8" s="12" t="s">
        <v>114</v>
      </c>
      <c r="E8" s="12" t="s">
        <v>54</v>
      </c>
      <c r="F8" s="13"/>
      <c r="G8" s="12" t="s">
        <v>115</v>
      </c>
      <c r="H8" s="12" t="s">
        <v>116</v>
      </c>
      <c r="I8" s="14" t="n">
        <f aca="false">IF($A8="","",COUNTIFS(Jobs!$B$5:$B$504,$A8,Jobs!$G$5:$G$504,"Completed"))</f>
        <v>3</v>
      </c>
      <c r="J8" s="15" t="n">
        <f aca="false">IF($A8="","",SUMIFS(Invoices!$E$5:$E$504,Invoices!$C$5:$C$504,$A8))</f>
        <v>620.1</v>
      </c>
      <c r="K8" s="15" t="n">
        <f aca="false">IF($A8="","",SUMIFS(Invoices!$G$5:$G$504,Invoices!$C$5:$C$504,$A8))</f>
        <v>233.2</v>
      </c>
    </row>
    <row r="9" customFormat="false" ht="15" hidden="false" customHeight="false" outlineLevel="0" collapsed="false">
      <c r="A9" s="12" t="s">
        <v>117</v>
      </c>
      <c r="B9" s="12" t="s">
        <v>118</v>
      </c>
      <c r="C9" s="12" t="s">
        <v>119</v>
      </c>
      <c r="D9" s="12" t="s">
        <v>120</v>
      </c>
      <c r="E9" s="12" t="s">
        <v>48</v>
      </c>
      <c r="F9" s="13"/>
      <c r="G9" s="12" t="s">
        <v>115</v>
      </c>
      <c r="H9" s="12"/>
      <c r="I9" s="14" t="n">
        <f aca="false">IF($A9="","",COUNTIFS(Jobs!$B$5:$B$504,$A9,Jobs!$G$5:$G$504,"Completed"))</f>
        <v>2</v>
      </c>
      <c r="J9" s="15" t="n">
        <f aca="false">IF($A9="","",SUMIFS(Invoices!$E$5:$E$504,Invoices!$C$5:$C$504,$A9))</f>
        <v>227.9</v>
      </c>
      <c r="K9" s="15" t="n">
        <f aca="false">IF($A9="","",SUMIFS(Invoices!$G$5:$G$504,Invoices!$C$5:$C$504,$A9))</f>
        <v>227.9</v>
      </c>
    </row>
    <row r="10" customFormat="false" ht="15" hidden="false" customHeight="false" outlineLevel="0" collapsed="false">
      <c r="A10" s="12" t="s">
        <v>121</v>
      </c>
      <c r="B10" s="12" t="s">
        <v>122</v>
      </c>
      <c r="C10" s="12" t="s">
        <v>123</v>
      </c>
      <c r="D10" s="12" t="s">
        <v>124</v>
      </c>
      <c r="E10" s="12" t="s">
        <v>59</v>
      </c>
      <c r="F10" s="13" t="n">
        <v>300</v>
      </c>
      <c r="G10" s="12" t="s">
        <v>125</v>
      </c>
      <c r="H10" s="12" t="s">
        <v>126</v>
      </c>
      <c r="I10" s="14" t="n">
        <f aca="false">IF($A10="","",COUNTIFS(Jobs!$B$5:$B$504,$A10,Jobs!$G$5:$G$504,"Completed"))</f>
        <v>3</v>
      </c>
      <c r="J10" s="15" t="n">
        <f aca="false">IF($A10="","",SUMIFS(Invoices!$E$5:$E$504,Invoices!$C$5:$C$504,$A10))</f>
        <v>996.4</v>
      </c>
      <c r="K10" s="15" t="n">
        <f aca="false">IF($A10="","",SUMIFS(Invoices!$G$5:$G$504,Invoices!$C$5:$C$504,$A10))</f>
        <v>478.4</v>
      </c>
    </row>
    <row r="11" customFormat="false" ht="15" hidden="false" customHeight="false" outlineLevel="0" collapsed="false">
      <c r="A11" s="12" t="s">
        <v>127</v>
      </c>
      <c r="B11" s="12" t="s">
        <v>128</v>
      </c>
      <c r="C11" s="12" t="s">
        <v>129</v>
      </c>
      <c r="D11" s="12" t="s">
        <v>130</v>
      </c>
      <c r="E11" s="12" t="s">
        <v>48</v>
      </c>
      <c r="F11" s="13"/>
      <c r="G11" s="12" t="s">
        <v>98</v>
      </c>
      <c r="H11" s="12" t="s">
        <v>131</v>
      </c>
      <c r="I11" s="14" t="n">
        <f aca="false">IF($A11="","",COUNTIFS(Jobs!$B$5:$B$504,$A11,Jobs!$G$5:$G$504,"Completed"))</f>
        <v>2</v>
      </c>
      <c r="J11" s="15" t="n">
        <f aca="false">IF($A11="","",SUMIFS(Invoices!$E$5:$E$504,Invoices!$C$5:$C$504,$A11))</f>
        <v>360.4</v>
      </c>
      <c r="K11" s="15" t="n">
        <f aca="false">IF($A11="","",SUMIFS(Invoices!$G$5:$G$504,Invoices!$C$5:$C$504,$A11))</f>
        <v>0</v>
      </c>
    </row>
    <row r="12" customFormat="false" ht="15" hidden="false" customHeight="false" outlineLevel="0" collapsed="false">
      <c r="A12" s="12" t="s">
        <v>132</v>
      </c>
      <c r="B12" s="12" t="s">
        <v>133</v>
      </c>
      <c r="C12" s="12" t="s">
        <v>134</v>
      </c>
      <c r="D12" s="12" t="s">
        <v>135</v>
      </c>
      <c r="E12" s="12" t="s">
        <v>73</v>
      </c>
      <c r="F12" s="13" t="n">
        <v>40</v>
      </c>
      <c r="G12" s="12" t="s">
        <v>104</v>
      </c>
      <c r="H12" s="12" t="s">
        <v>136</v>
      </c>
      <c r="I12" s="14" t="n">
        <f aca="false">IF($A12="","",COUNTIFS(Jobs!$B$5:$B$504,$A12,Jobs!$G$5:$G$504,"Completed"))</f>
        <v>3</v>
      </c>
      <c r="J12" s="15" t="n">
        <f aca="false">IF($A12="","",SUMIFS(Invoices!$E$5:$E$504,Invoices!$C$5:$C$504,$A12))</f>
        <v>318</v>
      </c>
      <c r="K12" s="15" t="n">
        <f aca="false">IF($A12="","",SUMIFS(Invoices!$G$5:$G$504,Invoices!$C$5:$C$504,$A12))</f>
        <v>0</v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3"/>
      <c r="G13" s="12"/>
      <c r="H13" s="12"/>
      <c r="I13" s="14" t="str">
        <f aca="false">IF($A13="","",COUNTIFS(Jobs!$B$5:$B$504,$A13,Jobs!$G$5:$G$504,"Completed"))</f>
        <v/>
      </c>
      <c r="J13" s="15" t="str">
        <f aca="false">IF($A13="","",SUMIFS(Invoices!$E$5:$E$504,Invoices!$C$5:$C$504,$A13))</f>
        <v/>
      </c>
      <c r="K13" s="15" t="str">
        <f aca="false">IF($A13="","",SUMIFS(Invoices!$G$5:$G$504,Invoices!$C$5:$C$504,$A13))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3"/>
      <c r="G14" s="12"/>
      <c r="H14" s="12"/>
      <c r="I14" s="14" t="str">
        <f aca="false">IF($A14="","",COUNTIFS(Jobs!$B$5:$B$504,$A14,Jobs!$G$5:$G$504,"Completed"))</f>
        <v/>
      </c>
      <c r="J14" s="15" t="str">
        <f aca="false">IF($A14="","",SUMIFS(Invoices!$E$5:$E$504,Invoices!$C$5:$C$504,$A14))</f>
        <v/>
      </c>
      <c r="K14" s="15" t="str">
        <f aca="false">IF($A14="","",SUMIFS(Invoices!$G$5:$G$504,Invoices!$C$5:$C$504,$A14))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3"/>
      <c r="G15" s="12"/>
      <c r="H15" s="12"/>
      <c r="I15" s="14" t="str">
        <f aca="false">IF($A15="","",COUNTIFS(Jobs!$B$5:$B$504,$A15,Jobs!$G$5:$G$504,"Completed"))</f>
        <v/>
      </c>
      <c r="J15" s="15" t="str">
        <f aca="false">IF($A15="","",SUMIFS(Invoices!$E$5:$E$504,Invoices!$C$5:$C$504,$A15))</f>
        <v/>
      </c>
      <c r="K15" s="15" t="str">
        <f aca="false">IF($A15="","",SUMIFS(Invoices!$G$5:$G$504,Invoices!$C$5:$C$504,$A15))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3"/>
      <c r="G16" s="12"/>
      <c r="H16" s="12"/>
      <c r="I16" s="14" t="str">
        <f aca="false">IF($A16="","",COUNTIFS(Jobs!$B$5:$B$504,$A16,Jobs!$G$5:$G$504,"Completed"))</f>
        <v/>
      </c>
      <c r="J16" s="15" t="str">
        <f aca="false">IF($A16="","",SUMIFS(Invoices!$E$5:$E$504,Invoices!$C$5:$C$504,$A16))</f>
        <v/>
      </c>
      <c r="K16" s="15" t="str">
        <f aca="false">IF($A16="","",SUMIFS(Invoices!$G$5:$G$504,Invoices!$C$5:$C$504,$A16))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3"/>
      <c r="G17" s="12"/>
      <c r="H17" s="12"/>
      <c r="I17" s="14" t="str">
        <f aca="false">IF($A17="","",COUNTIFS(Jobs!$B$5:$B$504,$A17,Jobs!$G$5:$G$504,"Completed"))</f>
        <v/>
      </c>
      <c r="J17" s="15" t="str">
        <f aca="false">IF($A17="","",SUMIFS(Invoices!$E$5:$E$504,Invoices!$C$5:$C$504,$A17))</f>
        <v/>
      </c>
      <c r="K17" s="15" t="str">
        <f aca="false">IF($A17="","",SUMIFS(Invoices!$G$5:$G$504,Invoices!$C$5:$C$504,$A17))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3"/>
      <c r="G18" s="12"/>
      <c r="H18" s="12"/>
      <c r="I18" s="14" t="str">
        <f aca="false">IF($A18="","",COUNTIFS(Jobs!$B$5:$B$504,$A18,Jobs!$G$5:$G$504,"Completed"))</f>
        <v/>
      </c>
      <c r="J18" s="15" t="str">
        <f aca="false">IF($A18="","",SUMIFS(Invoices!$E$5:$E$504,Invoices!$C$5:$C$504,$A18))</f>
        <v/>
      </c>
      <c r="K18" s="15" t="str">
        <f aca="false">IF($A18="","",SUMIFS(Invoices!$G$5:$G$504,Invoices!$C$5:$C$504,$A18))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3"/>
      <c r="G19" s="12"/>
      <c r="H19" s="12"/>
      <c r="I19" s="14" t="str">
        <f aca="false">IF($A19="","",COUNTIFS(Jobs!$B$5:$B$504,$A19,Jobs!$G$5:$G$504,"Completed"))</f>
        <v/>
      </c>
      <c r="J19" s="15" t="str">
        <f aca="false">IF($A19="","",SUMIFS(Invoices!$E$5:$E$504,Invoices!$C$5:$C$504,$A19))</f>
        <v/>
      </c>
      <c r="K19" s="15" t="str">
        <f aca="false">IF($A19="","",SUMIFS(Invoices!$G$5:$G$504,Invoices!$C$5:$C$504,$A19))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3"/>
      <c r="G20" s="12"/>
      <c r="H20" s="12"/>
      <c r="I20" s="14" t="str">
        <f aca="false">IF($A20="","",COUNTIFS(Jobs!$B$5:$B$504,$A20,Jobs!$G$5:$G$504,"Completed"))</f>
        <v/>
      </c>
      <c r="J20" s="15" t="str">
        <f aca="false">IF($A20="","",SUMIFS(Invoices!$E$5:$E$504,Invoices!$C$5:$C$504,$A20))</f>
        <v/>
      </c>
      <c r="K20" s="15" t="str">
        <f aca="false">IF($A20="","",SUMIFS(Invoices!$G$5:$G$504,Invoices!$C$5:$C$504,$A20))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3"/>
      <c r="G21" s="12"/>
      <c r="H21" s="12"/>
      <c r="I21" s="14" t="str">
        <f aca="false">IF($A21="","",COUNTIFS(Jobs!$B$5:$B$504,$A21,Jobs!$G$5:$G$504,"Completed"))</f>
        <v/>
      </c>
      <c r="J21" s="15" t="str">
        <f aca="false">IF($A21="","",SUMIFS(Invoices!$E$5:$E$504,Invoices!$C$5:$C$504,$A21))</f>
        <v/>
      </c>
      <c r="K21" s="15" t="str">
        <f aca="false">IF($A21="","",SUMIFS(Invoices!$G$5:$G$504,Invoices!$C$5:$C$504,$A21))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3"/>
      <c r="G22" s="12"/>
      <c r="H22" s="12"/>
      <c r="I22" s="14" t="str">
        <f aca="false">IF($A22="","",COUNTIFS(Jobs!$B$5:$B$504,$A22,Jobs!$G$5:$G$504,"Completed"))</f>
        <v/>
      </c>
      <c r="J22" s="15" t="str">
        <f aca="false">IF($A22="","",SUMIFS(Invoices!$E$5:$E$504,Invoices!$C$5:$C$504,$A22))</f>
        <v/>
      </c>
      <c r="K22" s="15" t="str">
        <f aca="false">IF($A22="","",SUMIFS(Invoices!$G$5:$G$504,Invoices!$C$5:$C$504,$A22))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3"/>
      <c r="G23" s="12"/>
      <c r="H23" s="12"/>
      <c r="I23" s="14" t="str">
        <f aca="false">IF($A23="","",COUNTIFS(Jobs!$B$5:$B$504,$A23,Jobs!$G$5:$G$504,"Completed"))</f>
        <v/>
      </c>
      <c r="J23" s="15" t="str">
        <f aca="false">IF($A23="","",SUMIFS(Invoices!$E$5:$E$504,Invoices!$C$5:$C$504,$A23))</f>
        <v/>
      </c>
      <c r="K23" s="15" t="str">
        <f aca="false">IF($A23="","",SUMIFS(Invoices!$G$5:$G$504,Invoices!$C$5:$C$504,$A23))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3"/>
      <c r="G24" s="12"/>
      <c r="H24" s="12"/>
      <c r="I24" s="14" t="str">
        <f aca="false">IF($A24="","",COUNTIFS(Jobs!$B$5:$B$504,$A24,Jobs!$G$5:$G$504,"Completed"))</f>
        <v/>
      </c>
      <c r="J24" s="15" t="str">
        <f aca="false">IF($A24="","",SUMIFS(Invoices!$E$5:$E$504,Invoices!$C$5:$C$504,$A24))</f>
        <v/>
      </c>
      <c r="K24" s="15" t="str">
        <f aca="false">IF($A24="","",SUMIFS(Invoices!$G$5:$G$504,Invoices!$C$5:$C$504,$A24))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3"/>
      <c r="G25" s="12"/>
      <c r="H25" s="12"/>
      <c r="I25" s="14" t="str">
        <f aca="false">IF($A25="","",COUNTIFS(Jobs!$B$5:$B$504,$A25,Jobs!$G$5:$G$504,"Completed"))</f>
        <v/>
      </c>
      <c r="J25" s="15" t="str">
        <f aca="false">IF($A25="","",SUMIFS(Invoices!$E$5:$E$504,Invoices!$C$5:$C$504,$A25))</f>
        <v/>
      </c>
      <c r="K25" s="15" t="str">
        <f aca="false">IF($A25="","",SUMIFS(Invoices!$G$5:$G$504,Invoices!$C$5:$C$504,$A25))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3"/>
      <c r="G26" s="12"/>
      <c r="H26" s="12"/>
      <c r="I26" s="14" t="str">
        <f aca="false">IF($A26="","",COUNTIFS(Jobs!$B$5:$B$504,$A26,Jobs!$G$5:$G$504,"Completed"))</f>
        <v/>
      </c>
      <c r="J26" s="15" t="str">
        <f aca="false">IF($A26="","",SUMIFS(Invoices!$E$5:$E$504,Invoices!$C$5:$C$504,$A26))</f>
        <v/>
      </c>
      <c r="K26" s="15" t="str">
        <f aca="false">IF($A26="","",SUMIFS(Invoices!$G$5:$G$504,Invoices!$C$5:$C$504,$A26))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3"/>
      <c r="G27" s="12"/>
      <c r="H27" s="12"/>
      <c r="I27" s="14" t="str">
        <f aca="false">IF($A27="","",COUNTIFS(Jobs!$B$5:$B$504,$A27,Jobs!$G$5:$G$504,"Completed"))</f>
        <v/>
      </c>
      <c r="J27" s="15" t="str">
        <f aca="false">IF($A27="","",SUMIFS(Invoices!$E$5:$E$504,Invoices!$C$5:$C$504,$A27))</f>
        <v/>
      </c>
      <c r="K27" s="15" t="str">
        <f aca="false">IF($A27="","",SUMIFS(Invoices!$G$5:$G$504,Invoices!$C$5:$C$504,$A27))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3"/>
      <c r="G28" s="12"/>
      <c r="H28" s="12"/>
      <c r="I28" s="14" t="str">
        <f aca="false">IF($A28="","",COUNTIFS(Jobs!$B$5:$B$504,$A28,Jobs!$G$5:$G$504,"Completed"))</f>
        <v/>
      </c>
      <c r="J28" s="15" t="str">
        <f aca="false">IF($A28="","",SUMIFS(Invoices!$E$5:$E$504,Invoices!$C$5:$C$504,$A28))</f>
        <v/>
      </c>
      <c r="K28" s="15" t="str">
        <f aca="false">IF($A28="","",SUMIFS(Invoices!$G$5:$G$504,Invoices!$C$5:$C$504,$A28))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3"/>
      <c r="G29" s="12"/>
      <c r="H29" s="12"/>
      <c r="I29" s="14" t="str">
        <f aca="false">IF($A29="","",COUNTIFS(Jobs!$B$5:$B$504,$A29,Jobs!$G$5:$G$504,"Completed"))</f>
        <v/>
      </c>
      <c r="J29" s="15" t="str">
        <f aca="false">IF($A29="","",SUMIFS(Invoices!$E$5:$E$504,Invoices!$C$5:$C$504,$A29))</f>
        <v/>
      </c>
      <c r="K29" s="15" t="str">
        <f aca="false">IF($A29="","",SUMIFS(Invoices!$G$5:$G$504,Invoices!$C$5:$C$504,$A29))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3"/>
      <c r="G30" s="12"/>
      <c r="H30" s="12"/>
      <c r="I30" s="14" t="str">
        <f aca="false">IF($A30="","",COUNTIFS(Jobs!$B$5:$B$504,$A30,Jobs!$G$5:$G$504,"Completed"))</f>
        <v/>
      </c>
      <c r="J30" s="15" t="str">
        <f aca="false">IF($A30="","",SUMIFS(Invoices!$E$5:$E$504,Invoices!$C$5:$C$504,$A30))</f>
        <v/>
      </c>
      <c r="K30" s="15" t="str">
        <f aca="false">IF($A30="","",SUMIFS(Invoices!$G$5:$G$504,Invoices!$C$5:$C$504,$A30))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3"/>
      <c r="G31" s="12"/>
      <c r="H31" s="12"/>
      <c r="I31" s="14" t="str">
        <f aca="false">IF($A31="","",COUNTIFS(Jobs!$B$5:$B$504,$A31,Jobs!$G$5:$G$504,"Completed"))</f>
        <v/>
      </c>
      <c r="J31" s="15" t="str">
        <f aca="false">IF($A31="","",SUMIFS(Invoices!$E$5:$E$504,Invoices!$C$5:$C$504,$A31))</f>
        <v/>
      </c>
      <c r="K31" s="15" t="str">
        <f aca="false">IF($A31="","",SUMIFS(Invoices!$G$5:$G$504,Invoices!$C$5:$C$504,$A31))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3"/>
      <c r="G32" s="12"/>
      <c r="H32" s="12"/>
      <c r="I32" s="14" t="str">
        <f aca="false">IF($A32="","",COUNTIFS(Jobs!$B$5:$B$504,$A32,Jobs!$G$5:$G$504,"Completed"))</f>
        <v/>
      </c>
      <c r="J32" s="15" t="str">
        <f aca="false">IF($A32="","",SUMIFS(Invoices!$E$5:$E$504,Invoices!$C$5:$C$504,$A32))</f>
        <v/>
      </c>
      <c r="K32" s="15" t="str">
        <f aca="false">IF($A32="","",SUMIFS(Invoices!$G$5:$G$504,Invoices!$C$5:$C$504,$A32))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3"/>
      <c r="G33" s="12"/>
      <c r="H33" s="12"/>
      <c r="I33" s="14" t="str">
        <f aca="false">IF($A33="","",COUNTIFS(Jobs!$B$5:$B$504,$A33,Jobs!$G$5:$G$504,"Completed"))</f>
        <v/>
      </c>
      <c r="J33" s="15" t="str">
        <f aca="false">IF($A33="","",SUMIFS(Invoices!$E$5:$E$504,Invoices!$C$5:$C$504,$A33))</f>
        <v/>
      </c>
      <c r="K33" s="15" t="str">
        <f aca="false">IF($A33="","",SUMIFS(Invoices!$G$5:$G$504,Invoices!$C$5:$C$504,$A33))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3"/>
      <c r="G34" s="12"/>
      <c r="H34" s="12"/>
      <c r="I34" s="14" t="str">
        <f aca="false">IF($A34="","",COUNTIFS(Jobs!$B$5:$B$504,$A34,Jobs!$G$5:$G$504,"Completed"))</f>
        <v/>
      </c>
      <c r="J34" s="15" t="str">
        <f aca="false">IF($A34="","",SUMIFS(Invoices!$E$5:$E$504,Invoices!$C$5:$C$504,$A34))</f>
        <v/>
      </c>
      <c r="K34" s="15" t="str">
        <f aca="false">IF($A34="","",SUMIFS(Invoices!$G$5:$G$504,Invoices!$C$5:$C$504,$A34))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3"/>
      <c r="G35" s="12"/>
      <c r="H35" s="12"/>
      <c r="I35" s="14" t="str">
        <f aca="false">IF($A35="","",COUNTIFS(Jobs!$B$5:$B$504,$A35,Jobs!$G$5:$G$504,"Completed"))</f>
        <v/>
      </c>
      <c r="J35" s="15" t="str">
        <f aca="false">IF($A35="","",SUMIFS(Invoices!$E$5:$E$504,Invoices!$C$5:$C$504,$A35))</f>
        <v/>
      </c>
      <c r="K35" s="15" t="str">
        <f aca="false">IF($A35="","",SUMIFS(Invoices!$G$5:$G$504,Invoices!$C$5:$C$504,$A35))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3"/>
      <c r="G36" s="12"/>
      <c r="H36" s="12"/>
      <c r="I36" s="14" t="str">
        <f aca="false">IF($A36="","",COUNTIFS(Jobs!$B$5:$B$504,$A36,Jobs!$G$5:$G$504,"Completed"))</f>
        <v/>
      </c>
      <c r="J36" s="15" t="str">
        <f aca="false">IF($A36="","",SUMIFS(Invoices!$E$5:$E$504,Invoices!$C$5:$C$504,$A36))</f>
        <v/>
      </c>
      <c r="K36" s="15" t="str">
        <f aca="false">IF($A36="","",SUMIFS(Invoices!$G$5:$G$504,Invoices!$C$5:$C$504,$A36))</f>
        <v/>
      </c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3"/>
      <c r="G37" s="12"/>
      <c r="H37" s="12"/>
      <c r="I37" s="14" t="str">
        <f aca="false">IF($A37="","",COUNTIFS(Jobs!$B$5:$B$504,$A37,Jobs!$G$5:$G$504,"Completed"))</f>
        <v/>
      </c>
      <c r="J37" s="15" t="str">
        <f aca="false">IF($A37="","",SUMIFS(Invoices!$E$5:$E$504,Invoices!$C$5:$C$504,$A37))</f>
        <v/>
      </c>
      <c r="K37" s="15" t="str">
        <f aca="false">IF($A37="","",SUMIFS(Invoices!$G$5:$G$504,Invoices!$C$5:$C$504,$A37))</f>
        <v/>
      </c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3"/>
      <c r="G38" s="12"/>
      <c r="H38" s="12"/>
      <c r="I38" s="14" t="str">
        <f aca="false">IF($A38="","",COUNTIFS(Jobs!$B$5:$B$504,$A38,Jobs!$G$5:$G$504,"Completed"))</f>
        <v/>
      </c>
      <c r="J38" s="15" t="str">
        <f aca="false">IF($A38="","",SUMIFS(Invoices!$E$5:$E$504,Invoices!$C$5:$C$504,$A38))</f>
        <v/>
      </c>
      <c r="K38" s="15" t="str">
        <f aca="false">IF($A38="","",SUMIFS(Invoices!$G$5:$G$504,Invoices!$C$5:$C$504,$A38))</f>
        <v/>
      </c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3"/>
      <c r="G39" s="12"/>
      <c r="H39" s="12"/>
      <c r="I39" s="14" t="str">
        <f aca="false">IF($A39="","",COUNTIFS(Jobs!$B$5:$B$504,$A39,Jobs!$G$5:$G$504,"Completed"))</f>
        <v/>
      </c>
      <c r="J39" s="15" t="str">
        <f aca="false">IF($A39="","",SUMIFS(Invoices!$E$5:$E$504,Invoices!$C$5:$C$504,$A39))</f>
        <v/>
      </c>
      <c r="K39" s="15" t="str">
        <f aca="false">IF($A39="","",SUMIFS(Invoices!$G$5:$G$504,Invoices!$C$5:$C$504,$A39))</f>
        <v/>
      </c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3"/>
      <c r="G40" s="12"/>
      <c r="H40" s="12"/>
      <c r="I40" s="14" t="str">
        <f aca="false">IF($A40="","",COUNTIFS(Jobs!$B$5:$B$504,$A40,Jobs!$G$5:$G$504,"Completed"))</f>
        <v/>
      </c>
      <c r="J40" s="15" t="str">
        <f aca="false">IF($A40="","",SUMIFS(Invoices!$E$5:$E$504,Invoices!$C$5:$C$504,$A40))</f>
        <v/>
      </c>
      <c r="K40" s="15" t="str">
        <f aca="false">IF($A40="","",SUMIFS(Invoices!$G$5:$G$504,Invoices!$C$5:$C$504,$A40))</f>
        <v/>
      </c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3"/>
      <c r="G41" s="12"/>
      <c r="H41" s="12"/>
      <c r="I41" s="14" t="str">
        <f aca="false">IF($A41="","",COUNTIFS(Jobs!$B$5:$B$504,$A41,Jobs!$G$5:$G$504,"Completed"))</f>
        <v/>
      </c>
      <c r="J41" s="15" t="str">
        <f aca="false">IF($A41="","",SUMIFS(Invoices!$E$5:$E$504,Invoices!$C$5:$C$504,$A41))</f>
        <v/>
      </c>
      <c r="K41" s="15" t="str">
        <f aca="false">IF($A41="","",SUMIFS(Invoices!$G$5:$G$504,Invoices!$C$5:$C$504,$A41))</f>
        <v/>
      </c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3"/>
      <c r="G42" s="12"/>
      <c r="H42" s="12"/>
      <c r="I42" s="14" t="str">
        <f aca="false">IF($A42="","",COUNTIFS(Jobs!$B$5:$B$504,$A42,Jobs!$G$5:$G$504,"Completed"))</f>
        <v/>
      </c>
      <c r="J42" s="15" t="str">
        <f aca="false">IF($A42="","",SUMIFS(Invoices!$E$5:$E$504,Invoices!$C$5:$C$504,$A42))</f>
        <v/>
      </c>
      <c r="K42" s="15" t="str">
        <f aca="false">IF($A42="","",SUMIFS(Invoices!$G$5:$G$504,Invoices!$C$5:$C$504,$A42))</f>
        <v/>
      </c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3"/>
      <c r="G43" s="12"/>
      <c r="H43" s="12"/>
      <c r="I43" s="14" t="str">
        <f aca="false">IF($A43="","",COUNTIFS(Jobs!$B$5:$B$504,$A43,Jobs!$G$5:$G$504,"Completed"))</f>
        <v/>
      </c>
      <c r="J43" s="15" t="str">
        <f aca="false">IF($A43="","",SUMIFS(Invoices!$E$5:$E$504,Invoices!$C$5:$C$504,$A43))</f>
        <v/>
      </c>
      <c r="K43" s="15" t="str">
        <f aca="false">IF($A43="","",SUMIFS(Invoices!$G$5:$G$504,Invoices!$C$5:$C$504,$A43))</f>
        <v/>
      </c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3"/>
      <c r="G44" s="12"/>
      <c r="H44" s="12"/>
      <c r="I44" s="14" t="str">
        <f aca="false">IF($A44="","",COUNTIFS(Jobs!$B$5:$B$504,$A44,Jobs!$G$5:$G$504,"Completed"))</f>
        <v/>
      </c>
      <c r="J44" s="15" t="str">
        <f aca="false">IF($A44="","",SUMIFS(Invoices!$E$5:$E$504,Invoices!$C$5:$C$504,$A44))</f>
        <v/>
      </c>
      <c r="K44" s="15" t="str">
        <f aca="false">IF($A44="","",SUMIFS(Invoices!$G$5:$G$504,Invoices!$C$5:$C$504,$A44))</f>
        <v/>
      </c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3"/>
      <c r="G45" s="12"/>
      <c r="H45" s="12"/>
      <c r="I45" s="14" t="str">
        <f aca="false">IF($A45="","",COUNTIFS(Jobs!$B$5:$B$504,$A45,Jobs!$G$5:$G$504,"Completed"))</f>
        <v/>
      </c>
      <c r="J45" s="15" t="str">
        <f aca="false">IF($A45="","",SUMIFS(Invoices!$E$5:$E$504,Invoices!$C$5:$C$504,$A45))</f>
        <v/>
      </c>
      <c r="K45" s="15" t="str">
        <f aca="false">IF($A45="","",SUMIFS(Invoices!$G$5:$G$504,Invoices!$C$5:$C$504,$A45))</f>
        <v/>
      </c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3"/>
      <c r="G46" s="12"/>
      <c r="H46" s="12"/>
      <c r="I46" s="14" t="str">
        <f aca="false">IF($A46="","",COUNTIFS(Jobs!$B$5:$B$504,$A46,Jobs!$G$5:$G$504,"Completed"))</f>
        <v/>
      </c>
      <c r="J46" s="15" t="str">
        <f aca="false">IF($A46="","",SUMIFS(Invoices!$E$5:$E$504,Invoices!$C$5:$C$504,$A46))</f>
        <v/>
      </c>
      <c r="K46" s="15" t="str">
        <f aca="false">IF($A46="","",SUMIFS(Invoices!$G$5:$G$504,Invoices!$C$5:$C$504,$A46))</f>
        <v/>
      </c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3"/>
      <c r="G47" s="12"/>
      <c r="H47" s="12"/>
      <c r="I47" s="14" t="str">
        <f aca="false">IF($A47="","",COUNTIFS(Jobs!$B$5:$B$504,$A47,Jobs!$G$5:$G$504,"Completed"))</f>
        <v/>
      </c>
      <c r="J47" s="15" t="str">
        <f aca="false">IF($A47="","",SUMIFS(Invoices!$E$5:$E$504,Invoices!$C$5:$C$504,$A47))</f>
        <v/>
      </c>
      <c r="K47" s="15" t="str">
        <f aca="false">IF($A47="","",SUMIFS(Invoices!$G$5:$G$504,Invoices!$C$5:$C$504,$A47))</f>
        <v/>
      </c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3"/>
      <c r="G48" s="12"/>
      <c r="H48" s="12"/>
      <c r="I48" s="14" t="str">
        <f aca="false">IF($A48="","",COUNTIFS(Jobs!$B$5:$B$504,$A48,Jobs!$G$5:$G$504,"Completed"))</f>
        <v/>
      </c>
      <c r="J48" s="15" t="str">
        <f aca="false">IF($A48="","",SUMIFS(Invoices!$E$5:$E$504,Invoices!$C$5:$C$504,$A48))</f>
        <v/>
      </c>
      <c r="K48" s="15" t="str">
        <f aca="false">IF($A48="","",SUMIFS(Invoices!$G$5:$G$504,Invoices!$C$5:$C$504,$A48))</f>
        <v/>
      </c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3"/>
      <c r="G49" s="12"/>
      <c r="H49" s="12"/>
      <c r="I49" s="14" t="str">
        <f aca="false">IF($A49="","",COUNTIFS(Jobs!$B$5:$B$504,$A49,Jobs!$G$5:$G$504,"Completed"))</f>
        <v/>
      </c>
      <c r="J49" s="15" t="str">
        <f aca="false">IF($A49="","",SUMIFS(Invoices!$E$5:$E$504,Invoices!$C$5:$C$504,$A49))</f>
        <v/>
      </c>
      <c r="K49" s="15" t="str">
        <f aca="false">IF($A49="","",SUMIFS(Invoices!$G$5:$G$504,Invoices!$C$5:$C$504,$A49))</f>
        <v/>
      </c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3"/>
      <c r="G50" s="12"/>
      <c r="H50" s="12"/>
      <c r="I50" s="14" t="str">
        <f aca="false">IF($A50="","",COUNTIFS(Jobs!$B$5:$B$504,$A50,Jobs!$G$5:$G$504,"Completed"))</f>
        <v/>
      </c>
      <c r="J50" s="15" t="str">
        <f aca="false">IF($A50="","",SUMIFS(Invoices!$E$5:$E$504,Invoices!$C$5:$C$504,$A50))</f>
        <v/>
      </c>
      <c r="K50" s="15" t="str">
        <f aca="false">IF($A50="","",SUMIFS(Invoices!$G$5:$G$504,Invoices!$C$5:$C$504,$A50))</f>
        <v/>
      </c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3"/>
      <c r="G51" s="12"/>
      <c r="H51" s="12"/>
      <c r="I51" s="14" t="str">
        <f aca="false">IF($A51="","",COUNTIFS(Jobs!$B$5:$B$504,$A51,Jobs!$G$5:$G$504,"Completed"))</f>
        <v/>
      </c>
      <c r="J51" s="15" t="str">
        <f aca="false">IF($A51="","",SUMIFS(Invoices!$E$5:$E$504,Invoices!$C$5:$C$504,$A51))</f>
        <v/>
      </c>
      <c r="K51" s="15" t="str">
        <f aca="false">IF($A51="","",SUMIFS(Invoices!$G$5:$G$504,Invoices!$C$5:$C$504,$A51))</f>
        <v/>
      </c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3"/>
      <c r="G52" s="12"/>
      <c r="H52" s="12"/>
      <c r="I52" s="14" t="str">
        <f aca="false">IF($A52="","",COUNTIFS(Jobs!$B$5:$B$504,$A52,Jobs!$G$5:$G$504,"Completed"))</f>
        <v/>
      </c>
      <c r="J52" s="15" t="str">
        <f aca="false">IF($A52="","",SUMIFS(Invoices!$E$5:$E$504,Invoices!$C$5:$C$504,$A52))</f>
        <v/>
      </c>
      <c r="K52" s="15" t="str">
        <f aca="false">IF($A52="","",SUMIFS(Invoices!$G$5:$G$504,Invoices!$C$5:$C$504,$A52))</f>
        <v/>
      </c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3"/>
      <c r="G53" s="12"/>
      <c r="H53" s="12"/>
      <c r="I53" s="14" t="str">
        <f aca="false">IF($A53="","",COUNTIFS(Jobs!$B$5:$B$504,$A53,Jobs!$G$5:$G$504,"Completed"))</f>
        <v/>
      </c>
      <c r="J53" s="15" t="str">
        <f aca="false">IF($A53="","",SUMIFS(Invoices!$E$5:$E$504,Invoices!$C$5:$C$504,$A53))</f>
        <v/>
      </c>
      <c r="K53" s="15" t="str">
        <f aca="false">IF($A53="","",SUMIFS(Invoices!$G$5:$G$504,Invoices!$C$5:$C$504,$A53))</f>
        <v/>
      </c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3"/>
      <c r="G54" s="12"/>
      <c r="H54" s="12"/>
      <c r="I54" s="14" t="str">
        <f aca="false">IF($A54="","",COUNTIFS(Jobs!$B$5:$B$504,$A54,Jobs!$G$5:$G$504,"Completed"))</f>
        <v/>
      </c>
      <c r="J54" s="15" t="str">
        <f aca="false">IF($A54="","",SUMIFS(Invoices!$E$5:$E$504,Invoices!$C$5:$C$504,$A54))</f>
        <v/>
      </c>
      <c r="K54" s="15" t="str">
        <f aca="false">IF($A54="","",SUMIFS(Invoices!$G$5:$G$504,Invoices!$C$5:$C$504,$A54))</f>
        <v/>
      </c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3"/>
      <c r="G55" s="12"/>
      <c r="H55" s="12"/>
      <c r="I55" s="14" t="str">
        <f aca="false">IF($A55="","",COUNTIFS(Jobs!$B$5:$B$504,$A55,Jobs!$G$5:$G$504,"Completed"))</f>
        <v/>
      </c>
      <c r="J55" s="15" t="str">
        <f aca="false">IF($A55="","",SUMIFS(Invoices!$E$5:$E$504,Invoices!$C$5:$C$504,$A55))</f>
        <v/>
      </c>
      <c r="K55" s="15" t="str">
        <f aca="false">IF($A55="","",SUMIFS(Invoices!$G$5:$G$504,Invoices!$C$5:$C$504,$A55))</f>
        <v/>
      </c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3"/>
      <c r="G56" s="12"/>
      <c r="H56" s="12"/>
      <c r="I56" s="14" t="str">
        <f aca="false">IF($A56="","",COUNTIFS(Jobs!$B$5:$B$504,$A56,Jobs!$G$5:$G$504,"Completed"))</f>
        <v/>
      </c>
      <c r="J56" s="15" t="str">
        <f aca="false">IF($A56="","",SUMIFS(Invoices!$E$5:$E$504,Invoices!$C$5:$C$504,$A56))</f>
        <v/>
      </c>
      <c r="K56" s="15" t="str">
        <f aca="false">IF($A56="","",SUMIFS(Invoices!$G$5:$G$504,Invoices!$C$5:$C$504,$A56))</f>
        <v/>
      </c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3"/>
      <c r="G57" s="12"/>
      <c r="H57" s="12"/>
      <c r="I57" s="14" t="str">
        <f aca="false">IF($A57="","",COUNTIFS(Jobs!$B$5:$B$504,$A57,Jobs!$G$5:$G$504,"Completed"))</f>
        <v/>
      </c>
      <c r="J57" s="15" t="str">
        <f aca="false">IF($A57="","",SUMIFS(Invoices!$E$5:$E$504,Invoices!$C$5:$C$504,$A57))</f>
        <v/>
      </c>
      <c r="K57" s="15" t="str">
        <f aca="false">IF($A57="","",SUMIFS(Invoices!$G$5:$G$504,Invoices!$C$5:$C$504,$A57))</f>
        <v/>
      </c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3"/>
      <c r="G58" s="12"/>
      <c r="H58" s="12"/>
      <c r="I58" s="14" t="str">
        <f aca="false">IF($A58="","",COUNTIFS(Jobs!$B$5:$B$504,$A58,Jobs!$G$5:$G$504,"Completed"))</f>
        <v/>
      </c>
      <c r="J58" s="15" t="str">
        <f aca="false">IF($A58="","",SUMIFS(Invoices!$E$5:$E$504,Invoices!$C$5:$C$504,$A58))</f>
        <v/>
      </c>
      <c r="K58" s="15" t="str">
        <f aca="false">IF($A58="","",SUMIFS(Invoices!$G$5:$G$504,Invoices!$C$5:$C$504,$A58))</f>
        <v/>
      </c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3"/>
      <c r="G59" s="12"/>
      <c r="H59" s="12"/>
      <c r="I59" s="14" t="str">
        <f aca="false">IF($A59="","",COUNTIFS(Jobs!$B$5:$B$504,$A59,Jobs!$G$5:$G$504,"Completed"))</f>
        <v/>
      </c>
      <c r="J59" s="15" t="str">
        <f aca="false">IF($A59="","",SUMIFS(Invoices!$E$5:$E$504,Invoices!$C$5:$C$504,$A59))</f>
        <v/>
      </c>
      <c r="K59" s="15" t="str">
        <f aca="false">IF($A59="","",SUMIFS(Invoices!$G$5:$G$504,Invoices!$C$5:$C$504,$A59))</f>
        <v/>
      </c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3"/>
      <c r="G60" s="12"/>
      <c r="H60" s="12"/>
      <c r="I60" s="14" t="str">
        <f aca="false">IF($A60="","",COUNTIFS(Jobs!$B$5:$B$504,$A60,Jobs!$G$5:$G$504,"Completed"))</f>
        <v/>
      </c>
      <c r="J60" s="15" t="str">
        <f aca="false">IF($A60="","",SUMIFS(Invoices!$E$5:$E$504,Invoices!$C$5:$C$504,$A60))</f>
        <v/>
      </c>
      <c r="K60" s="15" t="str">
        <f aca="false">IF($A60="","",SUMIFS(Invoices!$G$5:$G$504,Invoices!$C$5:$C$504,$A60))</f>
        <v/>
      </c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3"/>
      <c r="G61" s="12"/>
      <c r="H61" s="12"/>
      <c r="I61" s="14" t="str">
        <f aca="false">IF($A61="","",COUNTIFS(Jobs!$B$5:$B$504,$A61,Jobs!$G$5:$G$504,"Completed"))</f>
        <v/>
      </c>
      <c r="J61" s="15" t="str">
        <f aca="false">IF($A61="","",SUMIFS(Invoices!$E$5:$E$504,Invoices!$C$5:$C$504,$A61))</f>
        <v/>
      </c>
      <c r="K61" s="15" t="str">
        <f aca="false">IF($A61="","",SUMIFS(Invoices!$G$5:$G$504,Invoices!$C$5:$C$504,$A61))</f>
        <v/>
      </c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3"/>
      <c r="G62" s="12"/>
      <c r="H62" s="12"/>
      <c r="I62" s="14" t="str">
        <f aca="false">IF($A62="","",COUNTIFS(Jobs!$B$5:$B$504,$A62,Jobs!$G$5:$G$504,"Completed"))</f>
        <v/>
      </c>
      <c r="J62" s="15" t="str">
        <f aca="false">IF($A62="","",SUMIFS(Invoices!$E$5:$E$504,Invoices!$C$5:$C$504,$A62))</f>
        <v/>
      </c>
      <c r="K62" s="15" t="str">
        <f aca="false">IF($A62="","",SUMIFS(Invoices!$G$5:$G$504,Invoices!$C$5:$C$504,$A62))</f>
        <v/>
      </c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3"/>
      <c r="G63" s="12"/>
      <c r="H63" s="12"/>
      <c r="I63" s="14" t="str">
        <f aca="false">IF($A63="","",COUNTIFS(Jobs!$B$5:$B$504,$A63,Jobs!$G$5:$G$504,"Completed"))</f>
        <v/>
      </c>
      <c r="J63" s="15" t="str">
        <f aca="false">IF($A63="","",SUMIFS(Invoices!$E$5:$E$504,Invoices!$C$5:$C$504,$A63))</f>
        <v/>
      </c>
      <c r="K63" s="15" t="str">
        <f aca="false">IF($A63="","",SUMIFS(Invoices!$G$5:$G$504,Invoices!$C$5:$C$504,$A63))</f>
        <v/>
      </c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3"/>
      <c r="G64" s="12"/>
      <c r="H64" s="12"/>
      <c r="I64" s="14" t="str">
        <f aca="false">IF($A64="","",COUNTIFS(Jobs!$B$5:$B$504,$A64,Jobs!$G$5:$G$504,"Completed"))</f>
        <v/>
      </c>
      <c r="J64" s="15" t="str">
        <f aca="false">IF($A64="","",SUMIFS(Invoices!$E$5:$E$504,Invoices!$C$5:$C$504,$A64))</f>
        <v/>
      </c>
      <c r="K64" s="15" t="str">
        <f aca="false">IF($A64="","",SUMIFS(Invoices!$G$5:$G$504,Invoices!$C$5:$C$504,$A64))</f>
        <v/>
      </c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3"/>
      <c r="G65" s="12"/>
      <c r="H65" s="12"/>
      <c r="I65" s="14" t="str">
        <f aca="false">IF($A65="","",COUNTIFS(Jobs!$B$5:$B$504,$A65,Jobs!$G$5:$G$504,"Completed"))</f>
        <v/>
      </c>
      <c r="J65" s="15" t="str">
        <f aca="false">IF($A65="","",SUMIFS(Invoices!$E$5:$E$504,Invoices!$C$5:$C$504,$A65))</f>
        <v/>
      </c>
      <c r="K65" s="15" t="str">
        <f aca="false">IF($A65="","",SUMIFS(Invoices!$G$5:$G$504,Invoices!$C$5:$C$504,$A65))</f>
        <v/>
      </c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3"/>
      <c r="G66" s="12"/>
      <c r="H66" s="12"/>
      <c r="I66" s="14" t="str">
        <f aca="false">IF($A66="","",COUNTIFS(Jobs!$B$5:$B$504,$A66,Jobs!$G$5:$G$504,"Completed"))</f>
        <v/>
      </c>
      <c r="J66" s="15" t="str">
        <f aca="false">IF($A66="","",SUMIFS(Invoices!$E$5:$E$504,Invoices!$C$5:$C$504,$A66))</f>
        <v/>
      </c>
      <c r="K66" s="15" t="str">
        <f aca="false">IF($A66="","",SUMIFS(Invoices!$G$5:$G$504,Invoices!$C$5:$C$504,$A66))</f>
        <v/>
      </c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3"/>
      <c r="G67" s="12"/>
      <c r="H67" s="12"/>
      <c r="I67" s="14" t="str">
        <f aca="false">IF($A67="","",COUNTIFS(Jobs!$B$5:$B$504,$A67,Jobs!$G$5:$G$504,"Completed"))</f>
        <v/>
      </c>
      <c r="J67" s="15" t="str">
        <f aca="false">IF($A67="","",SUMIFS(Invoices!$E$5:$E$504,Invoices!$C$5:$C$504,$A67))</f>
        <v/>
      </c>
      <c r="K67" s="15" t="str">
        <f aca="false">IF($A67="","",SUMIFS(Invoices!$G$5:$G$504,Invoices!$C$5:$C$504,$A67))</f>
        <v/>
      </c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3"/>
      <c r="G68" s="12"/>
      <c r="H68" s="12"/>
      <c r="I68" s="14" t="str">
        <f aca="false">IF($A68="","",COUNTIFS(Jobs!$B$5:$B$504,$A68,Jobs!$G$5:$G$504,"Completed"))</f>
        <v/>
      </c>
      <c r="J68" s="15" t="str">
        <f aca="false">IF($A68="","",SUMIFS(Invoices!$E$5:$E$504,Invoices!$C$5:$C$504,$A68))</f>
        <v/>
      </c>
      <c r="K68" s="15" t="str">
        <f aca="false">IF($A68="","",SUMIFS(Invoices!$G$5:$G$504,Invoices!$C$5:$C$504,$A68))</f>
        <v/>
      </c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3"/>
      <c r="G69" s="12"/>
      <c r="H69" s="12"/>
      <c r="I69" s="14" t="str">
        <f aca="false">IF($A69="","",COUNTIFS(Jobs!$B$5:$B$504,$A69,Jobs!$G$5:$G$504,"Completed"))</f>
        <v/>
      </c>
      <c r="J69" s="15" t="str">
        <f aca="false">IF($A69="","",SUMIFS(Invoices!$E$5:$E$504,Invoices!$C$5:$C$504,$A69))</f>
        <v/>
      </c>
      <c r="K69" s="15" t="str">
        <f aca="false">IF($A69="","",SUMIFS(Invoices!$G$5:$G$504,Invoices!$C$5:$C$504,$A69))</f>
        <v/>
      </c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3"/>
      <c r="G70" s="12"/>
      <c r="H70" s="12"/>
      <c r="I70" s="14" t="str">
        <f aca="false">IF($A70="","",COUNTIFS(Jobs!$B$5:$B$504,$A70,Jobs!$G$5:$G$504,"Completed"))</f>
        <v/>
      </c>
      <c r="J70" s="15" t="str">
        <f aca="false">IF($A70="","",SUMIFS(Invoices!$E$5:$E$504,Invoices!$C$5:$C$504,$A70))</f>
        <v/>
      </c>
      <c r="K70" s="15" t="str">
        <f aca="false">IF($A70="","",SUMIFS(Invoices!$G$5:$G$504,Invoices!$C$5:$C$504,$A70))</f>
        <v/>
      </c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3"/>
      <c r="G71" s="12"/>
      <c r="H71" s="12"/>
      <c r="I71" s="14" t="str">
        <f aca="false">IF($A71="","",COUNTIFS(Jobs!$B$5:$B$504,$A71,Jobs!$G$5:$G$504,"Completed"))</f>
        <v/>
      </c>
      <c r="J71" s="15" t="str">
        <f aca="false">IF($A71="","",SUMIFS(Invoices!$E$5:$E$504,Invoices!$C$5:$C$504,$A71))</f>
        <v/>
      </c>
      <c r="K71" s="15" t="str">
        <f aca="false">IF($A71="","",SUMIFS(Invoices!$G$5:$G$504,Invoices!$C$5:$C$504,$A71))</f>
        <v/>
      </c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3"/>
      <c r="G72" s="12"/>
      <c r="H72" s="12"/>
      <c r="I72" s="14" t="str">
        <f aca="false">IF($A72="","",COUNTIFS(Jobs!$B$5:$B$504,$A72,Jobs!$G$5:$G$504,"Completed"))</f>
        <v/>
      </c>
      <c r="J72" s="15" t="str">
        <f aca="false">IF($A72="","",SUMIFS(Invoices!$E$5:$E$504,Invoices!$C$5:$C$504,$A72))</f>
        <v/>
      </c>
      <c r="K72" s="15" t="str">
        <f aca="false">IF($A72="","",SUMIFS(Invoices!$G$5:$G$504,Invoices!$C$5:$C$504,$A72))</f>
        <v/>
      </c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3"/>
      <c r="G73" s="12"/>
      <c r="H73" s="12"/>
      <c r="I73" s="14" t="str">
        <f aca="false">IF($A73="","",COUNTIFS(Jobs!$B$5:$B$504,$A73,Jobs!$G$5:$G$504,"Completed"))</f>
        <v/>
      </c>
      <c r="J73" s="15" t="str">
        <f aca="false">IF($A73="","",SUMIFS(Invoices!$E$5:$E$504,Invoices!$C$5:$C$504,$A73))</f>
        <v/>
      </c>
      <c r="K73" s="15" t="str">
        <f aca="false">IF($A73="","",SUMIFS(Invoices!$G$5:$G$504,Invoices!$C$5:$C$504,$A73))</f>
        <v/>
      </c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3"/>
      <c r="G74" s="12"/>
      <c r="H74" s="12"/>
      <c r="I74" s="14" t="str">
        <f aca="false">IF($A74="","",COUNTIFS(Jobs!$B$5:$B$504,$A74,Jobs!$G$5:$G$504,"Completed"))</f>
        <v/>
      </c>
      <c r="J74" s="15" t="str">
        <f aca="false">IF($A74="","",SUMIFS(Invoices!$E$5:$E$504,Invoices!$C$5:$C$504,$A74))</f>
        <v/>
      </c>
      <c r="K74" s="15" t="str">
        <f aca="false">IF($A74="","",SUMIFS(Invoices!$G$5:$G$504,Invoices!$C$5:$C$504,$A74))</f>
        <v/>
      </c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3"/>
      <c r="G75" s="12"/>
      <c r="H75" s="12"/>
      <c r="I75" s="14" t="str">
        <f aca="false">IF($A75="","",COUNTIFS(Jobs!$B$5:$B$504,$A75,Jobs!$G$5:$G$504,"Completed"))</f>
        <v/>
      </c>
      <c r="J75" s="15" t="str">
        <f aca="false">IF($A75="","",SUMIFS(Invoices!$E$5:$E$504,Invoices!$C$5:$C$504,$A75))</f>
        <v/>
      </c>
      <c r="K75" s="15" t="str">
        <f aca="false">IF($A75="","",SUMIFS(Invoices!$G$5:$G$504,Invoices!$C$5:$C$504,$A75))</f>
        <v/>
      </c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3"/>
      <c r="G76" s="12"/>
      <c r="H76" s="12"/>
      <c r="I76" s="14" t="str">
        <f aca="false">IF($A76="","",COUNTIFS(Jobs!$B$5:$B$504,$A76,Jobs!$G$5:$G$504,"Completed"))</f>
        <v/>
      </c>
      <c r="J76" s="15" t="str">
        <f aca="false">IF($A76="","",SUMIFS(Invoices!$E$5:$E$504,Invoices!$C$5:$C$504,$A76))</f>
        <v/>
      </c>
      <c r="K76" s="15" t="str">
        <f aca="false">IF($A76="","",SUMIFS(Invoices!$G$5:$G$504,Invoices!$C$5:$C$504,$A76))</f>
        <v/>
      </c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3"/>
      <c r="G77" s="12"/>
      <c r="H77" s="12"/>
      <c r="I77" s="14" t="str">
        <f aca="false">IF($A77="","",COUNTIFS(Jobs!$B$5:$B$504,$A77,Jobs!$G$5:$G$504,"Completed"))</f>
        <v/>
      </c>
      <c r="J77" s="15" t="str">
        <f aca="false">IF($A77="","",SUMIFS(Invoices!$E$5:$E$504,Invoices!$C$5:$C$504,$A77))</f>
        <v/>
      </c>
      <c r="K77" s="15" t="str">
        <f aca="false">IF($A77="","",SUMIFS(Invoices!$G$5:$G$504,Invoices!$C$5:$C$504,$A77))</f>
        <v/>
      </c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3"/>
      <c r="G78" s="12"/>
      <c r="H78" s="12"/>
      <c r="I78" s="14" t="str">
        <f aca="false">IF($A78="","",COUNTIFS(Jobs!$B$5:$B$504,$A78,Jobs!$G$5:$G$504,"Completed"))</f>
        <v/>
      </c>
      <c r="J78" s="15" t="str">
        <f aca="false">IF($A78="","",SUMIFS(Invoices!$E$5:$E$504,Invoices!$C$5:$C$504,$A78))</f>
        <v/>
      </c>
      <c r="K78" s="15" t="str">
        <f aca="false">IF($A78="","",SUMIFS(Invoices!$G$5:$G$504,Invoices!$C$5:$C$504,$A78))</f>
        <v/>
      </c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3"/>
      <c r="G79" s="12"/>
      <c r="H79" s="12"/>
      <c r="I79" s="14" t="str">
        <f aca="false">IF($A79="","",COUNTIFS(Jobs!$B$5:$B$504,$A79,Jobs!$G$5:$G$504,"Completed"))</f>
        <v/>
      </c>
      <c r="J79" s="15" t="str">
        <f aca="false">IF($A79="","",SUMIFS(Invoices!$E$5:$E$504,Invoices!$C$5:$C$504,$A79))</f>
        <v/>
      </c>
      <c r="K79" s="15" t="str">
        <f aca="false">IF($A79="","",SUMIFS(Invoices!$G$5:$G$504,Invoices!$C$5:$C$504,$A79))</f>
        <v/>
      </c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3"/>
      <c r="G80" s="12"/>
      <c r="H80" s="12"/>
      <c r="I80" s="14" t="str">
        <f aca="false">IF($A80="","",COUNTIFS(Jobs!$B$5:$B$504,$A80,Jobs!$G$5:$G$504,"Completed"))</f>
        <v/>
      </c>
      <c r="J80" s="15" t="str">
        <f aca="false">IF($A80="","",SUMIFS(Invoices!$E$5:$E$504,Invoices!$C$5:$C$504,$A80))</f>
        <v/>
      </c>
      <c r="K80" s="15" t="str">
        <f aca="false">IF($A80="","",SUMIFS(Invoices!$G$5:$G$504,Invoices!$C$5:$C$504,$A80))</f>
        <v/>
      </c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3"/>
      <c r="G81" s="12"/>
      <c r="H81" s="12"/>
      <c r="I81" s="14" t="str">
        <f aca="false">IF($A81="","",COUNTIFS(Jobs!$B$5:$B$504,$A81,Jobs!$G$5:$G$504,"Completed"))</f>
        <v/>
      </c>
      <c r="J81" s="15" t="str">
        <f aca="false">IF($A81="","",SUMIFS(Invoices!$E$5:$E$504,Invoices!$C$5:$C$504,$A81))</f>
        <v/>
      </c>
      <c r="K81" s="15" t="str">
        <f aca="false">IF($A81="","",SUMIFS(Invoices!$G$5:$G$504,Invoices!$C$5:$C$504,$A81))</f>
        <v/>
      </c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3"/>
      <c r="G82" s="12"/>
      <c r="H82" s="12"/>
      <c r="I82" s="14" t="str">
        <f aca="false">IF($A82="","",COUNTIFS(Jobs!$B$5:$B$504,$A82,Jobs!$G$5:$G$504,"Completed"))</f>
        <v/>
      </c>
      <c r="J82" s="15" t="str">
        <f aca="false">IF($A82="","",SUMIFS(Invoices!$E$5:$E$504,Invoices!$C$5:$C$504,$A82))</f>
        <v/>
      </c>
      <c r="K82" s="15" t="str">
        <f aca="false">IF($A82="","",SUMIFS(Invoices!$G$5:$G$504,Invoices!$C$5:$C$504,$A82))</f>
        <v/>
      </c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3"/>
      <c r="G83" s="12"/>
      <c r="H83" s="12"/>
      <c r="I83" s="14" t="str">
        <f aca="false">IF($A83="","",COUNTIFS(Jobs!$B$5:$B$504,$A83,Jobs!$G$5:$G$504,"Completed"))</f>
        <v/>
      </c>
      <c r="J83" s="15" t="str">
        <f aca="false">IF($A83="","",SUMIFS(Invoices!$E$5:$E$504,Invoices!$C$5:$C$504,$A83))</f>
        <v/>
      </c>
      <c r="K83" s="15" t="str">
        <f aca="false">IF($A83="","",SUMIFS(Invoices!$G$5:$G$504,Invoices!$C$5:$C$504,$A83))</f>
        <v/>
      </c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3"/>
      <c r="G84" s="12"/>
      <c r="H84" s="12"/>
      <c r="I84" s="14" t="str">
        <f aca="false">IF($A84="","",COUNTIFS(Jobs!$B$5:$B$504,$A84,Jobs!$G$5:$G$504,"Completed"))</f>
        <v/>
      </c>
      <c r="J84" s="15" t="str">
        <f aca="false">IF($A84="","",SUMIFS(Invoices!$E$5:$E$504,Invoices!$C$5:$C$504,$A84))</f>
        <v/>
      </c>
      <c r="K84" s="15" t="str">
        <f aca="false">IF($A84="","",SUMIFS(Invoices!$G$5:$G$504,Invoices!$C$5:$C$504,$A84))</f>
        <v/>
      </c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3"/>
      <c r="G85" s="12"/>
      <c r="H85" s="12"/>
      <c r="I85" s="14" t="str">
        <f aca="false">IF($A85="","",COUNTIFS(Jobs!$B$5:$B$504,$A85,Jobs!$G$5:$G$504,"Completed"))</f>
        <v/>
      </c>
      <c r="J85" s="15" t="str">
        <f aca="false">IF($A85="","",SUMIFS(Invoices!$E$5:$E$504,Invoices!$C$5:$C$504,$A85))</f>
        <v/>
      </c>
      <c r="K85" s="15" t="str">
        <f aca="false">IF($A85="","",SUMIFS(Invoices!$G$5:$G$504,Invoices!$C$5:$C$504,$A85))</f>
        <v/>
      </c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3"/>
      <c r="G86" s="12"/>
      <c r="H86" s="12"/>
      <c r="I86" s="14" t="str">
        <f aca="false">IF($A86="","",COUNTIFS(Jobs!$B$5:$B$504,$A86,Jobs!$G$5:$G$504,"Completed"))</f>
        <v/>
      </c>
      <c r="J86" s="15" t="str">
        <f aca="false">IF($A86="","",SUMIFS(Invoices!$E$5:$E$504,Invoices!$C$5:$C$504,$A86))</f>
        <v/>
      </c>
      <c r="K86" s="15" t="str">
        <f aca="false">IF($A86="","",SUMIFS(Invoices!$G$5:$G$504,Invoices!$C$5:$C$504,$A86))</f>
        <v/>
      </c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3"/>
      <c r="G87" s="12"/>
      <c r="H87" s="12"/>
      <c r="I87" s="14" t="str">
        <f aca="false">IF($A87="","",COUNTIFS(Jobs!$B$5:$B$504,$A87,Jobs!$G$5:$G$504,"Completed"))</f>
        <v/>
      </c>
      <c r="J87" s="15" t="str">
        <f aca="false">IF($A87="","",SUMIFS(Invoices!$E$5:$E$504,Invoices!$C$5:$C$504,$A87))</f>
        <v/>
      </c>
      <c r="K87" s="15" t="str">
        <f aca="false">IF($A87="","",SUMIFS(Invoices!$G$5:$G$504,Invoices!$C$5:$C$504,$A87))</f>
        <v/>
      </c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3"/>
      <c r="G88" s="12"/>
      <c r="H88" s="12"/>
      <c r="I88" s="14" t="str">
        <f aca="false">IF($A88="","",COUNTIFS(Jobs!$B$5:$B$504,$A88,Jobs!$G$5:$G$504,"Completed"))</f>
        <v/>
      </c>
      <c r="J88" s="15" t="str">
        <f aca="false">IF($A88="","",SUMIFS(Invoices!$E$5:$E$504,Invoices!$C$5:$C$504,$A88))</f>
        <v/>
      </c>
      <c r="K88" s="15" t="str">
        <f aca="false">IF($A88="","",SUMIFS(Invoices!$G$5:$G$504,Invoices!$C$5:$C$504,$A88))</f>
        <v/>
      </c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3"/>
      <c r="G89" s="12"/>
      <c r="H89" s="12"/>
      <c r="I89" s="14" t="str">
        <f aca="false">IF($A89="","",COUNTIFS(Jobs!$B$5:$B$504,$A89,Jobs!$G$5:$G$504,"Completed"))</f>
        <v/>
      </c>
      <c r="J89" s="15" t="str">
        <f aca="false">IF($A89="","",SUMIFS(Invoices!$E$5:$E$504,Invoices!$C$5:$C$504,$A89))</f>
        <v/>
      </c>
      <c r="K89" s="15" t="str">
        <f aca="false">IF($A89="","",SUMIFS(Invoices!$G$5:$G$504,Invoices!$C$5:$C$504,$A89))</f>
        <v/>
      </c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3"/>
      <c r="G90" s="12"/>
      <c r="H90" s="12"/>
      <c r="I90" s="14" t="str">
        <f aca="false">IF($A90="","",COUNTIFS(Jobs!$B$5:$B$504,$A90,Jobs!$G$5:$G$504,"Completed"))</f>
        <v/>
      </c>
      <c r="J90" s="15" t="str">
        <f aca="false">IF($A90="","",SUMIFS(Invoices!$E$5:$E$504,Invoices!$C$5:$C$504,$A90))</f>
        <v/>
      </c>
      <c r="K90" s="15" t="str">
        <f aca="false">IF($A90="","",SUMIFS(Invoices!$G$5:$G$504,Invoices!$C$5:$C$504,$A90))</f>
        <v/>
      </c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3"/>
      <c r="G91" s="12"/>
      <c r="H91" s="12"/>
      <c r="I91" s="14" t="str">
        <f aca="false">IF($A91="","",COUNTIFS(Jobs!$B$5:$B$504,$A91,Jobs!$G$5:$G$504,"Completed"))</f>
        <v/>
      </c>
      <c r="J91" s="15" t="str">
        <f aca="false">IF($A91="","",SUMIFS(Invoices!$E$5:$E$504,Invoices!$C$5:$C$504,$A91))</f>
        <v/>
      </c>
      <c r="K91" s="15" t="str">
        <f aca="false">IF($A91="","",SUMIFS(Invoices!$G$5:$G$504,Invoices!$C$5:$C$504,$A91))</f>
        <v/>
      </c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3"/>
      <c r="G92" s="12"/>
      <c r="H92" s="12"/>
      <c r="I92" s="14" t="str">
        <f aca="false">IF($A92="","",COUNTIFS(Jobs!$B$5:$B$504,$A92,Jobs!$G$5:$G$504,"Completed"))</f>
        <v/>
      </c>
      <c r="J92" s="15" t="str">
        <f aca="false">IF($A92="","",SUMIFS(Invoices!$E$5:$E$504,Invoices!$C$5:$C$504,$A92))</f>
        <v/>
      </c>
      <c r="K92" s="15" t="str">
        <f aca="false">IF($A92="","",SUMIFS(Invoices!$G$5:$G$504,Invoices!$C$5:$C$504,$A92))</f>
        <v/>
      </c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3"/>
      <c r="G93" s="12"/>
      <c r="H93" s="12"/>
      <c r="I93" s="14" t="str">
        <f aca="false">IF($A93="","",COUNTIFS(Jobs!$B$5:$B$504,$A93,Jobs!$G$5:$G$504,"Completed"))</f>
        <v/>
      </c>
      <c r="J93" s="15" t="str">
        <f aca="false">IF($A93="","",SUMIFS(Invoices!$E$5:$E$504,Invoices!$C$5:$C$504,$A93))</f>
        <v/>
      </c>
      <c r="K93" s="15" t="str">
        <f aca="false">IF($A93="","",SUMIFS(Invoices!$G$5:$G$504,Invoices!$C$5:$C$504,$A93))</f>
        <v/>
      </c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3"/>
      <c r="G94" s="12"/>
      <c r="H94" s="12"/>
      <c r="I94" s="14" t="str">
        <f aca="false">IF($A94="","",COUNTIFS(Jobs!$B$5:$B$504,$A94,Jobs!$G$5:$G$504,"Completed"))</f>
        <v/>
      </c>
      <c r="J94" s="15" t="str">
        <f aca="false">IF($A94="","",SUMIFS(Invoices!$E$5:$E$504,Invoices!$C$5:$C$504,$A94))</f>
        <v/>
      </c>
      <c r="K94" s="15" t="str">
        <f aca="false">IF($A94="","",SUMIFS(Invoices!$G$5:$G$504,Invoices!$C$5:$C$504,$A94))</f>
        <v/>
      </c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3"/>
      <c r="G95" s="12"/>
      <c r="H95" s="12"/>
      <c r="I95" s="14" t="str">
        <f aca="false">IF($A95="","",COUNTIFS(Jobs!$B$5:$B$504,$A95,Jobs!$G$5:$G$504,"Completed"))</f>
        <v/>
      </c>
      <c r="J95" s="15" t="str">
        <f aca="false">IF($A95="","",SUMIFS(Invoices!$E$5:$E$504,Invoices!$C$5:$C$504,$A95))</f>
        <v/>
      </c>
      <c r="K95" s="15" t="str">
        <f aca="false">IF($A95="","",SUMIFS(Invoices!$G$5:$G$504,Invoices!$C$5:$C$504,$A95))</f>
        <v/>
      </c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3"/>
      <c r="G96" s="12"/>
      <c r="H96" s="12"/>
      <c r="I96" s="14" t="str">
        <f aca="false">IF($A96="","",COUNTIFS(Jobs!$B$5:$B$504,$A96,Jobs!$G$5:$G$504,"Completed"))</f>
        <v/>
      </c>
      <c r="J96" s="15" t="str">
        <f aca="false">IF($A96="","",SUMIFS(Invoices!$E$5:$E$504,Invoices!$C$5:$C$504,$A96))</f>
        <v/>
      </c>
      <c r="K96" s="15" t="str">
        <f aca="false">IF($A96="","",SUMIFS(Invoices!$G$5:$G$504,Invoices!$C$5:$C$504,$A96))</f>
        <v/>
      </c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3"/>
      <c r="G97" s="12"/>
      <c r="H97" s="12"/>
      <c r="I97" s="14" t="str">
        <f aca="false">IF($A97="","",COUNTIFS(Jobs!$B$5:$B$504,$A97,Jobs!$G$5:$G$504,"Completed"))</f>
        <v/>
      </c>
      <c r="J97" s="15" t="str">
        <f aca="false">IF($A97="","",SUMIFS(Invoices!$E$5:$E$504,Invoices!$C$5:$C$504,$A97))</f>
        <v/>
      </c>
      <c r="K97" s="15" t="str">
        <f aca="false">IF($A97="","",SUMIFS(Invoices!$G$5:$G$504,Invoices!$C$5:$C$504,$A97))</f>
        <v/>
      </c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3"/>
      <c r="G98" s="12"/>
      <c r="H98" s="12"/>
      <c r="I98" s="14" t="str">
        <f aca="false">IF($A98="","",COUNTIFS(Jobs!$B$5:$B$504,$A98,Jobs!$G$5:$G$504,"Completed"))</f>
        <v/>
      </c>
      <c r="J98" s="15" t="str">
        <f aca="false">IF($A98="","",SUMIFS(Invoices!$E$5:$E$504,Invoices!$C$5:$C$504,$A98))</f>
        <v/>
      </c>
      <c r="K98" s="15" t="str">
        <f aca="false">IF($A98="","",SUMIFS(Invoices!$G$5:$G$504,Invoices!$C$5:$C$504,$A98))</f>
        <v/>
      </c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3"/>
      <c r="G99" s="12"/>
      <c r="H99" s="12"/>
      <c r="I99" s="14" t="str">
        <f aca="false">IF($A99="","",COUNTIFS(Jobs!$B$5:$B$504,$A99,Jobs!$G$5:$G$504,"Completed"))</f>
        <v/>
      </c>
      <c r="J99" s="15" t="str">
        <f aca="false">IF($A99="","",SUMIFS(Invoices!$E$5:$E$504,Invoices!$C$5:$C$504,$A99))</f>
        <v/>
      </c>
      <c r="K99" s="15" t="str">
        <f aca="false">IF($A99="","",SUMIFS(Invoices!$G$5:$G$504,Invoices!$C$5:$C$504,$A99))</f>
        <v/>
      </c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3"/>
      <c r="G100" s="12"/>
      <c r="H100" s="12"/>
      <c r="I100" s="14" t="str">
        <f aca="false">IF($A100="","",COUNTIFS(Jobs!$B$5:$B$504,$A100,Jobs!$G$5:$G$504,"Completed"))</f>
        <v/>
      </c>
      <c r="J100" s="15" t="str">
        <f aca="false">IF($A100="","",SUMIFS(Invoices!$E$5:$E$504,Invoices!$C$5:$C$504,$A100))</f>
        <v/>
      </c>
      <c r="K100" s="15" t="str">
        <f aca="false">IF($A100="","",SUMIFS(Invoices!$G$5:$G$504,Invoices!$C$5:$C$504,$A100))</f>
        <v/>
      </c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3"/>
      <c r="G101" s="12"/>
      <c r="H101" s="12"/>
      <c r="I101" s="14" t="str">
        <f aca="false">IF($A101="","",COUNTIFS(Jobs!$B$5:$B$504,$A101,Jobs!$G$5:$G$504,"Completed"))</f>
        <v/>
      </c>
      <c r="J101" s="15" t="str">
        <f aca="false">IF($A101="","",SUMIFS(Invoices!$E$5:$E$504,Invoices!$C$5:$C$504,$A101))</f>
        <v/>
      </c>
      <c r="K101" s="15" t="str">
        <f aca="false">IF($A101="","",SUMIFS(Invoices!$G$5:$G$504,Invoices!$C$5:$C$504,$A101))</f>
        <v/>
      </c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3"/>
      <c r="G102" s="12"/>
      <c r="H102" s="12"/>
      <c r="I102" s="14" t="str">
        <f aca="false">IF($A102="","",COUNTIFS(Jobs!$B$5:$B$504,$A102,Jobs!$G$5:$G$504,"Completed"))</f>
        <v/>
      </c>
      <c r="J102" s="15" t="str">
        <f aca="false">IF($A102="","",SUMIFS(Invoices!$E$5:$E$504,Invoices!$C$5:$C$504,$A102))</f>
        <v/>
      </c>
      <c r="K102" s="15" t="str">
        <f aca="false">IF($A102="","",SUMIFS(Invoices!$G$5:$G$504,Invoices!$C$5:$C$504,$A102))</f>
        <v/>
      </c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3"/>
      <c r="G103" s="12"/>
      <c r="H103" s="12"/>
      <c r="I103" s="14" t="str">
        <f aca="false">IF($A103="","",COUNTIFS(Jobs!$B$5:$B$504,$A103,Jobs!$G$5:$G$504,"Completed"))</f>
        <v/>
      </c>
      <c r="J103" s="15" t="str">
        <f aca="false">IF($A103="","",SUMIFS(Invoices!$E$5:$E$504,Invoices!$C$5:$C$504,$A103))</f>
        <v/>
      </c>
      <c r="K103" s="15" t="str">
        <f aca="false">IF($A103="","",SUMIFS(Invoices!$G$5:$G$504,Invoices!$C$5:$C$504,$A103))</f>
        <v/>
      </c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3"/>
      <c r="G104" s="12"/>
      <c r="H104" s="12"/>
      <c r="I104" s="14" t="str">
        <f aca="false">IF($A104="","",COUNTIFS(Jobs!$B$5:$B$504,$A104,Jobs!$G$5:$G$504,"Completed"))</f>
        <v/>
      </c>
      <c r="J104" s="15" t="str">
        <f aca="false">IF($A104="","",SUMIFS(Invoices!$E$5:$E$504,Invoices!$C$5:$C$504,$A104))</f>
        <v/>
      </c>
      <c r="K104" s="15" t="str">
        <f aca="false">IF($A104="","",SUMIFS(Invoices!$G$5:$G$504,Invoices!$C$5:$C$504,$A104))</f>
        <v/>
      </c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3"/>
      <c r="G105" s="12"/>
      <c r="H105" s="12"/>
      <c r="I105" s="14" t="str">
        <f aca="false">IF($A105="","",COUNTIFS(Jobs!$B$5:$B$504,$A105,Jobs!$G$5:$G$504,"Completed"))</f>
        <v/>
      </c>
      <c r="J105" s="15" t="str">
        <f aca="false">IF($A105="","",SUMIFS(Invoices!$E$5:$E$504,Invoices!$C$5:$C$504,$A105))</f>
        <v/>
      </c>
      <c r="K105" s="15" t="str">
        <f aca="false">IF($A105="","",SUMIFS(Invoices!$G$5:$G$504,Invoices!$C$5:$C$504,$A105))</f>
        <v/>
      </c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3"/>
      <c r="G106" s="12"/>
      <c r="H106" s="12"/>
      <c r="I106" s="14" t="str">
        <f aca="false">IF($A106="","",COUNTIFS(Jobs!$B$5:$B$504,$A106,Jobs!$G$5:$G$504,"Completed"))</f>
        <v/>
      </c>
      <c r="J106" s="15" t="str">
        <f aca="false">IF($A106="","",SUMIFS(Invoices!$E$5:$E$504,Invoices!$C$5:$C$504,$A106))</f>
        <v/>
      </c>
      <c r="K106" s="15" t="str">
        <f aca="false">IF($A106="","",SUMIFS(Invoices!$G$5:$G$504,Invoices!$C$5:$C$504,$A106))</f>
        <v/>
      </c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3"/>
      <c r="G107" s="12"/>
      <c r="H107" s="12"/>
      <c r="I107" s="14" t="str">
        <f aca="false">IF($A107="","",COUNTIFS(Jobs!$B$5:$B$504,$A107,Jobs!$G$5:$G$504,"Completed"))</f>
        <v/>
      </c>
      <c r="J107" s="15" t="str">
        <f aca="false">IF($A107="","",SUMIFS(Invoices!$E$5:$E$504,Invoices!$C$5:$C$504,$A107))</f>
        <v/>
      </c>
      <c r="K107" s="15" t="str">
        <f aca="false">IF($A107="","",SUMIFS(Invoices!$G$5:$G$504,Invoices!$C$5:$C$504,$A107))</f>
        <v/>
      </c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3"/>
      <c r="G108" s="12"/>
      <c r="H108" s="12"/>
      <c r="I108" s="14" t="str">
        <f aca="false">IF($A108="","",COUNTIFS(Jobs!$B$5:$B$504,$A108,Jobs!$G$5:$G$504,"Completed"))</f>
        <v/>
      </c>
      <c r="J108" s="15" t="str">
        <f aca="false">IF($A108="","",SUMIFS(Invoices!$E$5:$E$504,Invoices!$C$5:$C$504,$A108))</f>
        <v/>
      </c>
      <c r="K108" s="15" t="str">
        <f aca="false">IF($A108="","",SUMIFS(Invoices!$G$5:$G$504,Invoices!$C$5:$C$504,$A108))</f>
        <v/>
      </c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3"/>
      <c r="G109" s="12"/>
      <c r="H109" s="12"/>
      <c r="I109" s="14" t="str">
        <f aca="false">IF($A109="","",COUNTIFS(Jobs!$B$5:$B$504,$A109,Jobs!$G$5:$G$504,"Completed"))</f>
        <v/>
      </c>
      <c r="J109" s="15" t="str">
        <f aca="false">IF($A109="","",SUMIFS(Invoices!$E$5:$E$504,Invoices!$C$5:$C$504,$A109))</f>
        <v/>
      </c>
      <c r="K109" s="15" t="str">
        <f aca="false">IF($A109="","",SUMIFS(Invoices!$G$5:$G$504,Invoices!$C$5:$C$504,$A109))</f>
        <v/>
      </c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3"/>
      <c r="G110" s="12"/>
      <c r="H110" s="12"/>
      <c r="I110" s="14" t="str">
        <f aca="false">IF($A110="","",COUNTIFS(Jobs!$B$5:$B$504,$A110,Jobs!$G$5:$G$504,"Completed"))</f>
        <v/>
      </c>
      <c r="J110" s="15" t="str">
        <f aca="false">IF($A110="","",SUMIFS(Invoices!$E$5:$E$504,Invoices!$C$5:$C$504,$A110))</f>
        <v/>
      </c>
      <c r="K110" s="15" t="str">
        <f aca="false">IF($A110="","",SUMIFS(Invoices!$G$5:$G$504,Invoices!$C$5:$C$504,$A110))</f>
        <v/>
      </c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3"/>
      <c r="G111" s="12"/>
      <c r="H111" s="12"/>
      <c r="I111" s="14" t="str">
        <f aca="false">IF($A111="","",COUNTIFS(Jobs!$B$5:$B$504,$A111,Jobs!$G$5:$G$504,"Completed"))</f>
        <v/>
      </c>
      <c r="J111" s="15" t="str">
        <f aca="false">IF($A111="","",SUMIFS(Invoices!$E$5:$E$504,Invoices!$C$5:$C$504,$A111))</f>
        <v/>
      </c>
      <c r="K111" s="15" t="str">
        <f aca="false">IF($A111="","",SUMIFS(Invoices!$G$5:$G$504,Invoices!$C$5:$C$504,$A111))</f>
        <v/>
      </c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3"/>
      <c r="G112" s="12"/>
      <c r="H112" s="12"/>
      <c r="I112" s="14" t="str">
        <f aca="false">IF($A112="","",COUNTIFS(Jobs!$B$5:$B$504,$A112,Jobs!$G$5:$G$504,"Completed"))</f>
        <v/>
      </c>
      <c r="J112" s="15" t="str">
        <f aca="false">IF($A112="","",SUMIFS(Invoices!$E$5:$E$504,Invoices!$C$5:$C$504,$A112))</f>
        <v/>
      </c>
      <c r="K112" s="15" t="str">
        <f aca="false">IF($A112="","",SUMIFS(Invoices!$G$5:$G$504,Invoices!$C$5:$C$504,$A112))</f>
        <v/>
      </c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3"/>
      <c r="G113" s="12"/>
      <c r="H113" s="12"/>
      <c r="I113" s="14" t="str">
        <f aca="false">IF($A113="","",COUNTIFS(Jobs!$B$5:$B$504,$A113,Jobs!$G$5:$G$504,"Completed"))</f>
        <v/>
      </c>
      <c r="J113" s="15" t="str">
        <f aca="false">IF($A113="","",SUMIFS(Invoices!$E$5:$E$504,Invoices!$C$5:$C$504,$A113))</f>
        <v/>
      </c>
      <c r="K113" s="15" t="str">
        <f aca="false">IF($A113="","",SUMIFS(Invoices!$G$5:$G$504,Invoices!$C$5:$C$504,$A113))</f>
        <v/>
      </c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3"/>
      <c r="G114" s="12"/>
      <c r="H114" s="12"/>
      <c r="I114" s="14" t="str">
        <f aca="false">IF($A114="","",COUNTIFS(Jobs!$B$5:$B$504,$A114,Jobs!$G$5:$G$504,"Completed"))</f>
        <v/>
      </c>
      <c r="J114" s="15" t="str">
        <f aca="false">IF($A114="","",SUMIFS(Invoices!$E$5:$E$504,Invoices!$C$5:$C$504,$A114))</f>
        <v/>
      </c>
      <c r="K114" s="15" t="str">
        <f aca="false">IF($A114="","",SUMIFS(Invoices!$G$5:$G$504,Invoices!$C$5:$C$504,$A114))</f>
        <v/>
      </c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3"/>
      <c r="G115" s="12"/>
      <c r="H115" s="12"/>
      <c r="I115" s="14" t="str">
        <f aca="false">IF($A115="","",COUNTIFS(Jobs!$B$5:$B$504,$A115,Jobs!$G$5:$G$504,"Completed"))</f>
        <v/>
      </c>
      <c r="J115" s="15" t="str">
        <f aca="false">IF($A115="","",SUMIFS(Invoices!$E$5:$E$504,Invoices!$C$5:$C$504,$A115))</f>
        <v/>
      </c>
      <c r="K115" s="15" t="str">
        <f aca="false">IF($A115="","",SUMIFS(Invoices!$G$5:$G$504,Invoices!$C$5:$C$504,$A115))</f>
        <v/>
      </c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3"/>
      <c r="G116" s="12"/>
      <c r="H116" s="12"/>
      <c r="I116" s="14" t="str">
        <f aca="false">IF($A116="","",COUNTIFS(Jobs!$B$5:$B$504,$A116,Jobs!$G$5:$G$504,"Completed"))</f>
        <v/>
      </c>
      <c r="J116" s="15" t="str">
        <f aca="false">IF($A116="","",SUMIFS(Invoices!$E$5:$E$504,Invoices!$C$5:$C$504,$A116))</f>
        <v/>
      </c>
      <c r="K116" s="15" t="str">
        <f aca="false">IF($A116="","",SUMIFS(Invoices!$G$5:$G$504,Invoices!$C$5:$C$504,$A116))</f>
        <v/>
      </c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3"/>
      <c r="G117" s="12"/>
      <c r="H117" s="12"/>
      <c r="I117" s="14" t="str">
        <f aca="false">IF($A117="","",COUNTIFS(Jobs!$B$5:$B$504,$A117,Jobs!$G$5:$G$504,"Completed"))</f>
        <v/>
      </c>
      <c r="J117" s="15" t="str">
        <f aca="false">IF($A117="","",SUMIFS(Invoices!$E$5:$E$504,Invoices!$C$5:$C$504,$A117))</f>
        <v/>
      </c>
      <c r="K117" s="15" t="str">
        <f aca="false">IF($A117="","",SUMIFS(Invoices!$G$5:$G$504,Invoices!$C$5:$C$504,$A117))</f>
        <v/>
      </c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3"/>
      <c r="G118" s="12"/>
      <c r="H118" s="12"/>
      <c r="I118" s="14" t="str">
        <f aca="false">IF($A118="","",COUNTIFS(Jobs!$B$5:$B$504,$A118,Jobs!$G$5:$G$504,"Completed"))</f>
        <v/>
      </c>
      <c r="J118" s="15" t="str">
        <f aca="false">IF($A118="","",SUMIFS(Invoices!$E$5:$E$504,Invoices!$C$5:$C$504,$A118))</f>
        <v/>
      </c>
      <c r="K118" s="15" t="str">
        <f aca="false">IF($A118="","",SUMIFS(Invoices!$G$5:$G$504,Invoices!$C$5:$C$504,$A118))</f>
        <v/>
      </c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3"/>
      <c r="G119" s="12"/>
      <c r="H119" s="12"/>
      <c r="I119" s="14" t="str">
        <f aca="false">IF($A119="","",COUNTIFS(Jobs!$B$5:$B$504,$A119,Jobs!$G$5:$G$504,"Completed"))</f>
        <v/>
      </c>
      <c r="J119" s="15" t="str">
        <f aca="false">IF($A119="","",SUMIFS(Invoices!$E$5:$E$504,Invoices!$C$5:$C$504,$A119))</f>
        <v/>
      </c>
      <c r="K119" s="15" t="str">
        <f aca="false">IF($A119="","",SUMIFS(Invoices!$G$5:$G$504,Invoices!$C$5:$C$504,$A119))</f>
        <v/>
      </c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3"/>
      <c r="G120" s="12"/>
      <c r="H120" s="12"/>
      <c r="I120" s="14" t="str">
        <f aca="false">IF($A120="","",COUNTIFS(Jobs!$B$5:$B$504,$A120,Jobs!$G$5:$G$504,"Completed"))</f>
        <v/>
      </c>
      <c r="J120" s="15" t="str">
        <f aca="false">IF($A120="","",SUMIFS(Invoices!$E$5:$E$504,Invoices!$C$5:$C$504,$A120))</f>
        <v/>
      </c>
      <c r="K120" s="15" t="str">
        <f aca="false">IF($A120="","",SUMIFS(Invoices!$G$5:$G$504,Invoices!$C$5:$C$504,$A120))</f>
        <v/>
      </c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3"/>
      <c r="G121" s="12"/>
      <c r="H121" s="12"/>
      <c r="I121" s="14" t="str">
        <f aca="false">IF($A121="","",COUNTIFS(Jobs!$B$5:$B$504,$A121,Jobs!$G$5:$G$504,"Completed"))</f>
        <v/>
      </c>
      <c r="J121" s="15" t="str">
        <f aca="false">IF($A121="","",SUMIFS(Invoices!$E$5:$E$504,Invoices!$C$5:$C$504,$A121))</f>
        <v/>
      </c>
      <c r="K121" s="15" t="str">
        <f aca="false">IF($A121="","",SUMIFS(Invoices!$G$5:$G$504,Invoices!$C$5:$C$504,$A121))</f>
        <v/>
      </c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3"/>
      <c r="G122" s="12"/>
      <c r="H122" s="12"/>
      <c r="I122" s="14" t="str">
        <f aca="false">IF($A122="","",COUNTIFS(Jobs!$B$5:$B$504,$A122,Jobs!$G$5:$G$504,"Completed"))</f>
        <v/>
      </c>
      <c r="J122" s="15" t="str">
        <f aca="false">IF($A122="","",SUMIFS(Invoices!$E$5:$E$504,Invoices!$C$5:$C$504,$A122))</f>
        <v/>
      </c>
      <c r="K122" s="15" t="str">
        <f aca="false">IF($A122="","",SUMIFS(Invoices!$G$5:$G$504,Invoices!$C$5:$C$504,$A122))</f>
        <v/>
      </c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3"/>
      <c r="G123" s="12"/>
      <c r="H123" s="12"/>
      <c r="I123" s="14" t="str">
        <f aca="false">IF($A123="","",COUNTIFS(Jobs!$B$5:$B$504,$A123,Jobs!$G$5:$G$504,"Completed"))</f>
        <v/>
      </c>
      <c r="J123" s="15" t="str">
        <f aca="false">IF($A123="","",SUMIFS(Invoices!$E$5:$E$504,Invoices!$C$5:$C$504,$A123))</f>
        <v/>
      </c>
      <c r="K123" s="15" t="str">
        <f aca="false">IF($A123="","",SUMIFS(Invoices!$G$5:$G$504,Invoices!$C$5:$C$504,$A123))</f>
        <v/>
      </c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3"/>
      <c r="G124" s="12"/>
      <c r="H124" s="12"/>
      <c r="I124" s="14" t="str">
        <f aca="false">IF($A124="","",COUNTIFS(Jobs!$B$5:$B$504,$A124,Jobs!$G$5:$G$504,"Completed"))</f>
        <v/>
      </c>
      <c r="J124" s="15" t="str">
        <f aca="false">IF($A124="","",SUMIFS(Invoices!$E$5:$E$504,Invoices!$C$5:$C$504,$A124))</f>
        <v/>
      </c>
      <c r="K124" s="15" t="str">
        <f aca="false">IF($A124="","",SUMIFS(Invoices!$G$5:$G$504,Invoices!$C$5:$C$504,$A124))</f>
        <v/>
      </c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3"/>
      <c r="G125" s="12"/>
      <c r="H125" s="12"/>
      <c r="I125" s="14" t="str">
        <f aca="false">IF($A125="","",COUNTIFS(Jobs!$B$5:$B$504,$A125,Jobs!$G$5:$G$504,"Completed"))</f>
        <v/>
      </c>
      <c r="J125" s="15" t="str">
        <f aca="false">IF($A125="","",SUMIFS(Invoices!$E$5:$E$504,Invoices!$C$5:$C$504,$A125))</f>
        <v/>
      </c>
      <c r="K125" s="15" t="str">
        <f aca="false">IF($A125="","",SUMIFS(Invoices!$G$5:$G$504,Invoices!$C$5:$C$504,$A125))</f>
        <v/>
      </c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3"/>
      <c r="G126" s="12"/>
      <c r="H126" s="12"/>
      <c r="I126" s="14" t="str">
        <f aca="false">IF($A126="","",COUNTIFS(Jobs!$B$5:$B$504,$A126,Jobs!$G$5:$G$504,"Completed"))</f>
        <v/>
      </c>
      <c r="J126" s="15" t="str">
        <f aca="false">IF($A126="","",SUMIFS(Invoices!$E$5:$E$504,Invoices!$C$5:$C$504,$A126))</f>
        <v/>
      </c>
      <c r="K126" s="15" t="str">
        <f aca="false">IF($A126="","",SUMIFS(Invoices!$G$5:$G$504,Invoices!$C$5:$C$504,$A126))</f>
        <v/>
      </c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3"/>
      <c r="G127" s="12"/>
      <c r="H127" s="12"/>
      <c r="I127" s="14" t="str">
        <f aca="false">IF($A127="","",COUNTIFS(Jobs!$B$5:$B$504,$A127,Jobs!$G$5:$G$504,"Completed"))</f>
        <v/>
      </c>
      <c r="J127" s="15" t="str">
        <f aca="false">IF($A127="","",SUMIFS(Invoices!$E$5:$E$504,Invoices!$C$5:$C$504,$A127))</f>
        <v/>
      </c>
      <c r="K127" s="15" t="str">
        <f aca="false">IF($A127="","",SUMIFS(Invoices!$G$5:$G$504,Invoices!$C$5:$C$504,$A127))</f>
        <v/>
      </c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3"/>
      <c r="G128" s="12"/>
      <c r="H128" s="12"/>
      <c r="I128" s="14" t="str">
        <f aca="false">IF($A128="","",COUNTIFS(Jobs!$B$5:$B$504,$A128,Jobs!$G$5:$G$504,"Completed"))</f>
        <v/>
      </c>
      <c r="J128" s="15" t="str">
        <f aca="false">IF($A128="","",SUMIFS(Invoices!$E$5:$E$504,Invoices!$C$5:$C$504,$A128))</f>
        <v/>
      </c>
      <c r="K128" s="15" t="str">
        <f aca="false">IF($A128="","",SUMIFS(Invoices!$G$5:$G$504,Invoices!$C$5:$C$504,$A128))</f>
        <v/>
      </c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3"/>
      <c r="G129" s="12"/>
      <c r="H129" s="12"/>
      <c r="I129" s="14" t="str">
        <f aca="false">IF($A129="","",COUNTIFS(Jobs!$B$5:$B$504,$A129,Jobs!$G$5:$G$504,"Completed"))</f>
        <v/>
      </c>
      <c r="J129" s="15" t="str">
        <f aca="false">IF($A129="","",SUMIFS(Invoices!$E$5:$E$504,Invoices!$C$5:$C$504,$A129))</f>
        <v/>
      </c>
      <c r="K129" s="15" t="str">
        <f aca="false">IF($A129="","",SUMIFS(Invoices!$G$5:$G$504,Invoices!$C$5:$C$504,$A129))</f>
        <v/>
      </c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3"/>
      <c r="G130" s="12"/>
      <c r="H130" s="12"/>
      <c r="I130" s="14" t="str">
        <f aca="false">IF($A130="","",COUNTIFS(Jobs!$B$5:$B$504,$A130,Jobs!$G$5:$G$504,"Completed"))</f>
        <v/>
      </c>
      <c r="J130" s="15" t="str">
        <f aca="false">IF($A130="","",SUMIFS(Invoices!$E$5:$E$504,Invoices!$C$5:$C$504,$A130))</f>
        <v/>
      </c>
      <c r="K130" s="15" t="str">
        <f aca="false">IF($A130="","",SUMIFS(Invoices!$G$5:$G$504,Invoices!$C$5:$C$504,$A130))</f>
        <v/>
      </c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3"/>
      <c r="G131" s="12"/>
      <c r="H131" s="12"/>
      <c r="I131" s="14" t="str">
        <f aca="false">IF($A131="","",COUNTIFS(Jobs!$B$5:$B$504,$A131,Jobs!$G$5:$G$504,"Completed"))</f>
        <v/>
      </c>
      <c r="J131" s="15" t="str">
        <f aca="false">IF($A131="","",SUMIFS(Invoices!$E$5:$E$504,Invoices!$C$5:$C$504,$A131))</f>
        <v/>
      </c>
      <c r="K131" s="15" t="str">
        <f aca="false">IF($A131="","",SUMIFS(Invoices!$G$5:$G$504,Invoices!$C$5:$C$504,$A131))</f>
        <v/>
      </c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3"/>
      <c r="G132" s="12"/>
      <c r="H132" s="12"/>
      <c r="I132" s="14" t="str">
        <f aca="false">IF($A132="","",COUNTIFS(Jobs!$B$5:$B$504,$A132,Jobs!$G$5:$G$504,"Completed"))</f>
        <v/>
      </c>
      <c r="J132" s="15" t="str">
        <f aca="false">IF($A132="","",SUMIFS(Invoices!$E$5:$E$504,Invoices!$C$5:$C$504,$A132))</f>
        <v/>
      </c>
      <c r="K132" s="15" t="str">
        <f aca="false">IF($A132="","",SUMIFS(Invoices!$G$5:$G$504,Invoices!$C$5:$C$504,$A132))</f>
        <v/>
      </c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3"/>
      <c r="G133" s="12"/>
      <c r="H133" s="12"/>
      <c r="I133" s="14" t="str">
        <f aca="false">IF($A133="","",COUNTIFS(Jobs!$B$5:$B$504,$A133,Jobs!$G$5:$G$504,"Completed"))</f>
        <v/>
      </c>
      <c r="J133" s="15" t="str">
        <f aca="false">IF($A133="","",SUMIFS(Invoices!$E$5:$E$504,Invoices!$C$5:$C$504,$A133))</f>
        <v/>
      </c>
      <c r="K133" s="15" t="str">
        <f aca="false">IF($A133="","",SUMIFS(Invoices!$G$5:$G$504,Invoices!$C$5:$C$504,$A133))</f>
        <v/>
      </c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3"/>
      <c r="G134" s="12"/>
      <c r="H134" s="12"/>
      <c r="I134" s="14" t="str">
        <f aca="false">IF($A134="","",COUNTIFS(Jobs!$B$5:$B$504,$A134,Jobs!$G$5:$G$504,"Completed"))</f>
        <v/>
      </c>
      <c r="J134" s="15" t="str">
        <f aca="false">IF($A134="","",SUMIFS(Invoices!$E$5:$E$504,Invoices!$C$5:$C$504,$A134))</f>
        <v/>
      </c>
      <c r="K134" s="15" t="str">
        <f aca="false">IF($A134="","",SUMIFS(Invoices!$G$5:$G$504,Invoices!$C$5:$C$504,$A134))</f>
        <v/>
      </c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3"/>
      <c r="G135" s="12"/>
      <c r="H135" s="12"/>
      <c r="I135" s="14" t="str">
        <f aca="false">IF($A135="","",COUNTIFS(Jobs!$B$5:$B$504,$A135,Jobs!$G$5:$G$504,"Completed"))</f>
        <v/>
      </c>
      <c r="J135" s="15" t="str">
        <f aca="false">IF($A135="","",SUMIFS(Invoices!$E$5:$E$504,Invoices!$C$5:$C$504,$A135))</f>
        <v/>
      </c>
      <c r="K135" s="15" t="str">
        <f aca="false">IF($A135="","",SUMIFS(Invoices!$G$5:$G$504,Invoices!$C$5:$C$504,$A135))</f>
        <v/>
      </c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3"/>
      <c r="G136" s="12"/>
      <c r="H136" s="12"/>
      <c r="I136" s="14" t="str">
        <f aca="false">IF($A136="","",COUNTIFS(Jobs!$B$5:$B$504,$A136,Jobs!$G$5:$G$504,"Completed"))</f>
        <v/>
      </c>
      <c r="J136" s="15" t="str">
        <f aca="false">IF($A136="","",SUMIFS(Invoices!$E$5:$E$504,Invoices!$C$5:$C$504,$A136))</f>
        <v/>
      </c>
      <c r="K136" s="15" t="str">
        <f aca="false">IF($A136="","",SUMIFS(Invoices!$G$5:$G$504,Invoices!$C$5:$C$504,$A136))</f>
        <v/>
      </c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3"/>
      <c r="G137" s="12"/>
      <c r="H137" s="12"/>
      <c r="I137" s="14" t="str">
        <f aca="false">IF($A137="","",COUNTIFS(Jobs!$B$5:$B$504,$A137,Jobs!$G$5:$G$504,"Completed"))</f>
        <v/>
      </c>
      <c r="J137" s="15" t="str">
        <f aca="false">IF($A137="","",SUMIFS(Invoices!$E$5:$E$504,Invoices!$C$5:$C$504,$A137))</f>
        <v/>
      </c>
      <c r="K137" s="15" t="str">
        <f aca="false">IF($A137="","",SUMIFS(Invoices!$G$5:$G$504,Invoices!$C$5:$C$504,$A137))</f>
        <v/>
      </c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3"/>
      <c r="G138" s="12"/>
      <c r="H138" s="12"/>
      <c r="I138" s="14" t="str">
        <f aca="false">IF($A138="","",COUNTIFS(Jobs!$B$5:$B$504,$A138,Jobs!$G$5:$G$504,"Completed"))</f>
        <v/>
      </c>
      <c r="J138" s="15" t="str">
        <f aca="false">IF($A138="","",SUMIFS(Invoices!$E$5:$E$504,Invoices!$C$5:$C$504,$A138))</f>
        <v/>
      </c>
      <c r="K138" s="15" t="str">
        <f aca="false">IF($A138="","",SUMIFS(Invoices!$G$5:$G$504,Invoices!$C$5:$C$504,$A138))</f>
        <v/>
      </c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3"/>
      <c r="G139" s="12"/>
      <c r="H139" s="12"/>
      <c r="I139" s="14" t="str">
        <f aca="false">IF($A139="","",COUNTIFS(Jobs!$B$5:$B$504,$A139,Jobs!$G$5:$G$504,"Completed"))</f>
        <v/>
      </c>
      <c r="J139" s="15" t="str">
        <f aca="false">IF($A139="","",SUMIFS(Invoices!$E$5:$E$504,Invoices!$C$5:$C$504,$A139))</f>
        <v/>
      </c>
      <c r="K139" s="15" t="str">
        <f aca="false">IF($A139="","",SUMIFS(Invoices!$G$5:$G$504,Invoices!$C$5:$C$504,$A139))</f>
        <v/>
      </c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3"/>
      <c r="G140" s="12"/>
      <c r="H140" s="12"/>
      <c r="I140" s="14" t="str">
        <f aca="false">IF($A140="","",COUNTIFS(Jobs!$B$5:$B$504,$A140,Jobs!$G$5:$G$504,"Completed"))</f>
        <v/>
      </c>
      <c r="J140" s="15" t="str">
        <f aca="false">IF($A140="","",SUMIFS(Invoices!$E$5:$E$504,Invoices!$C$5:$C$504,$A140))</f>
        <v/>
      </c>
      <c r="K140" s="15" t="str">
        <f aca="false">IF($A140="","",SUMIFS(Invoices!$G$5:$G$504,Invoices!$C$5:$C$504,$A140))</f>
        <v/>
      </c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3"/>
      <c r="G141" s="12"/>
      <c r="H141" s="12"/>
      <c r="I141" s="14" t="str">
        <f aca="false">IF($A141="","",COUNTIFS(Jobs!$B$5:$B$504,$A141,Jobs!$G$5:$G$504,"Completed"))</f>
        <v/>
      </c>
      <c r="J141" s="15" t="str">
        <f aca="false">IF($A141="","",SUMIFS(Invoices!$E$5:$E$504,Invoices!$C$5:$C$504,$A141))</f>
        <v/>
      </c>
      <c r="K141" s="15" t="str">
        <f aca="false">IF($A141="","",SUMIFS(Invoices!$G$5:$G$504,Invoices!$C$5:$C$504,$A141))</f>
        <v/>
      </c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3"/>
      <c r="G142" s="12"/>
      <c r="H142" s="12"/>
      <c r="I142" s="14" t="str">
        <f aca="false">IF($A142="","",COUNTIFS(Jobs!$B$5:$B$504,$A142,Jobs!$G$5:$G$504,"Completed"))</f>
        <v/>
      </c>
      <c r="J142" s="15" t="str">
        <f aca="false">IF($A142="","",SUMIFS(Invoices!$E$5:$E$504,Invoices!$C$5:$C$504,$A142))</f>
        <v/>
      </c>
      <c r="K142" s="15" t="str">
        <f aca="false">IF($A142="","",SUMIFS(Invoices!$G$5:$G$504,Invoices!$C$5:$C$504,$A142))</f>
        <v/>
      </c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3"/>
      <c r="G143" s="12"/>
      <c r="H143" s="12"/>
      <c r="I143" s="14" t="str">
        <f aca="false">IF($A143="","",COUNTIFS(Jobs!$B$5:$B$504,$A143,Jobs!$G$5:$G$504,"Completed"))</f>
        <v/>
      </c>
      <c r="J143" s="15" t="str">
        <f aca="false">IF($A143="","",SUMIFS(Invoices!$E$5:$E$504,Invoices!$C$5:$C$504,$A143))</f>
        <v/>
      </c>
      <c r="K143" s="15" t="str">
        <f aca="false">IF($A143="","",SUMIFS(Invoices!$G$5:$G$504,Invoices!$C$5:$C$504,$A143))</f>
        <v/>
      </c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3"/>
      <c r="G144" s="12"/>
      <c r="H144" s="12"/>
      <c r="I144" s="14" t="str">
        <f aca="false">IF($A144="","",COUNTIFS(Jobs!$B$5:$B$504,$A144,Jobs!$G$5:$G$504,"Completed"))</f>
        <v/>
      </c>
      <c r="J144" s="15" t="str">
        <f aca="false">IF($A144="","",SUMIFS(Invoices!$E$5:$E$504,Invoices!$C$5:$C$504,$A144))</f>
        <v/>
      </c>
      <c r="K144" s="15" t="str">
        <f aca="false">IF($A144="","",SUMIFS(Invoices!$G$5:$G$504,Invoices!$C$5:$C$504,$A144))</f>
        <v/>
      </c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3"/>
      <c r="G145" s="12"/>
      <c r="H145" s="12"/>
      <c r="I145" s="14" t="str">
        <f aca="false">IF($A145="","",COUNTIFS(Jobs!$B$5:$B$504,$A145,Jobs!$G$5:$G$504,"Completed"))</f>
        <v/>
      </c>
      <c r="J145" s="15" t="str">
        <f aca="false">IF($A145="","",SUMIFS(Invoices!$E$5:$E$504,Invoices!$C$5:$C$504,$A145))</f>
        <v/>
      </c>
      <c r="K145" s="15" t="str">
        <f aca="false">IF($A145="","",SUMIFS(Invoices!$G$5:$G$504,Invoices!$C$5:$C$504,$A145))</f>
        <v/>
      </c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3"/>
      <c r="G146" s="12"/>
      <c r="H146" s="12"/>
      <c r="I146" s="14" t="str">
        <f aca="false">IF($A146="","",COUNTIFS(Jobs!$B$5:$B$504,$A146,Jobs!$G$5:$G$504,"Completed"))</f>
        <v/>
      </c>
      <c r="J146" s="15" t="str">
        <f aca="false">IF($A146="","",SUMIFS(Invoices!$E$5:$E$504,Invoices!$C$5:$C$504,$A146))</f>
        <v/>
      </c>
      <c r="K146" s="15" t="str">
        <f aca="false">IF($A146="","",SUMIFS(Invoices!$G$5:$G$504,Invoices!$C$5:$C$504,$A146))</f>
        <v/>
      </c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3"/>
      <c r="G147" s="12"/>
      <c r="H147" s="12"/>
      <c r="I147" s="14" t="str">
        <f aca="false">IF($A147="","",COUNTIFS(Jobs!$B$5:$B$504,$A147,Jobs!$G$5:$G$504,"Completed"))</f>
        <v/>
      </c>
      <c r="J147" s="15" t="str">
        <f aca="false">IF($A147="","",SUMIFS(Invoices!$E$5:$E$504,Invoices!$C$5:$C$504,$A147))</f>
        <v/>
      </c>
      <c r="K147" s="15" t="str">
        <f aca="false">IF($A147="","",SUMIFS(Invoices!$G$5:$G$504,Invoices!$C$5:$C$504,$A147))</f>
        <v/>
      </c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3"/>
      <c r="G148" s="12"/>
      <c r="H148" s="12"/>
      <c r="I148" s="14" t="str">
        <f aca="false">IF($A148="","",COUNTIFS(Jobs!$B$5:$B$504,$A148,Jobs!$G$5:$G$504,"Completed"))</f>
        <v/>
      </c>
      <c r="J148" s="15" t="str">
        <f aca="false">IF($A148="","",SUMIFS(Invoices!$E$5:$E$504,Invoices!$C$5:$C$504,$A148))</f>
        <v/>
      </c>
      <c r="K148" s="15" t="str">
        <f aca="false">IF($A148="","",SUMIFS(Invoices!$G$5:$G$504,Invoices!$C$5:$C$504,$A148))</f>
        <v/>
      </c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3"/>
      <c r="G149" s="12"/>
      <c r="H149" s="12"/>
      <c r="I149" s="14" t="str">
        <f aca="false">IF($A149="","",COUNTIFS(Jobs!$B$5:$B$504,$A149,Jobs!$G$5:$G$504,"Completed"))</f>
        <v/>
      </c>
      <c r="J149" s="15" t="str">
        <f aca="false">IF($A149="","",SUMIFS(Invoices!$E$5:$E$504,Invoices!$C$5:$C$504,$A149))</f>
        <v/>
      </c>
      <c r="K149" s="15" t="str">
        <f aca="false">IF($A149="","",SUMIFS(Invoices!$G$5:$G$504,Invoices!$C$5:$C$504,$A149))</f>
        <v/>
      </c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3"/>
      <c r="G150" s="12"/>
      <c r="H150" s="12"/>
      <c r="I150" s="14" t="str">
        <f aca="false">IF($A150="","",COUNTIFS(Jobs!$B$5:$B$504,$A150,Jobs!$G$5:$G$504,"Completed"))</f>
        <v/>
      </c>
      <c r="J150" s="15" t="str">
        <f aca="false">IF($A150="","",SUMIFS(Invoices!$E$5:$E$504,Invoices!$C$5:$C$504,$A150))</f>
        <v/>
      </c>
      <c r="K150" s="15" t="str">
        <f aca="false">IF($A150="","",SUMIFS(Invoices!$G$5:$G$504,Invoices!$C$5:$C$504,$A150))</f>
        <v/>
      </c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3"/>
      <c r="G151" s="12"/>
      <c r="H151" s="12"/>
      <c r="I151" s="14" t="str">
        <f aca="false">IF($A151="","",COUNTIFS(Jobs!$B$5:$B$504,$A151,Jobs!$G$5:$G$504,"Completed"))</f>
        <v/>
      </c>
      <c r="J151" s="15" t="str">
        <f aca="false">IF($A151="","",SUMIFS(Invoices!$E$5:$E$504,Invoices!$C$5:$C$504,$A151))</f>
        <v/>
      </c>
      <c r="K151" s="15" t="str">
        <f aca="false">IF($A151="","",SUMIFS(Invoices!$G$5:$G$504,Invoices!$C$5:$C$504,$A151))</f>
        <v/>
      </c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3"/>
      <c r="G152" s="12"/>
      <c r="H152" s="12"/>
      <c r="I152" s="14" t="str">
        <f aca="false">IF($A152="","",COUNTIFS(Jobs!$B$5:$B$504,$A152,Jobs!$G$5:$G$504,"Completed"))</f>
        <v/>
      </c>
      <c r="J152" s="15" t="str">
        <f aca="false">IF($A152="","",SUMIFS(Invoices!$E$5:$E$504,Invoices!$C$5:$C$504,$A152))</f>
        <v/>
      </c>
      <c r="K152" s="15" t="str">
        <f aca="false">IF($A152="","",SUMIFS(Invoices!$G$5:$G$504,Invoices!$C$5:$C$504,$A152))</f>
        <v/>
      </c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3"/>
      <c r="G153" s="12"/>
      <c r="H153" s="12"/>
      <c r="I153" s="14" t="str">
        <f aca="false">IF($A153="","",COUNTIFS(Jobs!$B$5:$B$504,$A153,Jobs!$G$5:$G$504,"Completed"))</f>
        <v/>
      </c>
      <c r="J153" s="15" t="str">
        <f aca="false">IF($A153="","",SUMIFS(Invoices!$E$5:$E$504,Invoices!$C$5:$C$504,$A153))</f>
        <v/>
      </c>
      <c r="K153" s="15" t="str">
        <f aca="false">IF($A153="","",SUMIFS(Invoices!$G$5:$G$504,Invoices!$C$5:$C$504,$A153))</f>
        <v/>
      </c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3"/>
      <c r="G154" s="12"/>
      <c r="H154" s="12"/>
      <c r="I154" s="14" t="str">
        <f aca="false">IF($A154="","",COUNTIFS(Jobs!$B$5:$B$504,$A154,Jobs!$G$5:$G$504,"Completed"))</f>
        <v/>
      </c>
      <c r="J154" s="15" t="str">
        <f aca="false">IF($A154="","",SUMIFS(Invoices!$E$5:$E$504,Invoices!$C$5:$C$504,$A154))</f>
        <v/>
      </c>
      <c r="K154" s="15" t="str">
        <f aca="false">IF($A154="","",SUMIFS(Invoices!$G$5:$G$504,Invoices!$C$5:$C$504,$A154))</f>
        <v/>
      </c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3"/>
      <c r="G155" s="12"/>
      <c r="H155" s="12"/>
      <c r="I155" s="14" t="str">
        <f aca="false">IF($A155="","",COUNTIFS(Jobs!$B$5:$B$504,$A155,Jobs!$G$5:$G$504,"Completed"))</f>
        <v/>
      </c>
      <c r="J155" s="15" t="str">
        <f aca="false">IF($A155="","",SUMIFS(Invoices!$E$5:$E$504,Invoices!$C$5:$C$504,$A155))</f>
        <v/>
      </c>
      <c r="K155" s="15" t="str">
        <f aca="false">IF($A155="","",SUMIFS(Invoices!$G$5:$G$504,Invoices!$C$5:$C$504,$A155))</f>
        <v/>
      </c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3"/>
      <c r="G156" s="12"/>
      <c r="H156" s="12"/>
      <c r="I156" s="14" t="str">
        <f aca="false">IF($A156="","",COUNTIFS(Jobs!$B$5:$B$504,$A156,Jobs!$G$5:$G$504,"Completed"))</f>
        <v/>
      </c>
      <c r="J156" s="15" t="str">
        <f aca="false">IF($A156="","",SUMIFS(Invoices!$E$5:$E$504,Invoices!$C$5:$C$504,$A156))</f>
        <v/>
      </c>
      <c r="K156" s="15" t="str">
        <f aca="false">IF($A156="","",SUMIFS(Invoices!$G$5:$G$504,Invoices!$C$5:$C$504,$A156))</f>
        <v/>
      </c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3"/>
      <c r="G157" s="12"/>
      <c r="H157" s="12"/>
      <c r="I157" s="14" t="str">
        <f aca="false">IF($A157="","",COUNTIFS(Jobs!$B$5:$B$504,$A157,Jobs!$G$5:$G$504,"Completed"))</f>
        <v/>
      </c>
      <c r="J157" s="15" t="str">
        <f aca="false">IF($A157="","",SUMIFS(Invoices!$E$5:$E$504,Invoices!$C$5:$C$504,$A157))</f>
        <v/>
      </c>
      <c r="K157" s="15" t="str">
        <f aca="false">IF($A157="","",SUMIFS(Invoices!$G$5:$G$504,Invoices!$C$5:$C$504,$A157))</f>
        <v/>
      </c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3"/>
      <c r="G158" s="12"/>
      <c r="H158" s="12"/>
      <c r="I158" s="14" t="str">
        <f aca="false">IF($A158="","",COUNTIFS(Jobs!$B$5:$B$504,$A158,Jobs!$G$5:$G$504,"Completed"))</f>
        <v/>
      </c>
      <c r="J158" s="15" t="str">
        <f aca="false">IF($A158="","",SUMIFS(Invoices!$E$5:$E$504,Invoices!$C$5:$C$504,$A158))</f>
        <v/>
      </c>
      <c r="K158" s="15" t="str">
        <f aca="false">IF($A158="","",SUMIFS(Invoices!$G$5:$G$504,Invoices!$C$5:$C$504,$A158))</f>
        <v/>
      </c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3"/>
      <c r="G159" s="12"/>
      <c r="H159" s="12"/>
      <c r="I159" s="14" t="str">
        <f aca="false">IF($A159="","",COUNTIFS(Jobs!$B$5:$B$504,$A159,Jobs!$G$5:$G$504,"Completed"))</f>
        <v/>
      </c>
      <c r="J159" s="15" t="str">
        <f aca="false">IF($A159="","",SUMIFS(Invoices!$E$5:$E$504,Invoices!$C$5:$C$504,$A159))</f>
        <v/>
      </c>
      <c r="K159" s="15" t="str">
        <f aca="false">IF($A159="","",SUMIFS(Invoices!$G$5:$G$504,Invoices!$C$5:$C$504,$A159))</f>
        <v/>
      </c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3"/>
      <c r="G160" s="12"/>
      <c r="H160" s="12"/>
      <c r="I160" s="14" t="str">
        <f aca="false">IF($A160="","",COUNTIFS(Jobs!$B$5:$B$504,$A160,Jobs!$G$5:$G$504,"Completed"))</f>
        <v/>
      </c>
      <c r="J160" s="15" t="str">
        <f aca="false">IF($A160="","",SUMIFS(Invoices!$E$5:$E$504,Invoices!$C$5:$C$504,$A160))</f>
        <v/>
      </c>
      <c r="K160" s="15" t="str">
        <f aca="false">IF($A160="","",SUMIFS(Invoices!$G$5:$G$504,Invoices!$C$5:$C$504,$A160))</f>
        <v/>
      </c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3"/>
      <c r="G161" s="12"/>
      <c r="H161" s="12"/>
      <c r="I161" s="14" t="str">
        <f aca="false">IF($A161="","",COUNTIFS(Jobs!$B$5:$B$504,$A161,Jobs!$G$5:$G$504,"Completed"))</f>
        <v/>
      </c>
      <c r="J161" s="15" t="str">
        <f aca="false">IF($A161="","",SUMIFS(Invoices!$E$5:$E$504,Invoices!$C$5:$C$504,$A161))</f>
        <v/>
      </c>
      <c r="K161" s="15" t="str">
        <f aca="false">IF($A161="","",SUMIFS(Invoices!$G$5:$G$504,Invoices!$C$5:$C$504,$A161))</f>
        <v/>
      </c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3"/>
      <c r="G162" s="12"/>
      <c r="H162" s="12"/>
      <c r="I162" s="14" t="str">
        <f aca="false">IF($A162="","",COUNTIFS(Jobs!$B$5:$B$504,$A162,Jobs!$G$5:$G$504,"Completed"))</f>
        <v/>
      </c>
      <c r="J162" s="15" t="str">
        <f aca="false">IF($A162="","",SUMIFS(Invoices!$E$5:$E$504,Invoices!$C$5:$C$504,$A162))</f>
        <v/>
      </c>
      <c r="K162" s="15" t="str">
        <f aca="false">IF($A162="","",SUMIFS(Invoices!$G$5:$G$504,Invoices!$C$5:$C$504,$A162))</f>
        <v/>
      </c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3"/>
      <c r="G163" s="12"/>
      <c r="H163" s="12"/>
      <c r="I163" s="14" t="str">
        <f aca="false">IF($A163="","",COUNTIFS(Jobs!$B$5:$B$504,$A163,Jobs!$G$5:$G$504,"Completed"))</f>
        <v/>
      </c>
      <c r="J163" s="15" t="str">
        <f aca="false">IF($A163="","",SUMIFS(Invoices!$E$5:$E$504,Invoices!$C$5:$C$504,$A163))</f>
        <v/>
      </c>
      <c r="K163" s="15" t="str">
        <f aca="false">IF($A163="","",SUMIFS(Invoices!$G$5:$G$504,Invoices!$C$5:$C$504,$A163))</f>
        <v/>
      </c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3"/>
      <c r="G164" s="12"/>
      <c r="H164" s="12"/>
      <c r="I164" s="14" t="str">
        <f aca="false">IF($A164="","",COUNTIFS(Jobs!$B$5:$B$504,$A164,Jobs!$G$5:$G$504,"Completed"))</f>
        <v/>
      </c>
      <c r="J164" s="15" t="str">
        <f aca="false">IF($A164="","",SUMIFS(Invoices!$E$5:$E$504,Invoices!$C$5:$C$504,$A164))</f>
        <v/>
      </c>
      <c r="K164" s="15" t="str">
        <f aca="false">IF($A164="","",SUMIFS(Invoices!$G$5:$G$504,Invoices!$C$5:$C$504,$A164))</f>
        <v/>
      </c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3"/>
      <c r="G165" s="12"/>
      <c r="H165" s="12"/>
      <c r="I165" s="14" t="str">
        <f aca="false">IF($A165="","",COUNTIFS(Jobs!$B$5:$B$504,$A165,Jobs!$G$5:$G$504,"Completed"))</f>
        <v/>
      </c>
      <c r="J165" s="15" t="str">
        <f aca="false">IF($A165="","",SUMIFS(Invoices!$E$5:$E$504,Invoices!$C$5:$C$504,$A165))</f>
        <v/>
      </c>
      <c r="K165" s="15" t="str">
        <f aca="false">IF($A165="","",SUMIFS(Invoices!$G$5:$G$504,Invoices!$C$5:$C$504,$A165))</f>
        <v/>
      </c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3"/>
      <c r="G166" s="12"/>
      <c r="H166" s="12"/>
      <c r="I166" s="14" t="str">
        <f aca="false">IF($A166="","",COUNTIFS(Jobs!$B$5:$B$504,$A166,Jobs!$G$5:$G$504,"Completed"))</f>
        <v/>
      </c>
      <c r="J166" s="15" t="str">
        <f aca="false">IF($A166="","",SUMIFS(Invoices!$E$5:$E$504,Invoices!$C$5:$C$504,$A166))</f>
        <v/>
      </c>
      <c r="K166" s="15" t="str">
        <f aca="false">IF($A166="","",SUMIFS(Invoices!$G$5:$G$504,Invoices!$C$5:$C$504,$A166))</f>
        <v/>
      </c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3"/>
      <c r="G167" s="12"/>
      <c r="H167" s="12"/>
      <c r="I167" s="14" t="str">
        <f aca="false">IF($A167="","",COUNTIFS(Jobs!$B$5:$B$504,$A167,Jobs!$G$5:$G$504,"Completed"))</f>
        <v/>
      </c>
      <c r="J167" s="15" t="str">
        <f aca="false">IF($A167="","",SUMIFS(Invoices!$E$5:$E$504,Invoices!$C$5:$C$504,$A167))</f>
        <v/>
      </c>
      <c r="K167" s="15" t="str">
        <f aca="false">IF($A167="","",SUMIFS(Invoices!$G$5:$G$504,Invoices!$C$5:$C$504,$A167))</f>
        <v/>
      </c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3"/>
      <c r="G168" s="12"/>
      <c r="H168" s="12"/>
      <c r="I168" s="14" t="str">
        <f aca="false">IF($A168="","",COUNTIFS(Jobs!$B$5:$B$504,$A168,Jobs!$G$5:$G$504,"Completed"))</f>
        <v/>
      </c>
      <c r="J168" s="15" t="str">
        <f aca="false">IF($A168="","",SUMIFS(Invoices!$E$5:$E$504,Invoices!$C$5:$C$504,$A168))</f>
        <v/>
      </c>
      <c r="K168" s="15" t="str">
        <f aca="false">IF($A168="","",SUMIFS(Invoices!$G$5:$G$504,Invoices!$C$5:$C$504,$A168))</f>
        <v/>
      </c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3"/>
      <c r="G169" s="12"/>
      <c r="H169" s="12"/>
      <c r="I169" s="14" t="str">
        <f aca="false">IF($A169="","",COUNTIFS(Jobs!$B$5:$B$504,$A169,Jobs!$G$5:$G$504,"Completed"))</f>
        <v/>
      </c>
      <c r="J169" s="15" t="str">
        <f aca="false">IF($A169="","",SUMIFS(Invoices!$E$5:$E$504,Invoices!$C$5:$C$504,$A169))</f>
        <v/>
      </c>
      <c r="K169" s="15" t="str">
        <f aca="false">IF($A169="","",SUMIFS(Invoices!$G$5:$G$504,Invoices!$C$5:$C$504,$A169))</f>
        <v/>
      </c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3"/>
      <c r="G170" s="12"/>
      <c r="H170" s="12"/>
      <c r="I170" s="14" t="str">
        <f aca="false">IF($A170="","",COUNTIFS(Jobs!$B$5:$B$504,$A170,Jobs!$G$5:$G$504,"Completed"))</f>
        <v/>
      </c>
      <c r="J170" s="15" t="str">
        <f aca="false">IF($A170="","",SUMIFS(Invoices!$E$5:$E$504,Invoices!$C$5:$C$504,$A170))</f>
        <v/>
      </c>
      <c r="K170" s="15" t="str">
        <f aca="false">IF($A170="","",SUMIFS(Invoices!$G$5:$G$504,Invoices!$C$5:$C$504,$A170))</f>
        <v/>
      </c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3"/>
      <c r="G171" s="12"/>
      <c r="H171" s="12"/>
      <c r="I171" s="14" t="str">
        <f aca="false">IF($A171="","",COUNTIFS(Jobs!$B$5:$B$504,$A171,Jobs!$G$5:$G$504,"Completed"))</f>
        <v/>
      </c>
      <c r="J171" s="15" t="str">
        <f aca="false">IF($A171="","",SUMIFS(Invoices!$E$5:$E$504,Invoices!$C$5:$C$504,$A171))</f>
        <v/>
      </c>
      <c r="K171" s="15" t="str">
        <f aca="false">IF($A171="","",SUMIFS(Invoices!$G$5:$G$504,Invoices!$C$5:$C$504,$A171))</f>
        <v/>
      </c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3"/>
      <c r="G172" s="12"/>
      <c r="H172" s="12"/>
      <c r="I172" s="14" t="str">
        <f aca="false">IF($A172="","",COUNTIFS(Jobs!$B$5:$B$504,$A172,Jobs!$G$5:$G$504,"Completed"))</f>
        <v/>
      </c>
      <c r="J172" s="15" t="str">
        <f aca="false">IF($A172="","",SUMIFS(Invoices!$E$5:$E$504,Invoices!$C$5:$C$504,$A172))</f>
        <v/>
      </c>
      <c r="K172" s="15" t="str">
        <f aca="false">IF($A172="","",SUMIFS(Invoices!$G$5:$G$504,Invoices!$C$5:$C$504,$A172))</f>
        <v/>
      </c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3"/>
      <c r="G173" s="12"/>
      <c r="H173" s="12"/>
      <c r="I173" s="14" t="str">
        <f aca="false">IF($A173="","",COUNTIFS(Jobs!$B$5:$B$504,$A173,Jobs!$G$5:$G$504,"Completed"))</f>
        <v/>
      </c>
      <c r="J173" s="15" t="str">
        <f aca="false">IF($A173="","",SUMIFS(Invoices!$E$5:$E$504,Invoices!$C$5:$C$504,$A173))</f>
        <v/>
      </c>
      <c r="K173" s="15" t="str">
        <f aca="false">IF($A173="","",SUMIFS(Invoices!$G$5:$G$504,Invoices!$C$5:$C$504,$A173))</f>
        <v/>
      </c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3"/>
      <c r="G174" s="12"/>
      <c r="H174" s="12"/>
      <c r="I174" s="14" t="str">
        <f aca="false">IF($A174="","",COUNTIFS(Jobs!$B$5:$B$504,$A174,Jobs!$G$5:$G$504,"Completed"))</f>
        <v/>
      </c>
      <c r="J174" s="15" t="str">
        <f aca="false">IF($A174="","",SUMIFS(Invoices!$E$5:$E$504,Invoices!$C$5:$C$504,$A174))</f>
        <v/>
      </c>
      <c r="K174" s="15" t="str">
        <f aca="false">IF($A174="","",SUMIFS(Invoices!$G$5:$G$504,Invoices!$C$5:$C$504,$A174))</f>
        <v/>
      </c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3"/>
      <c r="G175" s="12"/>
      <c r="H175" s="12"/>
      <c r="I175" s="14" t="str">
        <f aca="false">IF($A175="","",COUNTIFS(Jobs!$B$5:$B$504,$A175,Jobs!$G$5:$G$504,"Completed"))</f>
        <v/>
      </c>
      <c r="J175" s="15" t="str">
        <f aca="false">IF($A175="","",SUMIFS(Invoices!$E$5:$E$504,Invoices!$C$5:$C$504,$A175))</f>
        <v/>
      </c>
      <c r="K175" s="15" t="str">
        <f aca="false">IF($A175="","",SUMIFS(Invoices!$G$5:$G$504,Invoices!$C$5:$C$504,$A175))</f>
        <v/>
      </c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3"/>
      <c r="G176" s="12"/>
      <c r="H176" s="12"/>
      <c r="I176" s="14" t="str">
        <f aca="false">IF($A176="","",COUNTIFS(Jobs!$B$5:$B$504,$A176,Jobs!$G$5:$G$504,"Completed"))</f>
        <v/>
      </c>
      <c r="J176" s="15" t="str">
        <f aca="false">IF($A176="","",SUMIFS(Invoices!$E$5:$E$504,Invoices!$C$5:$C$504,$A176))</f>
        <v/>
      </c>
      <c r="K176" s="15" t="str">
        <f aca="false">IF($A176="","",SUMIFS(Invoices!$G$5:$G$504,Invoices!$C$5:$C$504,$A176))</f>
        <v/>
      </c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3"/>
      <c r="G177" s="12"/>
      <c r="H177" s="12"/>
      <c r="I177" s="14" t="str">
        <f aca="false">IF($A177="","",COUNTIFS(Jobs!$B$5:$B$504,$A177,Jobs!$G$5:$G$504,"Completed"))</f>
        <v/>
      </c>
      <c r="J177" s="15" t="str">
        <f aca="false">IF($A177="","",SUMIFS(Invoices!$E$5:$E$504,Invoices!$C$5:$C$504,$A177))</f>
        <v/>
      </c>
      <c r="K177" s="15" t="str">
        <f aca="false">IF($A177="","",SUMIFS(Invoices!$G$5:$G$504,Invoices!$C$5:$C$504,$A177))</f>
        <v/>
      </c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3"/>
      <c r="G178" s="12"/>
      <c r="H178" s="12"/>
      <c r="I178" s="14" t="str">
        <f aca="false">IF($A178="","",COUNTIFS(Jobs!$B$5:$B$504,$A178,Jobs!$G$5:$G$504,"Completed"))</f>
        <v/>
      </c>
      <c r="J178" s="15" t="str">
        <f aca="false">IF($A178="","",SUMIFS(Invoices!$E$5:$E$504,Invoices!$C$5:$C$504,$A178))</f>
        <v/>
      </c>
      <c r="K178" s="15" t="str">
        <f aca="false">IF($A178="","",SUMIFS(Invoices!$G$5:$G$504,Invoices!$C$5:$C$504,$A178))</f>
        <v/>
      </c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3"/>
      <c r="G179" s="12"/>
      <c r="H179" s="12"/>
      <c r="I179" s="14" t="str">
        <f aca="false">IF($A179="","",COUNTIFS(Jobs!$B$5:$B$504,$A179,Jobs!$G$5:$G$504,"Completed"))</f>
        <v/>
      </c>
      <c r="J179" s="15" t="str">
        <f aca="false">IF($A179="","",SUMIFS(Invoices!$E$5:$E$504,Invoices!$C$5:$C$504,$A179))</f>
        <v/>
      </c>
      <c r="K179" s="15" t="str">
        <f aca="false">IF($A179="","",SUMIFS(Invoices!$G$5:$G$504,Invoices!$C$5:$C$504,$A179))</f>
        <v/>
      </c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3"/>
      <c r="G180" s="12"/>
      <c r="H180" s="12"/>
      <c r="I180" s="14" t="str">
        <f aca="false">IF($A180="","",COUNTIFS(Jobs!$B$5:$B$504,$A180,Jobs!$G$5:$G$504,"Completed"))</f>
        <v/>
      </c>
      <c r="J180" s="15" t="str">
        <f aca="false">IF($A180="","",SUMIFS(Invoices!$E$5:$E$504,Invoices!$C$5:$C$504,$A180))</f>
        <v/>
      </c>
      <c r="K180" s="15" t="str">
        <f aca="false">IF($A180="","",SUMIFS(Invoices!$G$5:$G$504,Invoices!$C$5:$C$504,$A180))</f>
        <v/>
      </c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3"/>
      <c r="G181" s="12"/>
      <c r="H181" s="12"/>
      <c r="I181" s="14" t="str">
        <f aca="false">IF($A181="","",COUNTIFS(Jobs!$B$5:$B$504,$A181,Jobs!$G$5:$G$504,"Completed"))</f>
        <v/>
      </c>
      <c r="J181" s="15" t="str">
        <f aca="false">IF($A181="","",SUMIFS(Invoices!$E$5:$E$504,Invoices!$C$5:$C$504,$A181))</f>
        <v/>
      </c>
      <c r="K181" s="15" t="str">
        <f aca="false">IF($A181="","",SUMIFS(Invoices!$G$5:$G$504,Invoices!$C$5:$C$504,$A181))</f>
        <v/>
      </c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3"/>
      <c r="G182" s="12"/>
      <c r="H182" s="12"/>
      <c r="I182" s="14" t="str">
        <f aca="false">IF($A182="","",COUNTIFS(Jobs!$B$5:$B$504,$A182,Jobs!$G$5:$G$504,"Completed"))</f>
        <v/>
      </c>
      <c r="J182" s="15" t="str">
        <f aca="false">IF($A182="","",SUMIFS(Invoices!$E$5:$E$504,Invoices!$C$5:$C$504,$A182))</f>
        <v/>
      </c>
      <c r="K182" s="15" t="str">
        <f aca="false">IF($A182="","",SUMIFS(Invoices!$G$5:$G$504,Invoices!$C$5:$C$504,$A182))</f>
        <v/>
      </c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3"/>
      <c r="G183" s="12"/>
      <c r="H183" s="12"/>
      <c r="I183" s="14" t="str">
        <f aca="false">IF($A183="","",COUNTIFS(Jobs!$B$5:$B$504,$A183,Jobs!$G$5:$G$504,"Completed"))</f>
        <v/>
      </c>
      <c r="J183" s="15" t="str">
        <f aca="false">IF($A183="","",SUMIFS(Invoices!$E$5:$E$504,Invoices!$C$5:$C$504,$A183))</f>
        <v/>
      </c>
      <c r="K183" s="15" t="str">
        <f aca="false">IF($A183="","",SUMIFS(Invoices!$G$5:$G$504,Invoices!$C$5:$C$504,$A183))</f>
        <v/>
      </c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3"/>
      <c r="G184" s="12"/>
      <c r="H184" s="12"/>
      <c r="I184" s="14" t="str">
        <f aca="false">IF($A184="","",COUNTIFS(Jobs!$B$5:$B$504,$A184,Jobs!$G$5:$G$504,"Completed"))</f>
        <v/>
      </c>
      <c r="J184" s="15" t="str">
        <f aca="false">IF($A184="","",SUMIFS(Invoices!$E$5:$E$504,Invoices!$C$5:$C$504,$A184))</f>
        <v/>
      </c>
      <c r="K184" s="15" t="str">
        <f aca="false">IF($A184="","",SUMIFS(Invoices!$G$5:$G$504,Invoices!$C$5:$C$504,$A184))</f>
        <v/>
      </c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3"/>
      <c r="G185" s="12"/>
      <c r="H185" s="12"/>
      <c r="I185" s="14" t="str">
        <f aca="false">IF($A185="","",COUNTIFS(Jobs!$B$5:$B$504,$A185,Jobs!$G$5:$G$504,"Completed"))</f>
        <v/>
      </c>
      <c r="J185" s="15" t="str">
        <f aca="false">IF($A185="","",SUMIFS(Invoices!$E$5:$E$504,Invoices!$C$5:$C$504,$A185))</f>
        <v/>
      </c>
      <c r="K185" s="15" t="str">
        <f aca="false">IF($A185="","",SUMIFS(Invoices!$G$5:$G$504,Invoices!$C$5:$C$504,$A185))</f>
        <v/>
      </c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3"/>
      <c r="G186" s="12"/>
      <c r="H186" s="12"/>
      <c r="I186" s="14" t="str">
        <f aca="false">IF($A186="","",COUNTIFS(Jobs!$B$5:$B$504,$A186,Jobs!$G$5:$G$504,"Completed"))</f>
        <v/>
      </c>
      <c r="J186" s="15" t="str">
        <f aca="false">IF($A186="","",SUMIFS(Invoices!$E$5:$E$504,Invoices!$C$5:$C$504,$A186))</f>
        <v/>
      </c>
      <c r="K186" s="15" t="str">
        <f aca="false">IF($A186="","",SUMIFS(Invoices!$G$5:$G$504,Invoices!$C$5:$C$504,$A186))</f>
        <v/>
      </c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3"/>
      <c r="G187" s="12"/>
      <c r="H187" s="12"/>
      <c r="I187" s="14" t="str">
        <f aca="false">IF($A187="","",COUNTIFS(Jobs!$B$5:$B$504,$A187,Jobs!$G$5:$G$504,"Completed"))</f>
        <v/>
      </c>
      <c r="J187" s="15" t="str">
        <f aca="false">IF($A187="","",SUMIFS(Invoices!$E$5:$E$504,Invoices!$C$5:$C$504,$A187))</f>
        <v/>
      </c>
      <c r="K187" s="15" t="str">
        <f aca="false">IF($A187="","",SUMIFS(Invoices!$G$5:$G$504,Invoices!$C$5:$C$504,$A187))</f>
        <v/>
      </c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3"/>
      <c r="G188" s="12"/>
      <c r="H188" s="12"/>
      <c r="I188" s="14" t="str">
        <f aca="false">IF($A188="","",COUNTIFS(Jobs!$B$5:$B$504,$A188,Jobs!$G$5:$G$504,"Completed"))</f>
        <v/>
      </c>
      <c r="J188" s="15" t="str">
        <f aca="false">IF($A188="","",SUMIFS(Invoices!$E$5:$E$504,Invoices!$C$5:$C$504,$A188))</f>
        <v/>
      </c>
      <c r="K188" s="15" t="str">
        <f aca="false">IF($A188="","",SUMIFS(Invoices!$G$5:$G$504,Invoices!$C$5:$C$504,$A188))</f>
        <v/>
      </c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3"/>
      <c r="G189" s="12"/>
      <c r="H189" s="12"/>
      <c r="I189" s="14" t="str">
        <f aca="false">IF($A189="","",COUNTIFS(Jobs!$B$5:$B$504,$A189,Jobs!$G$5:$G$504,"Completed"))</f>
        <v/>
      </c>
      <c r="J189" s="15" t="str">
        <f aca="false">IF($A189="","",SUMIFS(Invoices!$E$5:$E$504,Invoices!$C$5:$C$504,$A189))</f>
        <v/>
      </c>
      <c r="K189" s="15" t="str">
        <f aca="false">IF($A189="","",SUMIFS(Invoices!$G$5:$G$504,Invoices!$C$5:$C$504,$A189))</f>
        <v/>
      </c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3"/>
      <c r="G190" s="12"/>
      <c r="H190" s="12"/>
      <c r="I190" s="14" t="str">
        <f aca="false">IF($A190="","",COUNTIFS(Jobs!$B$5:$B$504,$A190,Jobs!$G$5:$G$504,"Completed"))</f>
        <v/>
      </c>
      <c r="J190" s="15" t="str">
        <f aca="false">IF($A190="","",SUMIFS(Invoices!$E$5:$E$504,Invoices!$C$5:$C$504,$A190))</f>
        <v/>
      </c>
      <c r="K190" s="15" t="str">
        <f aca="false">IF($A190="","",SUMIFS(Invoices!$G$5:$G$504,Invoices!$C$5:$C$504,$A190))</f>
        <v/>
      </c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3"/>
      <c r="G191" s="12"/>
      <c r="H191" s="12"/>
      <c r="I191" s="14" t="str">
        <f aca="false">IF($A191="","",COUNTIFS(Jobs!$B$5:$B$504,$A191,Jobs!$G$5:$G$504,"Completed"))</f>
        <v/>
      </c>
      <c r="J191" s="15" t="str">
        <f aca="false">IF($A191="","",SUMIFS(Invoices!$E$5:$E$504,Invoices!$C$5:$C$504,$A191))</f>
        <v/>
      </c>
      <c r="K191" s="15" t="str">
        <f aca="false">IF($A191="","",SUMIFS(Invoices!$G$5:$G$504,Invoices!$C$5:$C$504,$A191))</f>
        <v/>
      </c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3"/>
      <c r="G192" s="12"/>
      <c r="H192" s="12"/>
      <c r="I192" s="14" t="str">
        <f aca="false">IF($A192="","",COUNTIFS(Jobs!$B$5:$B$504,$A192,Jobs!$G$5:$G$504,"Completed"))</f>
        <v/>
      </c>
      <c r="J192" s="15" t="str">
        <f aca="false">IF($A192="","",SUMIFS(Invoices!$E$5:$E$504,Invoices!$C$5:$C$504,$A192))</f>
        <v/>
      </c>
      <c r="K192" s="15" t="str">
        <f aca="false">IF($A192="","",SUMIFS(Invoices!$G$5:$G$504,Invoices!$C$5:$C$504,$A192))</f>
        <v/>
      </c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3"/>
      <c r="G193" s="12"/>
      <c r="H193" s="12"/>
      <c r="I193" s="14" t="str">
        <f aca="false">IF($A193="","",COUNTIFS(Jobs!$B$5:$B$504,$A193,Jobs!$G$5:$G$504,"Completed"))</f>
        <v/>
      </c>
      <c r="J193" s="15" t="str">
        <f aca="false">IF($A193="","",SUMIFS(Invoices!$E$5:$E$504,Invoices!$C$5:$C$504,$A193))</f>
        <v/>
      </c>
      <c r="K193" s="15" t="str">
        <f aca="false">IF($A193="","",SUMIFS(Invoices!$G$5:$G$504,Invoices!$C$5:$C$504,$A193))</f>
        <v/>
      </c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3"/>
      <c r="G194" s="12"/>
      <c r="H194" s="12"/>
      <c r="I194" s="14" t="str">
        <f aca="false">IF($A194="","",COUNTIFS(Jobs!$B$5:$B$504,$A194,Jobs!$G$5:$G$504,"Completed"))</f>
        <v/>
      </c>
      <c r="J194" s="15" t="str">
        <f aca="false">IF($A194="","",SUMIFS(Invoices!$E$5:$E$504,Invoices!$C$5:$C$504,$A194))</f>
        <v/>
      </c>
      <c r="K194" s="15" t="str">
        <f aca="false">IF($A194="","",SUMIFS(Invoices!$G$5:$G$504,Invoices!$C$5:$C$504,$A194))</f>
        <v/>
      </c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3"/>
      <c r="G195" s="12"/>
      <c r="H195" s="12"/>
      <c r="I195" s="14" t="str">
        <f aca="false">IF($A195="","",COUNTIFS(Jobs!$B$5:$B$504,$A195,Jobs!$G$5:$G$504,"Completed"))</f>
        <v/>
      </c>
      <c r="J195" s="15" t="str">
        <f aca="false">IF($A195="","",SUMIFS(Invoices!$E$5:$E$504,Invoices!$C$5:$C$504,$A195))</f>
        <v/>
      </c>
      <c r="K195" s="15" t="str">
        <f aca="false">IF($A195="","",SUMIFS(Invoices!$G$5:$G$504,Invoices!$C$5:$C$504,$A195))</f>
        <v/>
      </c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3"/>
      <c r="G196" s="12"/>
      <c r="H196" s="12"/>
      <c r="I196" s="14" t="str">
        <f aca="false">IF($A196="","",COUNTIFS(Jobs!$B$5:$B$504,$A196,Jobs!$G$5:$G$504,"Completed"))</f>
        <v/>
      </c>
      <c r="J196" s="15" t="str">
        <f aca="false">IF($A196="","",SUMIFS(Invoices!$E$5:$E$504,Invoices!$C$5:$C$504,$A196))</f>
        <v/>
      </c>
      <c r="K196" s="15" t="str">
        <f aca="false">IF($A196="","",SUMIFS(Invoices!$G$5:$G$504,Invoices!$C$5:$C$504,$A196))</f>
        <v/>
      </c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3"/>
      <c r="G197" s="12"/>
      <c r="H197" s="12"/>
      <c r="I197" s="14" t="str">
        <f aca="false">IF($A197="","",COUNTIFS(Jobs!$B$5:$B$504,$A197,Jobs!$G$5:$G$504,"Completed"))</f>
        <v/>
      </c>
      <c r="J197" s="15" t="str">
        <f aca="false">IF($A197="","",SUMIFS(Invoices!$E$5:$E$504,Invoices!$C$5:$C$504,$A197))</f>
        <v/>
      </c>
      <c r="K197" s="15" t="str">
        <f aca="false">IF($A197="","",SUMIFS(Invoices!$G$5:$G$504,Invoices!$C$5:$C$504,$A197))</f>
        <v/>
      </c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3"/>
      <c r="G198" s="12"/>
      <c r="H198" s="12"/>
      <c r="I198" s="14" t="str">
        <f aca="false">IF($A198="","",COUNTIFS(Jobs!$B$5:$B$504,$A198,Jobs!$G$5:$G$504,"Completed"))</f>
        <v/>
      </c>
      <c r="J198" s="15" t="str">
        <f aca="false">IF($A198="","",SUMIFS(Invoices!$E$5:$E$504,Invoices!$C$5:$C$504,$A198))</f>
        <v/>
      </c>
      <c r="K198" s="15" t="str">
        <f aca="false">IF($A198="","",SUMIFS(Invoices!$G$5:$G$504,Invoices!$C$5:$C$504,$A198))</f>
        <v/>
      </c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3"/>
      <c r="G199" s="12"/>
      <c r="H199" s="12"/>
      <c r="I199" s="14" t="str">
        <f aca="false">IF($A199="","",COUNTIFS(Jobs!$B$5:$B$504,$A199,Jobs!$G$5:$G$504,"Completed"))</f>
        <v/>
      </c>
      <c r="J199" s="15" t="str">
        <f aca="false">IF($A199="","",SUMIFS(Invoices!$E$5:$E$504,Invoices!$C$5:$C$504,$A199))</f>
        <v/>
      </c>
      <c r="K199" s="15" t="str">
        <f aca="false">IF($A199="","",SUMIFS(Invoices!$G$5:$G$504,Invoices!$C$5:$C$504,$A199))</f>
        <v/>
      </c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3"/>
      <c r="G200" s="12"/>
      <c r="H200" s="12"/>
      <c r="I200" s="14" t="str">
        <f aca="false">IF($A200="","",COUNTIFS(Jobs!$B$5:$B$504,$A200,Jobs!$G$5:$G$504,"Completed"))</f>
        <v/>
      </c>
      <c r="J200" s="15" t="str">
        <f aca="false">IF($A200="","",SUMIFS(Invoices!$E$5:$E$504,Invoices!$C$5:$C$504,$A200))</f>
        <v/>
      </c>
      <c r="K200" s="15" t="str">
        <f aca="false">IF($A200="","",SUMIFS(Invoices!$G$5:$G$504,Invoices!$C$5:$C$504,$A200))</f>
        <v/>
      </c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3"/>
      <c r="G201" s="12"/>
      <c r="H201" s="12"/>
      <c r="I201" s="14" t="str">
        <f aca="false">IF($A201="","",COUNTIFS(Jobs!$B$5:$B$504,$A201,Jobs!$G$5:$G$504,"Completed"))</f>
        <v/>
      </c>
      <c r="J201" s="15" t="str">
        <f aca="false">IF($A201="","",SUMIFS(Invoices!$E$5:$E$504,Invoices!$C$5:$C$504,$A201))</f>
        <v/>
      </c>
      <c r="K201" s="15" t="str">
        <f aca="false">IF($A201="","",SUMIFS(Invoices!$G$5:$G$504,Invoices!$C$5:$C$504,$A201))</f>
        <v/>
      </c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3"/>
      <c r="G202" s="12"/>
      <c r="H202" s="12"/>
      <c r="I202" s="14" t="str">
        <f aca="false">IF($A202="","",COUNTIFS(Jobs!$B$5:$B$504,$A202,Jobs!$G$5:$G$504,"Completed"))</f>
        <v/>
      </c>
      <c r="J202" s="15" t="str">
        <f aca="false">IF($A202="","",SUMIFS(Invoices!$E$5:$E$504,Invoices!$C$5:$C$504,$A202))</f>
        <v/>
      </c>
      <c r="K202" s="15" t="str">
        <f aca="false">IF($A202="","",SUMIFS(Invoices!$G$5:$G$504,Invoices!$C$5:$C$504,$A202))</f>
        <v/>
      </c>
    </row>
    <row r="203" customFormat="false" ht="15" hidden="false" customHeight="false" outlineLevel="0" collapsed="false">
      <c r="A203" s="12"/>
      <c r="B203" s="12"/>
      <c r="C203" s="12"/>
      <c r="D203" s="12"/>
      <c r="E203" s="12"/>
      <c r="F203" s="13"/>
      <c r="G203" s="12"/>
      <c r="H203" s="12"/>
      <c r="I203" s="14" t="str">
        <f aca="false">IF($A203="","",COUNTIFS(Jobs!$B$5:$B$504,$A203,Jobs!$G$5:$G$504,"Completed"))</f>
        <v/>
      </c>
      <c r="J203" s="15" t="str">
        <f aca="false">IF($A203="","",SUMIFS(Invoices!$E$5:$E$504,Invoices!$C$5:$C$504,$A203))</f>
        <v/>
      </c>
      <c r="K203" s="15" t="str">
        <f aca="false">IF($A203="","",SUMIFS(Invoices!$G$5:$G$504,Invoices!$C$5:$C$504,$A203))</f>
        <v/>
      </c>
    </row>
    <row r="204" customFormat="false" ht="15" hidden="false" customHeight="false" outlineLevel="0" collapsed="false">
      <c r="A204" s="12"/>
      <c r="B204" s="12"/>
      <c r="C204" s="12"/>
      <c r="D204" s="12"/>
      <c r="E204" s="12"/>
      <c r="F204" s="13"/>
      <c r="G204" s="12"/>
      <c r="H204" s="12"/>
      <c r="I204" s="14" t="str">
        <f aca="false">IF($A204="","",COUNTIFS(Jobs!$B$5:$B$504,$A204,Jobs!$G$5:$G$504,"Completed"))</f>
        <v/>
      </c>
      <c r="J204" s="15" t="str">
        <f aca="false">IF($A204="","",SUMIFS(Invoices!$E$5:$E$504,Invoices!$C$5:$C$504,$A204))</f>
        <v/>
      </c>
      <c r="K204" s="15" t="str">
        <f aca="false">IF($A204="","",SUMIFS(Invoices!$G$5:$G$504,Invoices!$C$5:$C$504,$A204))</f>
        <v/>
      </c>
    </row>
  </sheetData>
  <dataValidations count="4">
    <dataValidation allowBlank="true" error="This client name is already on the list. Use a unique name." errorStyle="stop" errorTitle="Check this entry" operator="between" prompt="Each client name must be unique - add a last name or location if two clients share a name." promptTitle="Tip" showDropDown="false" showErrorMessage="true" showInputMessage="true" sqref="A5:A204" type="custom">
      <formula1>COUNTIF($A$5:$A$204,A5)=1</formula1>
      <formula2>0</formula2>
    </dataValidation>
    <dataValidation allowBlank="true" error="Pick a value from the dropdown list." errorStyle="stop" errorTitle="Check this entry" operator="between" prompt="The service this client usually books. Jobs use it when Service is left blank." promptTitle="Tip" showDropDown="false" showErrorMessage="true" showInputMessage="true" sqref="E5:E204" type="list">
      <formula1>Settings!$D$5:$D$19</formula1>
      <formula2>0</formula2>
    </dataValidation>
    <dataValidation allowBlank="true" error="Enter a number of 0 or more (no currency symbols or text)." errorStyle="stop" errorTitle="Check this entry" operator="greaterThanOrEqual" prompt="Optional. A special price for this client's usual service. Leave blank to use the Settings price." promptTitle="Tip" showDropDown="false" showErrorMessage="true" showInputMessage="true" sqref="F5:F204" type="decimal">
      <formula1>0</formula1>
      <formula2>0</formula2>
    </dataValidation>
    <dataValidation allowBlank="true" error="Pick a value from the dropdown list." errorStyle="stop" errorTitle="Check this entry" operator="between" showDropDown="false" showErrorMessage="true" showInputMessage="true" sqref="G5:G204" type="list">
      <formula1>"One-time,Weekly,Every 2 weeks,Monthly"</formula1>
      <formula2>0</formula2>
    </dataValidation>
  </dataValidation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false"/>
  </sheetPr>
  <dimension ref="A1:Q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6" min="4" style="0" width="11"/>
    <col collapsed="false" customWidth="true" hidden="false" outlineLevel="0" max="7" min="7" style="0" width="13"/>
    <col collapsed="false" customWidth="true" hidden="false" outlineLevel="0" max="8" min="8" style="0" width="30"/>
    <col collapsed="false" customWidth="true" hidden="false" outlineLevel="0" max="9" min="9" style="0" width="36"/>
    <col collapsed="false" customWidth="true" hidden="false" outlineLevel="0" max="10" min="10" style="0" width="24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4" style="0" width="12"/>
    <col collapsed="false" customWidth="true" hidden="false" outlineLevel="0" max="16" min="16" style="0" width="13"/>
    <col collapsed="false" customWidth="true" hidden="true" outlineLevel="0" max="17" min="17" style="0" width="8"/>
  </cols>
  <sheetData>
    <row r="1" customFormat="false" ht="19.7" hidden="false" customHeight="false" outlineLevel="0" collapsed="false">
      <c r="A1" s="1" t="str">
        <f aca="false">Settings!$B$5&amp;" - Jobs"</f>
        <v>Sparkle &amp; Shine Cleaning Co. - Jobs</v>
      </c>
    </row>
    <row r="2" customFormat="false" ht="15" hidden="false" customHeight="false" outlineLevel="0" collapsed="false">
      <c r="A2" s="2" t="s">
        <v>137</v>
      </c>
    </row>
    <row r="4" customFormat="false" ht="32" hidden="false" customHeight="true" outlineLevel="0" collapsed="false">
      <c r="A4" s="5" t="s">
        <v>138</v>
      </c>
      <c r="B4" s="5" t="s">
        <v>139</v>
      </c>
      <c r="C4" s="5" t="s">
        <v>140</v>
      </c>
      <c r="D4" s="5" t="s">
        <v>141</v>
      </c>
      <c r="E4" s="5" t="str">
        <f aca="false">"Extras ("&amp;Settings!$B$10&amp;")"</f>
        <v>Extras ($)</v>
      </c>
      <c r="F4" s="5" t="str">
        <f aca="false">"Rate override ("&amp;Settings!$B$10&amp;")"</f>
        <v>Rate override ($)</v>
      </c>
      <c r="G4" s="5" t="s">
        <v>142</v>
      </c>
      <c r="H4" s="5" t="s">
        <v>92</v>
      </c>
      <c r="I4" s="11" t="s">
        <v>143</v>
      </c>
      <c r="J4" s="11" t="s">
        <v>144</v>
      </c>
      <c r="K4" s="11" t="str">
        <f aca="false">"Rate ("&amp;Settings!$B$10&amp;")"</f>
        <v>Rate ($)</v>
      </c>
      <c r="L4" s="11" t="str">
        <f aca="false">"Subtotal ("&amp;Settings!$B$10&amp;")"</f>
        <v>Subtotal ($)</v>
      </c>
      <c r="M4" s="11" t="str">
        <f aca="false">"Tax ("&amp;Settings!$B$10&amp;")"</f>
        <v>Tax ($)</v>
      </c>
      <c r="N4" s="11" t="str">
        <f aca="false">"Total ("&amp;Settings!$B$10&amp;")"</f>
        <v>Total ($)</v>
      </c>
      <c r="O4" s="11" t="s">
        <v>145</v>
      </c>
      <c r="P4" s="11" t="s">
        <v>146</v>
      </c>
      <c r="Q4" s="11" t="s">
        <v>147</v>
      </c>
    </row>
    <row r="5" customFormat="false" ht="15" hidden="false" customHeight="false" outlineLevel="0" collapsed="false">
      <c r="A5" s="16" t="n">
        <v>46205</v>
      </c>
      <c r="B5" s="12" t="s">
        <v>94</v>
      </c>
      <c r="C5" s="17"/>
      <c r="D5" s="18"/>
      <c r="E5" s="13"/>
      <c r="F5" s="13"/>
      <c r="G5" s="12" t="s">
        <v>148</v>
      </c>
      <c r="H5" s="12"/>
      <c r="I5" s="19" t="str">
        <f aca="false">IF($B5="","",IFERROR(INDEX(Clients!$D$5:$D$204,MATCH($B5,Clients!$A$5:$A$204,0))&amp;"",""))</f>
        <v>412 Maple Ridge Dr, Springfield</v>
      </c>
      <c r="J5" s="19" t="str">
        <f aca="false">IF($B5="","",IF($C5&lt;&gt;"",$C5,IFERROR(INDEX(Clients!$E$5:$E$204,MATCH($B5,Clients!$A$5:$A$204,0))&amp;"","")))</f>
        <v>Recurring Every 2 Weeks</v>
      </c>
      <c r="K5" s="15" t="n">
        <f aca="false">IF($B5="","",IF($F5&lt;&gt;"",$F5,IFERROR(IF(AND(INDEX(Clients!$F$5:$F$204,MATCH($B5,Clients!$A$5:$A$204,0))&amp;""&lt;&gt;"",OR($C5="",$C5=INDEX(Clients!$E$5:$E$204,MATCH($B5,Clients!$A$5:$A$204,0)))),INDEX(Clients!$F$5:$F$204,MATCH($B5,Clients!$A$5:$A$204,0)),INDEX(Settings!$E$5:$E$19,MATCH($J5,Settings!$D$5:$D$19,0))),0)))</f>
        <v>110</v>
      </c>
      <c r="L5" s="15" t="n">
        <f aca="false">IF($B5="","",$K5*IF($D5="",1,$D5)+$E5)</f>
        <v>110</v>
      </c>
      <c r="M5" s="15" t="n">
        <f aca="false">IF($B5="","",ROUND($L5*Settings!$B$9,2))</f>
        <v>6.6</v>
      </c>
      <c r="N5" s="15" t="n">
        <f aca="false">IF($B5="","",$L5+$M5)</f>
        <v>116.6</v>
      </c>
      <c r="O5" s="19" t="str">
        <f aca="false">IF($Q5="","",Settings!$B$13&amp;TEXT(ROWS($A$5:$A5),"0000"))</f>
        <v>INV-0001</v>
      </c>
      <c r="P5" s="19" t="str">
        <f aca="false">IF($O5="","",IFERROR(INDEX(Invoices!$I$5:$I$504,MATCH($O5,Invoices!$A$5:$A$504,0)),""))</f>
        <v>Paid</v>
      </c>
      <c r="Q5" s="2" t="n">
        <f aca="false">IF(AND($A5&lt;&gt;"",$B5&lt;&gt;"",$G5="Completed"),COUNTIFS($A$5:$A5,"&lt;&gt;",$B$5:$B5,"&lt;&gt;",$G$5:$G5,"Completed"),"")</f>
        <v>1</v>
      </c>
    </row>
    <row r="6" customFormat="false" ht="15" hidden="false" customHeight="false" outlineLevel="0" collapsed="false">
      <c r="A6" s="16" t="n">
        <v>46206</v>
      </c>
      <c r="B6" s="12" t="s">
        <v>106</v>
      </c>
      <c r="C6" s="17"/>
      <c r="D6" s="18" t="n">
        <v>3</v>
      </c>
      <c r="E6" s="13"/>
      <c r="F6" s="13"/>
      <c r="G6" s="12" t="s">
        <v>148</v>
      </c>
      <c r="H6" s="12"/>
      <c r="I6" s="19" t="str">
        <f aca="false">IF($B6="","",IFERROR(INDEX(Clients!$D$5:$D$204,MATCH($B6,Clients!$A$5:$A$204,0))&amp;"",""))</f>
        <v>1500 Commerce Pkwy, Suite 210, Springfield</v>
      </c>
      <c r="J6" s="19" t="str">
        <f aca="false">IF($B6="","",IF($C6&lt;&gt;"",$C6,IFERROR(INDEX(Clients!$E$5:$E$204,MATCH($B6,Clients!$A$5:$A$204,0))&amp;"","")))</f>
        <v>Office Clean (hourly)</v>
      </c>
      <c r="K6" s="15" t="n">
        <f aca="false">IF($B6="","",IF($F6&lt;&gt;"",$F6,IFERROR(IF(AND(INDEX(Clients!$F$5:$F$204,MATCH($B6,Clients!$A$5:$A$204,0))&amp;""&lt;&gt;"",OR($C6="",$C6=INDEX(Clients!$E$5:$E$204,MATCH($B6,Clients!$A$5:$A$204,0)))),INDEX(Clients!$F$5:$F$204,MATCH($B6,Clients!$A$5:$A$204,0)),INDEX(Settings!$E$5:$E$19,MATCH($J6,Settings!$D$5:$D$19,0))),0)))</f>
        <v>45</v>
      </c>
      <c r="L6" s="15" t="n">
        <f aca="false">IF($B6="","",$K6*IF($D6="",1,$D6)+$E6)</f>
        <v>135</v>
      </c>
      <c r="M6" s="15" t="n">
        <f aca="false">IF($B6="","",ROUND($L6*Settings!$B$9,2))</f>
        <v>8.1</v>
      </c>
      <c r="N6" s="15" t="n">
        <f aca="false">IF($B6="","",$L6+$M6)</f>
        <v>143.1</v>
      </c>
      <c r="O6" s="19" t="str">
        <f aca="false">IF($Q6="","",Settings!$B$13&amp;TEXT(ROWS($A$5:$A6),"0000"))</f>
        <v>INV-0002</v>
      </c>
      <c r="P6" s="19" t="str">
        <f aca="false">IF($O6="","",IFERROR(INDEX(Invoices!$I$5:$I$504,MATCH($O6,Invoices!$A$5:$A$504,0)),""))</f>
        <v>Paid</v>
      </c>
      <c r="Q6" s="2" t="n">
        <f aca="false">IF(AND($A6&lt;&gt;"",$B6&lt;&gt;"",$G6="Completed"),COUNTIFS($A$5:$A6,"&lt;&gt;",$B$5:$B6,"&lt;&gt;",$G$5:$G6,"Completed"),"")</f>
        <v>2</v>
      </c>
    </row>
    <row r="7" customFormat="false" ht="15" hidden="false" customHeight="false" outlineLevel="0" collapsed="false">
      <c r="A7" s="16" t="n">
        <v>46209</v>
      </c>
      <c r="B7" s="12" t="s">
        <v>100</v>
      </c>
      <c r="C7" s="17"/>
      <c r="D7" s="18"/>
      <c r="E7" s="13"/>
      <c r="F7" s="13"/>
      <c r="G7" s="12" t="s">
        <v>148</v>
      </c>
      <c r="H7" s="12"/>
      <c r="I7" s="19" t="str">
        <f aca="false">IF($B7="","",IFERROR(INDEX(Clients!$D$5:$D$204,MATCH($B7,Clients!$A$5:$A$204,0))&amp;"",""))</f>
        <v>88 Birchwood Ln, Springfield</v>
      </c>
      <c r="J7" s="19" t="str">
        <f aca="false">IF($B7="","",IF($C7&lt;&gt;"",$C7,IFERROR(INDEX(Clients!$E$5:$E$204,MATCH($B7,Clients!$A$5:$A$204,0))&amp;"","")))</f>
        <v>Recurring Weekly</v>
      </c>
      <c r="K7" s="15" t="n">
        <f aca="false">IF($B7="","",IF($F7&lt;&gt;"",$F7,IFERROR(IF(AND(INDEX(Clients!$F$5:$F$204,MATCH($B7,Clients!$A$5:$A$204,0))&amp;""&lt;&gt;"",OR($C7="",$C7=INDEX(Clients!$E$5:$E$204,MATCH($B7,Clients!$A$5:$A$204,0)))),INDEX(Clients!$F$5:$F$204,MATCH($B7,Clients!$A$5:$A$204,0)),INDEX(Settings!$E$5:$E$19,MATCH($J7,Settings!$D$5:$D$19,0))),0)))</f>
        <v>90</v>
      </c>
      <c r="L7" s="15" t="n">
        <f aca="false">IF($B7="","",$K7*IF($D7="",1,$D7)+$E7)</f>
        <v>90</v>
      </c>
      <c r="M7" s="15" t="n">
        <f aca="false">IF($B7="","",ROUND($L7*Settings!$B$9,2))</f>
        <v>5.4</v>
      </c>
      <c r="N7" s="15" t="n">
        <f aca="false">IF($B7="","",$L7+$M7)</f>
        <v>95.4</v>
      </c>
      <c r="O7" s="19" t="str">
        <f aca="false">IF($Q7="","",Settings!$B$13&amp;TEXT(ROWS($A$5:$A7),"0000"))</f>
        <v>INV-0003</v>
      </c>
      <c r="P7" s="19" t="str">
        <f aca="false">IF($O7="","",IFERROR(INDEX(Invoices!$I$5:$I$504,MATCH($O7,Invoices!$A$5:$A$504,0)),""))</f>
        <v>Paid</v>
      </c>
      <c r="Q7" s="2" t="n">
        <f aca="false">IF(AND($A7&lt;&gt;"",$B7&lt;&gt;"",$G7="Completed"),COUNTIFS($A$5:$A7,"&lt;&gt;",$B$5:$B7,"&lt;&gt;",$G$5:$G7,"Completed"),"")</f>
        <v>3</v>
      </c>
    </row>
    <row r="8" customFormat="false" ht="15" hidden="false" customHeight="false" outlineLevel="0" collapsed="false">
      <c r="A8" s="16" t="n">
        <v>46211</v>
      </c>
      <c r="B8" s="12" t="s">
        <v>111</v>
      </c>
      <c r="C8" s="17"/>
      <c r="D8" s="18"/>
      <c r="E8" s="13" t="n">
        <v>25</v>
      </c>
      <c r="F8" s="13"/>
      <c r="G8" s="12" t="s">
        <v>148</v>
      </c>
      <c r="H8" s="12" t="s">
        <v>149</v>
      </c>
      <c r="I8" s="19" t="str">
        <f aca="false">IF($B8="","",IFERROR(INDEX(Clients!$D$5:$D$204,MATCH($B8,Clients!$A$5:$A$204,0))&amp;"",""))</f>
        <v>27 Lakeview Ct, Riverton</v>
      </c>
      <c r="J8" s="19" t="str">
        <f aca="false">IF($B8="","",IF($C8&lt;&gt;"",$C8,IFERROR(INDEX(Clients!$E$5:$E$204,MATCH($B8,Clients!$A$5:$A$204,0))&amp;"","")))</f>
        <v>Deep Clean</v>
      </c>
      <c r="K8" s="15" t="n">
        <f aca="false">IF($B8="","",IF($F8&lt;&gt;"",$F8,IFERROR(IF(AND(INDEX(Clients!$F$5:$F$204,MATCH($B8,Clients!$A$5:$A$204,0))&amp;""&lt;&gt;"",OR($C8="",$C8=INDEX(Clients!$E$5:$E$204,MATCH($B8,Clients!$A$5:$A$204,0)))),INDEX(Clients!$F$5:$F$204,MATCH($B8,Clients!$A$5:$A$204,0)),INDEX(Settings!$E$5:$E$19,MATCH($J8,Settings!$D$5:$D$19,0))),0)))</f>
        <v>220</v>
      </c>
      <c r="L8" s="15" t="n">
        <f aca="false">IF($B8="","",$K8*IF($D8="",1,$D8)+$E8)</f>
        <v>245</v>
      </c>
      <c r="M8" s="15" t="n">
        <f aca="false">IF($B8="","",ROUND($L8*Settings!$B$9,2))</f>
        <v>14.7</v>
      </c>
      <c r="N8" s="15" t="n">
        <f aca="false">IF($B8="","",$L8+$M8)</f>
        <v>259.7</v>
      </c>
      <c r="O8" s="19" t="str">
        <f aca="false">IF($Q8="","",Settings!$B$13&amp;TEXT(ROWS($A$5:$A8),"0000"))</f>
        <v>INV-0004</v>
      </c>
      <c r="P8" s="19" t="str">
        <f aca="false">IF($O8="","",IFERROR(INDEX(Invoices!$I$5:$I$504,MATCH($O8,Invoices!$A$5:$A$504,0)),""))</f>
        <v>Paid</v>
      </c>
      <c r="Q8" s="2" t="n">
        <f aca="false">IF(AND($A8&lt;&gt;"",$B8&lt;&gt;"",$G8="Completed"),COUNTIFS($A$5:$A8,"&lt;&gt;",$B$5:$B8,"&lt;&gt;",$G$5:$G8,"Completed"),"")</f>
        <v>4</v>
      </c>
    </row>
    <row r="9" customFormat="false" ht="15" hidden="false" customHeight="false" outlineLevel="0" collapsed="false">
      <c r="A9" s="16" t="n">
        <v>46213</v>
      </c>
      <c r="B9" s="12" t="s">
        <v>106</v>
      </c>
      <c r="C9" s="17"/>
      <c r="D9" s="18" t="n">
        <v>3</v>
      </c>
      <c r="E9" s="13"/>
      <c r="F9" s="13"/>
      <c r="G9" s="12" t="s">
        <v>148</v>
      </c>
      <c r="H9" s="12"/>
      <c r="I9" s="19" t="str">
        <f aca="false">IF($B9="","",IFERROR(INDEX(Clients!$D$5:$D$204,MATCH($B9,Clients!$A$5:$A$204,0))&amp;"",""))</f>
        <v>1500 Commerce Pkwy, Suite 210, Springfield</v>
      </c>
      <c r="J9" s="19" t="str">
        <f aca="false">IF($B9="","",IF($C9&lt;&gt;"",$C9,IFERROR(INDEX(Clients!$E$5:$E$204,MATCH($B9,Clients!$A$5:$A$204,0))&amp;"","")))</f>
        <v>Office Clean (hourly)</v>
      </c>
      <c r="K9" s="15" t="n">
        <f aca="false">IF($B9="","",IF($F9&lt;&gt;"",$F9,IFERROR(IF(AND(INDEX(Clients!$F$5:$F$204,MATCH($B9,Clients!$A$5:$A$204,0))&amp;""&lt;&gt;"",OR($C9="",$C9=INDEX(Clients!$E$5:$E$204,MATCH($B9,Clients!$A$5:$A$204,0)))),INDEX(Clients!$F$5:$F$204,MATCH($B9,Clients!$A$5:$A$204,0)),INDEX(Settings!$E$5:$E$19,MATCH($J9,Settings!$D$5:$D$19,0))),0)))</f>
        <v>45</v>
      </c>
      <c r="L9" s="15" t="n">
        <f aca="false">IF($B9="","",$K9*IF($D9="",1,$D9)+$E9)</f>
        <v>135</v>
      </c>
      <c r="M9" s="15" t="n">
        <f aca="false">IF($B9="","",ROUND($L9*Settings!$B$9,2))</f>
        <v>8.1</v>
      </c>
      <c r="N9" s="15" t="n">
        <f aca="false">IF($B9="","",$L9+$M9)</f>
        <v>143.1</v>
      </c>
      <c r="O9" s="19" t="str">
        <f aca="false">IF($Q9="","",Settings!$B$13&amp;TEXT(ROWS($A$5:$A9),"0000"))</f>
        <v>INV-0005</v>
      </c>
      <c r="P9" s="19" t="str">
        <f aca="false">IF($O9="","",IFERROR(INDEX(Invoices!$I$5:$I$504,MATCH($O9,Invoices!$A$5:$A$504,0)),""))</f>
        <v>Paid</v>
      </c>
      <c r="Q9" s="2" t="n">
        <f aca="false">IF(AND($A9&lt;&gt;"",$B9&lt;&gt;"",$G9="Completed"),COUNTIFS($A$5:$A9,"&lt;&gt;",$B$5:$B9,"&lt;&gt;",$G$5:$G9,"Completed"),"")</f>
        <v>5</v>
      </c>
    </row>
    <row r="10" customFormat="false" ht="15" hidden="false" customHeight="false" outlineLevel="0" collapsed="false">
      <c r="A10" s="16" t="n">
        <v>46216</v>
      </c>
      <c r="B10" s="12" t="s">
        <v>100</v>
      </c>
      <c r="C10" s="17"/>
      <c r="D10" s="18"/>
      <c r="E10" s="13"/>
      <c r="F10" s="13"/>
      <c r="G10" s="12" t="s">
        <v>148</v>
      </c>
      <c r="H10" s="12"/>
      <c r="I10" s="19" t="str">
        <f aca="false">IF($B10="","",IFERROR(INDEX(Clients!$D$5:$D$204,MATCH($B10,Clients!$A$5:$A$204,0))&amp;"",""))</f>
        <v>88 Birchwood Ln, Springfield</v>
      </c>
      <c r="J10" s="19" t="str">
        <f aca="false">IF($B10="","",IF($C10&lt;&gt;"",$C10,IFERROR(INDEX(Clients!$E$5:$E$204,MATCH($B10,Clients!$A$5:$A$204,0))&amp;"","")))</f>
        <v>Recurring Weekly</v>
      </c>
      <c r="K10" s="15" t="n">
        <f aca="false">IF($B10="","",IF($F10&lt;&gt;"",$F10,IFERROR(IF(AND(INDEX(Clients!$F$5:$F$204,MATCH($B10,Clients!$A$5:$A$204,0))&amp;""&lt;&gt;"",OR($C10="",$C10=INDEX(Clients!$E$5:$E$204,MATCH($B10,Clients!$A$5:$A$204,0)))),INDEX(Clients!$F$5:$F$204,MATCH($B10,Clients!$A$5:$A$204,0)),INDEX(Settings!$E$5:$E$19,MATCH($J10,Settings!$D$5:$D$19,0))),0)))</f>
        <v>90</v>
      </c>
      <c r="L10" s="15" t="n">
        <f aca="false">IF($B10="","",$K10*IF($D10="",1,$D10)+$E10)</f>
        <v>90</v>
      </c>
      <c r="M10" s="15" t="n">
        <f aca="false">IF($B10="","",ROUND($L10*Settings!$B$9,2))</f>
        <v>5.4</v>
      </c>
      <c r="N10" s="15" t="n">
        <f aca="false">IF($B10="","",$L10+$M10)</f>
        <v>95.4</v>
      </c>
      <c r="O10" s="19" t="str">
        <f aca="false">IF($Q10="","",Settings!$B$13&amp;TEXT(ROWS($A$5:$A10),"0000"))</f>
        <v>INV-0006</v>
      </c>
      <c r="P10" s="19" t="str">
        <f aca="false">IF($O10="","",IFERROR(INDEX(Invoices!$I$5:$I$504,MATCH($O10,Invoices!$A$5:$A$504,0)),""))</f>
        <v>Paid</v>
      </c>
      <c r="Q10" s="2" t="n">
        <f aca="false">IF(AND($A10&lt;&gt;"",$B10&lt;&gt;"",$G10="Completed"),COUNTIFS($A$5:$A10,"&lt;&gt;",$B$5:$B10,"&lt;&gt;",$G$5:$G10,"Completed"),"")</f>
        <v>6</v>
      </c>
    </row>
    <row r="11" customFormat="false" ht="15" hidden="false" customHeight="false" outlineLevel="0" collapsed="false">
      <c r="A11" s="16" t="n">
        <v>46219</v>
      </c>
      <c r="B11" s="12" t="s">
        <v>94</v>
      </c>
      <c r="C11" s="17"/>
      <c r="D11" s="18"/>
      <c r="E11" s="13"/>
      <c r="F11" s="13"/>
      <c r="G11" s="12" t="s">
        <v>148</v>
      </c>
      <c r="H11" s="12"/>
      <c r="I11" s="19" t="str">
        <f aca="false">IF($B11="","",IFERROR(INDEX(Clients!$D$5:$D$204,MATCH($B11,Clients!$A$5:$A$204,0))&amp;"",""))</f>
        <v>412 Maple Ridge Dr, Springfield</v>
      </c>
      <c r="J11" s="19" t="str">
        <f aca="false">IF($B11="","",IF($C11&lt;&gt;"",$C11,IFERROR(INDEX(Clients!$E$5:$E$204,MATCH($B11,Clients!$A$5:$A$204,0))&amp;"","")))</f>
        <v>Recurring Every 2 Weeks</v>
      </c>
      <c r="K11" s="15" t="n">
        <f aca="false">IF($B11="","",IF($F11&lt;&gt;"",$F11,IFERROR(IF(AND(INDEX(Clients!$F$5:$F$204,MATCH($B11,Clients!$A$5:$A$204,0))&amp;""&lt;&gt;"",OR($C11="",$C11=INDEX(Clients!$E$5:$E$204,MATCH($B11,Clients!$A$5:$A$204,0)))),INDEX(Clients!$F$5:$F$204,MATCH($B11,Clients!$A$5:$A$204,0)),INDEX(Settings!$E$5:$E$19,MATCH($J11,Settings!$D$5:$D$19,0))),0)))</f>
        <v>110</v>
      </c>
      <c r="L11" s="15" t="n">
        <f aca="false">IF($B11="","",$K11*IF($D11="",1,$D11)+$E11)</f>
        <v>110</v>
      </c>
      <c r="M11" s="15" t="n">
        <f aca="false">IF($B11="","",ROUND($L11*Settings!$B$9,2))</f>
        <v>6.6</v>
      </c>
      <c r="N11" s="15" t="n">
        <f aca="false">IF($B11="","",$L11+$M11)</f>
        <v>116.6</v>
      </c>
      <c r="O11" s="19" t="str">
        <f aca="false">IF($Q11="","",Settings!$B$13&amp;TEXT(ROWS($A$5:$A11),"0000"))</f>
        <v>INV-0007</v>
      </c>
      <c r="P11" s="19" t="str">
        <f aca="false">IF($O11="","",IFERROR(INDEX(Invoices!$I$5:$I$504,MATCH($O11,Invoices!$A$5:$A$504,0)),""))</f>
        <v>Paid</v>
      </c>
      <c r="Q11" s="2" t="n">
        <f aca="false">IF(AND($A11&lt;&gt;"",$B11&lt;&gt;"",$G11="Completed"),COUNTIFS($A$5:$A11,"&lt;&gt;",$B$5:$B11,"&lt;&gt;",$G$5:$G11,"Completed"),"")</f>
        <v>7</v>
      </c>
    </row>
    <row r="12" customFormat="false" ht="15" hidden="false" customHeight="false" outlineLevel="0" collapsed="false">
      <c r="A12" s="16" t="n">
        <v>46223</v>
      </c>
      <c r="B12" s="12" t="s">
        <v>121</v>
      </c>
      <c r="C12" s="17"/>
      <c r="D12" s="18"/>
      <c r="E12" s="13"/>
      <c r="F12" s="13"/>
      <c r="G12" s="12" t="s">
        <v>148</v>
      </c>
      <c r="H12" s="12" t="s">
        <v>150</v>
      </c>
      <c r="I12" s="19" t="str">
        <f aca="false">IF($B12="","",IFERROR(INDEX(Clients!$D$5:$D$204,MATCH($B12,Clients!$A$5:$A$204,0))&amp;"",""))</f>
        <v>300 Harbor St, Springfield</v>
      </c>
      <c r="J12" s="19" t="str">
        <f aca="false">IF($B12="","",IF($C12&lt;&gt;"",$C12,IFERROR(INDEX(Clients!$E$5:$E$204,MATCH($B12,Clients!$A$5:$A$204,0))&amp;"","")))</f>
        <v>Move-In / Move-Out</v>
      </c>
      <c r="K12" s="15" t="n">
        <f aca="false">IF($B12="","",IF($F12&lt;&gt;"",$F12,IFERROR(IF(AND(INDEX(Clients!$F$5:$F$204,MATCH($B12,Clients!$A$5:$A$204,0))&amp;""&lt;&gt;"",OR($C12="",$C12=INDEX(Clients!$E$5:$E$204,MATCH($B12,Clients!$A$5:$A$204,0)))),INDEX(Clients!$F$5:$F$204,MATCH($B12,Clients!$A$5:$A$204,0)),INDEX(Settings!$E$5:$E$19,MATCH($J12,Settings!$D$5:$D$19,0))),0)))</f>
        <v>300</v>
      </c>
      <c r="L12" s="15" t="n">
        <f aca="false">IF($B12="","",$K12*IF($D12="",1,$D12)+$E12)</f>
        <v>300</v>
      </c>
      <c r="M12" s="15" t="n">
        <f aca="false">IF($B12="","",ROUND($L12*Settings!$B$9,2))</f>
        <v>18</v>
      </c>
      <c r="N12" s="15" t="n">
        <f aca="false">IF($B12="","",$L12+$M12)</f>
        <v>318</v>
      </c>
      <c r="O12" s="19" t="str">
        <f aca="false">IF($Q12="","",Settings!$B$13&amp;TEXT(ROWS($A$5:$A12),"0000"))</f>
        <v>INV-0008</v>
      </c>
      <c r="P12" s="19" t="str">
        <f aca="false">IF($O12="","",IFERROR(INDEX(Invoices!$I$5:$I$504,MATCH($O12,Invoices!$A$5:$A$504,0)),""))</f>
        <v>Paid</v>
      </c>
      <c r="Q12" s="2" t="n">
        <f aca="false">IF(AND($A12&lt;&gt;"",$B12&lt;&gt;"",$G12="Completed"),COUNTIFS($A$5:$A12,"&lt;&gt;",$B$5:$B12,"&lt;&gt;",$G$5:$G12,"Completed"),"")</f>
        <v>8</v>
      </c>
    </row>
    <row r="13" customFormat="false" ht="15" hidden="false" customHeight="false" outlineLevel="0" collapsed="false">
      <c r="A13" s="16" t="n">
        <v>46227</v>
      </c>
      <c r="B13" s="12" t="s">
        <v>117</v>
      </c>
      <c r="C13" s="17"/>
      <c r="D13" s="18"/>
      <c r="E13" s="13"/>
      <c r="F13" s="13"/>
      <c r="G13" s="12" t="s">
        <v>148</v>
      </c>
      <c r="H13" s="12"/>
      <c r="I13" s="19" t="str">
        <f aca="false">IF($B13="","",IFERROR(INDEX(Clients!$D$5:$D$204,MATCH($B13,Clients!$A$5:$A$204,0))&amp;"",""))</f>
        <v>9 Old Mill Rd, Riverton</v>
      </c>
      <c r="J13" s="19" t="str">
        <f aca="false">IF($B13="","",IF($C13&lt;&gt;"",$C13,IFERROR(INDEX(Clients!$E$5:$E$204,MATCH($B13,Clients!$A$5:$A$204,0))&amp;"","")))</f>
        <v>Standard Clean</v>
      </c>
      <c r="K13" s="15" t="n">
        <f aca="false">IF($B13="","",IF($F13&lt;&gt;"",$F13,IFERROR(IF(AND(INDEX(Clients!$F$5:$F$204,MATCH($B13,Clients!$A$5:$A$204,0))&amp;""&lt;&gt;"",OR($C13="",$C13=INDEX(Clients!$E$5:$E$204,MATCH($B13,Clients!$A$5:$A$204,0)))),INDEX(Clients!$F$5:$F$204,MATCH($B13,Clients!$A$5:$A$204,0)),INDEX(Settings!$E$5:$E$19,MATCH($J13,Settings!$D$5:$D$19,0))),0)))</f>
        <v>120</v>
      </c>
      <c r="L13" s="15" t="n">
        <f aca="false">IF($B13="","",$K13*IF($D13="",1,$D13)+$E13)</f>
        <v>120</v>
      </c>
      <c r="M13" s="15" t="n">
        <f aca="false">IF($B13="","",ROUND($L13*Settings!$B$9,2))</f>
        <v>7.2</v>
      </c>
      <c r="N13" s="15" t="n">
        <f aca="false">IF($B13="","",$L13+$M13)</f>
        <v>127.2</v>
      </c>
      <c r="O13" s="19" t="str">
        <f aca="false">IF($Q13="","",Settings!$B$13&amp;TEXT(ROWS($A$5:$A13),"0000"))</f>
        <v>INV-0009</v>
      </c>
      <c r="P13" s="19" t="str">
        <f aca="false">IF($O13="","",IFERROR(INDEX(Invoices!$I$5:$I$504,MATCH($O13,Invoices!$A$5:$A$504,0)),""))</f>
        <v>Overdue</v>
      </c>
      <c r="Q13" s="2" t="n">
        <f aca="false">IF(AND($A13&lt;&gt;"",$B13&lt;&gt;"",$G13="Completed"),COUNTIFS($A$5:$A13,"&lt;&gt;",$B$5:$B13,"&lt;&gt;",$G$5:$G13,"Completed"),"")</f>
        <v>9</v>
      </c>
    </row>
    <row r="14" customFormat="false" ht="15" hidden="false" customHeight="false" outlineLevel="0" collapsed="false">
      <c r="A14" s="16" t="n">
        <v>46231</v>
      </c>
      <c r="B14" s="12" t="s">
        <v>132</v>
      </c>
      <c r="C14" s="17"/>
      <c r="D14" s="18" t="n">
        <v>2.5</v>
      </c>
      <c r="E14" s="13"/>
      <c r="F14" s="13"/>
      <c r="G14" s="12" t="s">
        <v>148</v>
      </c>
      <c r="H14" s="12"/>
      <c r="I14" s="19" t="str">
        <f aca="false">IF($B14="","",IFERROR(INDEX(Clients!$D$5:$D$204,MATCH($B14,Clients!$A$5:$A$204,0))&amp;"",""))</f>
        <v>55 River Rd, Riverton</v>
      </c>
      <c r="J14" s="19" t="str">
        <f aca="false">IF($B14="","",IF($C14&lt;&gt;"",$C14,IFERROR(INDEX(Clients!$E$5:$E$204,MATCH($B14,Clients!$A$5:$A$204,0))&amp;"","")))</f>
        <v>Office Clean (hourly)</v>
      </c>
      <c r="K14" s="15" t="n">
        <f aca="false">IF($B14="","",IF($F14&lt;&gt;"",$F14,IFERROR(IF(AND(INDEX(Clients!$F$5:$F$204,MATCH($B14,Clients!$A$5:$A$204,0))&amp;""&lt;&gt;"",OR($C14="",$C14=INDEX(Clients!$E$5:$E$204,MATCH($B14,Clients!$A$5:$A$204,0)))),INDEX(Clients!$F$5:$F$204,MATCH($B14,Clients!$A$5:$A$204,0)),INDEX(Settings!$E$5:$E$19,MATCH($J14,Settings!$D$5:$D$19,0))),0)))</f>
        <v>40</v>
      </c>
      <c r="L14" s="15" t="n">
        <f aca="false">IF($B14="","",$K14*IF($D14="",1,$D14)+$E14)</f>
        <v>100</v>
      </c>
      <c r="M14" s="15" t="n">
        <f aca="false">IF($B14="","",ROUND($L14*Settings!$B$9,2))</f>
        <v>6</v>
      </c>
      <c r="N14" s="15" t="n">
        <f aca="false">IF($B14="","",$L14+$M14)</f>
        <v>106</v>
      </c>
      <c r="O14" s="19" t="str">
        <f aca="false">IF($Q14="","",Settings!$B$13&amp;TEXT(ROWS($A$5:$A14),"0000"))</f>
        <v>INV-0010</v>
      </c>
      <c r="P14" s="19" t="str">
        <f aca="false">IF($O14="","",IFERROR(INDEX(Invoices!$I$5:$I$504,MATCH($O14,Invoices!$A$5:$A$504,0)),""))</f>
        <v>Paid</v>
      </c>
      <c r="Q14" s="2" t="n">
        <f aca="false">IF(AND($A14&lt;&gt;"",$B14&lt;&gt;"",$G14="Completed"),COUNTIFS($A$5:$A14,"&lt;&gt;",$B$5:$B14,"&lt;&gt;",$G$5:$G14,"Completed"),"")</f>
        <v>10</v>
      </c>
    </row>
    <row r="15" customFormat="false" ht="15" hidden="false" customHeight="false" outlineLevel="0" collapsed="false">
      <c r="A15" s="16" t="n">
        <v>46237</v>
      </c>
      <c r="B15" s="12" t="s">
        <v>100</v>
      </c>
      <c r="C15" s="17"/>
      <c r="D15" s="18"/>
      <c r="E15" s="13"/>
      <c r="F15" s="13"/>
      <c r="G15" s="12" t="s">
        <v>148</v>
      </c>
      <c r="H15" s="12"/>
      <c r="I15" s="19" t="str">
        <f aca="false">IF($B15="","",IFERROR(INDEX(Clients!$D$5:$D$204,MATCH($B15,Clients!$A$5:$A$204,0))&amp;"",""))</f>
        <v>88 Birchwood Ln, Springfield</v>
      </c>
      <c r="J15" s="19" t="str">
        <f aca="false">IF($B15="","",IF($C15&lt;&gt;"",$C15,IFERROR(INDEX(Clients!$E$5:$E$204,MATCH($B15,Clients!$A$5:$A$204,0))&amp;"","")))</f>
        <v>Recurring Weekly</v>
      </c>
      <c r="K15" s="15" t="n">
        <f aca="false">IF($B15="","",IF($F15&lt;&gt;"",$F15,IFERROR(IF(AND(INDEX(Clients!$F$5:$F$204,MATCH($B15,Clients!$A$5:$A$204,0))&amp;""&lt;&gt;"",OR($C15="",$C15=INDEX(Clients!$E$5:$E$204,MATCH($B15,Clients!$A$5:$A$204,0)))),INDEX(Clients!$F$5:$F$204,MATCH($B15,Clients!$A$5:$A$204,0)),INDEX(Settings!$E$5:$E$19,MATCH($J15,Settings!$D$5:$D$19,0))),0)))</f>
        <v>90</v>
      </c>
      <c r="L15" s="15" t="n">
        <f aca="false">IF($B15="","",$K15*IF($D15="",1,$D15)+$E15)</f>
        <v>90</v>
      </c>
      <c r="M15" s="15" t="n">
        <f aca="false">IF($B15="","",ROUND($L15*Settings!$B$9,2))</f>
        <v>5.4</v>
      </c>
      <c r="N15" s="15" t="n">
        <f aca="false">IF($B15="","",$L15+$M15)</f>
        <v>95.4</v>
      </c>
      <c r="O15" s="19" t="str">
        <f aca="false">IF($Q15="","",Settings!$B$13&amp;TEXT(ROWS($A$5:$A15),"0000"))</f>
        <v>INV-0011</v>
      </c>
      <c r="P15" s="19" t="str">
        <f aca="false">IF($O15="","",IFERROR(INDEX(Invoices!$I$5:$I$504,MATCH($O15,Invoices!$A$5:$A$504,0)),""))</f>
        <v>Paid</v>
      </c>
      <c r="Q15" s="2" t="n">
        <f aca="false">IF(AND($A15&lt;&gt;"",$B15&lt;&gt;"",$G15="Completed"),COUNTIFS($A$5:$A15,"&lt;&gt;",$B$5:$B15,"&lt;&gt;",$G$5:$G15,"Completed"),"")</f>
        <v>11</v>
      </c>
    </row>
    <row r="16" customFormat="false" ht="15" hidden="false" customHeight="false" outlineLevel="0" collapsed="false">
      <c r="A16" s="16" t="n">
        <v>46238</v>
      </c>
      <c r="B16" s="12" t="s">
        <v>132</v>
      </c>
      <c r="C16" s="17"/>
      <c r="D16" s="18" t="n">
        <v>2.5</v>
      </c>
      <c r="E16" s="13"/>
      <c r="F16" s="13"/>
      <c r="G16" s="12" t="s">
        <v>148</v>
      </c>
      <c r="H16" s="12"/>
      <c r="I16" s="19" t="str">
        <f aca="false">IF($B16="","",IFERROR(INDEX(Clients!$D$5:$D$204,MATCH($B16,Clients!$A$5:$A$204,0))&amp;"",""))</f>
        <v>55 River Rd, Riverton</v>
      </c>
      <c r="J16" s="19" t="str">
        <f aca="false">IF($B16="","",IF($C16&lt;&gt;"",$C16,IFERROR(INDEX(Clients!$E$5:$E$204,MATCH($B16,Clients!$A$5:$A$204,0))&amp;"","")))</f>
        <v>Office Clean (hourly)</v>
      </c>
      <c r="K16" s="15" t="n">
        <f aca="false">IF($B16="","",IF($F16&lt;&gt;"",$F16,IFERROR(IF(AND(INDEX(Clients!$F$5:$F$204,MATCH($B16,Clients!$A$5:$A$204,0))&amp;""&lt;&gt;"",OR($C16="",$C16=INDEX(Clients!$E$5:$E$204,MATCH($B16,Clients!$A$5:$A$204,0)))),INDEX(Clients!$F$5:$F$204,MATCH($B16,Clients!$A$5:$A$204,0)),INDEX(Settings!$E$5:$E$19,MATCH($J16,Settings!$D$5:$D$19,0))),0)))</f>
        <v>40</v>
      </c>
      <c r="L16" s="15" t="n">
        <f aca="false">IF($B16="","",$K16*IF($D16="",1,$D16)+$E16)</f>
        <v>100</v>
      </c>
      <c r="M16" s="15" t="n">
        <f aca="false">IF($B16="","",ROUND($L16*Settings!$B$9,2))</f>
        <v>6</v>
      </c>
      <c r="N16" s="15" t="n">
        <f aca="false">IF($B16="","",$L16+$M16)</f>
        <v>106</v>
      </c>
      <c r="O16" s="19" t="str">
        <f aca="false">IF($Q16="","",Settings!$B$13&amp;TEXT(ROWS($A$5:$A16),"0000"))</f>
        <v>INV-0012</v>
      </c>
      <c r="P16" s="19" t="str">
        <f aca="false">IF($O16="","",IFERROR(INDEX(Invoices!$I$5:$I$504,MATCH($O16,Invoices!$A$5:$A$504,0)),""))</f>
        <v>Paid</v>
      </c>
      <c r="Q16" s="2" t="n">
        <f aca="false">IF(AND($A16&lt;&gt;"",$B16&lt;&gt;"",$G16="Completed"),COUNTIFS($A$5:$A16,"&lt;&gt;",$B$5:$B16,"&lt;&gt;",$G$5:$G16,"Completed"),"")</f>
        <v>12</v>
      </c>
    </row>
    <row r="17" customFormat="false" ht="15" hidden="false" customHeight="false" outlineLevel="0" collapsed="false">
      <c r="A17" s="16" t="n">
        <v>46240</v>
      </c>
      <c r="B17" s="12" t="s">
        <v>127</v>
      </c>
      <c r="C17" s="17" t="s">
        <v>54</v>
      </c>
      <c r="D17" s="18"/>
      <c r="E17" s="13"/>
      <c r="F17" s="13"/>
      <c r="G17" s="12" t="s">
        <v>148</v>
      </c>
      <c r="H17" s="12" t="s">
        <v>151</v>
      </c>
      <c r="I17" s="19" t="str">
        <f aca="false">IF($B17="","",IFERROR(INDEX(Clients!$D$5:$D$204,MATCH($B17,Clients!$A$5:$A$204,0))&amp;"",""))</f>
        <v>1742 Sunset Ave, Springfield</v>
      </c>
      <c r="J17" s="19" t="str">
        <f aca="false">IF($B17="","",IF($C17&lt;&gt;"",$C17,IFERROR(INDEX(Clients!$E$5:$E$204,MATCH($B17,Clients!$A$5:$A$204,0))&amp;"","")))</f>
        <v>Deep Clean</v>
      </c>
      <c r="K17" s="15" t="n">
        <f aca="false">IF($B17="","",IF($F17&lt;&gt;"",$F17,IFERROR(IF(AND(INDEX(Clients!$F$5:$F$204,MATCH($B17,Clients!$A$5:$A$204,0))&amp;""&lt;&gt;"",OR($C17="",$C17=INDEX(Clients!$E$5:$E$204,MATCH($B17,Clients!$A$5:$A$204,0)))),INDEX(Clients!$F$5:$F$204,MATCH($B17,Clients!$A$5:$A$204,0)),INDEX(Settings!$E$5:$E$19,MATCH($J17,Settings!$D$5:$D$19,0))),0)))</f>
        <v>220</v>
      </c>
      <c r="L17" s="15" t="n">
        <f aca="false">IF($B17="","",$K17*IF($D17="",1,$D17)+$E17)</f>
        <v>220</v>
      </c>
      <c r="M17" s="15" t="n">
        <f aca="false">IF($B17="","",ROUND($L17*Settings!$B$9,2))</f>
        <v>13.2</v>
      </c>
      <c r="N17" s="15" t="n">
        <f aca="false">IF($B17="","",$L17+$M17)</f>
        <v>233.2</v>
      </c>
      <c r="O17" s="19" t="str">
        <f aca="false">IF($Q17="","",Settings!$B$13&amp;TEXT(ROWS($A$5:$A17),"0000"))</f>
        <v>INV-0013</v>
      </c>
      <c r="P17" s="19" t="str">
        <f aca="false">IF($O17="","",IFERROR(INDEX(Invoices!$I$5:$I$504,MATCH($O17,Invoices!$A$5:$A$504,0)),""))</f>
        <v>Paid</v>
      </c>
      <c r="Q17" s="2" t="n">
        <f aca="false">IF(AND($A17&lt;&gt;"",$B17&lt;&gt;"",$G17="Completed"),COUNTIFS($A$5:$A17,"&lt;&gt;",$B$5:$B17,"&lt;&gt;",$G$5:$G17,"Completed"),"")</f>
        <v>13</v>
      </c>
    </row>
    <row r="18" customFormat="false" ht="15" hidden="false" customHeight="false" outlineLevel="0" collapsed="false">
      <c r="A18" s="16" t="n">
        <v>46241</v>
      </c>
      <c r="B18" s="12" t="s">
        <v>106</v>
      </c>
      <c r="C18" s="17"/>
      <c r="D18" s="18" t="n">
        <v>3</v>
      </c>
      <c r="E18" s="13"/>
      <c r="F18" s="13"/>
      <c r="G18" s="12" t="s">
        <v>148</v>
      </c>
      <c r="H18" s="12"/>
      <c r="I18" s="19" t="str">
        <f aca="false">IF($B18="","",IFERROR(INDEX(Clients!$D$5:$D$204,MATCH($B18,Clients!$A$5:$A$204,0))&amp;"",""))</f>
        <v>1500 Commerce Pkwy, Suite 210, Springfield</v>
      </c>
      <c r="J18" s="19" t="str">
        <f aca="false">IF($B18="","",IF($C18&lt;&gt;"",$C18,IFERROR(INDEX(Clients!$E$5:$E$204,MATCH($B18,Clients!$A$5:$A$204,0))&amp;"","")))</f>
        <v>Office Clean (hourly)</v>
      </c>
      <c r="K18" s="15" t="n">
        <f aca="false">IF($B18="","",IF($F18&lt;&gt;"",$F18,IFERROR(IF(AND(INDEX(Clients!$F$5:$F$204,MATCH($B18,Clients!$A$5:$A$204,0))&amp;""&lt;&gt;"",OR($C18="",$C18=INDEX(Clients!$E$5:$E$204,MATCH($B18,Clients!$A$5:$A$204,0)))),INDEX(Clients!$F$5:$F$204,MATCH($B18,Clients!$A$5:$A$204,0)),INDEX(Settings!$E$5:$E$19,MATCH($J18,Settings!$D$5:$D$19,0))),0)))</f>
        <v>45</v>
      </c>
      <c r="L18" s="15" t="n">
        <f aca="false">IF($B18="","",$K18*IF($D18="",1,$D18)+$E18)</f>
        <v>135</v>
      </c>
      <c r="M18" s="15" t="n">
        <f aca="false">IF($B18="","",ROUND($L18*Settings!$B$9,2))</f>
        <v>8.1</v>
      </c>
      <c r="N18" s="15" t="n">
        <f aca="false">IF($B18="","",$L18+$M18)</f>
        <v>143.1</v>
      </c>
      <c r="O18" s="19" t="str">
        <f aca="false">IF($Q18="","",Settings!$B$13&amp;TEXT(ROWS($A$5:$A18),"0000"))</f>
        <v>INV-0014</v>
      </c>
      <c r="P18" s="19" t="str">
        <f aca="false">IF($O18="","",IFERROR(INDEX(Invoices!$I$5:$I$504,MATCH($O18,Invoices!$A$5:$A$504,0)),""))</f>
        <v>Paid</v>
      </c>
      <c r="Q18" s="2" t="n">
        <f aca="false">IF(AND($A18&lt;&gt;"",$B18&lt;&gt;"",$G18="Completed"),COUNTIFS($A$5:$A18,"&lt;&gt;",$B$5:$B18,"&lt;&gt;",$G$5:$G18,"Completed"),"")</f>
        <v>14</v>
      </c>
    </row>
    <row r="19" customFormat="false" ht="15" hidden="false" customHeight="false" outlineLevel="0" collapsed="false">
      <c r="A19" s="16" t="n">
        <v>46244</v>
      </c>
      <c r="B19" s="12" t="s">
        <v>100</v>
      </c>
      <c r="C19" s="17"/>
      <c r="D19" s="18"/>
      <c r="E19" s="13"/>
      <c r="F19" s="13"/>
      <c r="G19" s="12" t="s">
        <v>148</v>
      </c>
      <c r="H19" s="12"/>
      <c r="I19" s="19" t="str">
        <f aca="false">IF($B19="","",IFERROR(INDEX(Clients!$D$5:$D$204,MATCH($B19,Clients!$A$5:$A$204,0))&amp;"",""))</f>
        <v>88 Birchwood Ln, Springfield</v>
      </c>
      <c r="J19" s="19" t="str">
        <f aca="false">IF($B19="","",IF($C19&lt;&gt;"",$C19,IFERROR(INDEX(Clients!$E$5:$E$204,MATCH($B19,Clients!$A$5:$A$204,0))&amp;"","")))</f>
        <v>Recurring Weekly</v>
      </c>
      <c r="K19" s="15" t="n">
        <f aca="false">IF($B19="","",IF($F19&lt;&gt;"",$F19,IFERROR(IF(AND(INDEX(Clients!$F$5:$F$204,MATCH($B19,Clients!$A$5:$A$204,0))&amp;""&lt;&gt;"",OR($C19="",$C19=INDEX(Clients!$E$5:$E$204,MATCH($B19,Clients!$A$5:$A$204,0)))),INDEX(Clients!$F$5:$F$204,MATCH($B19,Clients!$A$5:$A$204,0)),INDEX(Settings!$E$5:$E$19,MATCH($J19,Settings!$D$5:$D$19,0))),0)))</f>
        <v>90</v>
      </c>
      <c r="L19" s="15" t="n">
        <f aca="false">IF($B19="","",$K19*IF($D19="",1,$D19)+$E19)</f>
        <v>90</v>
      </c>
      <c r="M19" s="15" t="n">
        <f aca="false">IF($B19="","",ROUND($L19*Settings!$B$9,2))</f>
        <v>5.4</v>
      </c>
      <c r="N19" s="15" t="n">
        <f aca="false">IF($B19="","",$L19+$M19)</f>
        <v>95.4</v>
      </c>
      <c r="O19" s="19" t="str">
        <f aca="false">IF($Q19="","",Settings!$B$13&amp;TEXT(ROWS($A$5:$A19),"0000"))</f>
        <v>INV-0015</v>
      </c>
      <c r="P19" s="19" t="str">
        <f aca="false">IF($O19="","",IFERROR(INDEX(Invoices!$I$5:$I$504,MATCH($O19,Invoices!$A$5:$A$504,0)),""))</f>
        <v>Paid</v>
      </c>
      <c r="Q19" s="2" t="n">
        <f aca="false">IF(AND($A19&lt;&gt;"",$B19&lt;&gt;"",$G19="Completed"),COUNTIFS($A$5:$A19,"&lt;&gt;",$B$5:$B19,"&lt;&gt;",$G$5:$G19,"Completed"),"")</f>
        <v>15</v>
      </c>
    </row>
    <row r="20" customFormat="false" ht="15" hidden="false" customHeight="false" outlineLevel="0" collapsed="false">
      <c r="A20" s="16" t="n">
        <v>46247</v>
      </c>
      <c r="B20" s="12" t="s">
        <v>94</v>
      </c>
      <c r="C20" s="17"/>
      <c r="D20" s="18"/>
      <c r="E20" s="13"/>
      <c r="F20" s="13"/>
      <c r="G20" s="12" t="s">
        <v>148</v>
      </c>
      <c r="H20" s="12"/>
      <c r="I20" s="19" t="str">
        <f aca="false">IF($B20="","",IFERROR(INDEX(Clients!$D$5:$D$204,MATCH($B20,Clients!$A$5:$A$204,0))&amp;"",""))</f>
        <v>412 Maple Ridge Dr, Springfield</v>
      </c>
      <c r="J20" s="19" t="str">
        <f aca="false">IF($B20="","",IF($C20&lt;&gt;"",$C20,IFERROR(INDEX(Clients!$E$5:$E$204,MATCH($B20,Clients!$A$5:$A$204,0))&amp;"","")))</f>
        <v>Recurring Every 2 Weeks</v>
      </c>
      <c r="K20" s="15" t="n">
        <f aca="false">IF($B20="","",IF($F20&lt;&gt;"",$F20,IFERROR(IF(AND(INDEX(Clients!$F$5:$F$204,MATCH($B20,Clients!$A$5:$A$204,0))&amp;""&lt;&gt;"",OR($C20="",$C20=INDEX(Clients!$E$5:$E$204,MATCH($B20,Clients!$A$5:$A$204,0)))),INDEX(Clients!$F$5:$F$204,MATCH($B20,Clients!$A$5:$A$204,0)),INDEX(Settings!$E$5:$E$19,MATCH($J20,Settings!$D$5:$D$19,0))),0)))</f>
        <v>110</v>
      </c>
      <c r="L20" s="15" t="n">
        <f aca="false">IF($B20="","",$K20*IF($D20="",1,$D20)+$E20)</f>
        <v>110</v>
      </c>
      <c r="M20" s="15" t="n">
        <f aca="false">IF($B20="","",ROUND($L20*Settings!$B$9,2))</f>
        <v>6.6</v>
      </c>
      <c r="N20" s="15" t="n">
        <f aca="false">IF($B20="","",$L20+$M20)</f>
        <v>116.6</v>
      </c>
      <c r="O20" s="19" t="str">
        <f aca="false">IF($Q20="","",Settings!$B$13&amp;TEXT(ROWS($A$5:$A20),"0000"))</f>
        <v>INV-0016</v>
      </c>
      <c r="P20" s="19" t="str">
        <f aca="false">IF($O20="","",IFERROR(INDEX(Invoices!$I$5:$I$504,MATCH($O20,Invoices!$A$5:$A$504,0)),""))</f>
        <v>Paid</v>
      </c>
      <c r="Q20" s="2" t="n">
        <f aca="false">IF(AND($A20&lt;&gt;"",$B20&lt;&gt;"",$G20="Completed"),COUNTIFS($A$5:$A20,"&lt;&gt;",$B$5:$B20,"&lt;&gt;",$G$5:$G20,"Completed"),"")</f>
        <v>16</v>
      </c>
    </row>
    <row r="21" customFormat="false" ht="15" hidden="false" customHeight="false" outlineLevel="0" collapsed="false">
      <c r="A21" s="16" t="n">
        <v>46248</v>
      </c>
      <c r="B21" s="12" t="s">
        <v>121</v>
      </c>
      <c r="C21" s="17" t="s">
        <v>59</v>
      </c>
      <c r="D21" s="18"/>
      <c r="E21" s="13" t="n">
        <v>40</v>
      </c>
      <c r="F21" s="13"/>
      <c r="G21" s="12" t="s">
        <v>148</v>
      </c>
      <c r="H21" s="12" t="s">
        <v>152</v>
      </c>
      <c r="I21" s="19" t="str">
        <f aca="false">IF($B21="","",IFERROR(INDEX(Clients!$D$5:$D$204,MATCH($B21,Clients!$A$5:$A$204,0))&amp;"",""))</f>
        <v>300 Harbor St, Springfield</v>
      </c>
      <c r="J21" s="19" t="str">
        <f aca="false">IF($B21="","",IF($C21&lt;&gt;"",$C21,IFERROR(INDEX(Clients!$E$5:$E$204,MATCH($B21,Clients!$A$5:$A$204,0))&amp;"","")))</f>
        <v>Move-In / Move-Out</v>
      </c>
      <c r="K21" s="15" t="n">
        <f aca="false">IF($B21="","",IF($F21&lt;&gt;"",$F21,IFERROR(IF(AND(INDEX(Clients!$F$5:$F$204,MATCH($B21,Clients!$A$5:$A$204,0))&amp;""&lt;&gt;"",OR($C21="",$C21=INDEX(Clients!$E$5:$E$204,MATCH($B21,Clients!$A$5:$A$204,0)))),INDEX(Clients!$F$5:$F$204,MATCH($B21,Clients!$A$5:$A$204,0)),INDEX(Settings!$E$5:$E$19,MATCH($J21,Settings!$D$5:$D$19,0))),0)))</f>
        <v>300</v>
      </c>
      <c r="L21" s="15" t="n">
        <f aca="false">IF($B21="","",$K21*IF($D21="",1,$D21)+$E21)</f>
        <v>340</v>
      </c>
      <c r="M21" s="15" t="n">
        <f aca="false">IF($B21="","",ROUND($L21*Settings!$B$9,2))</f>
        <v>20.4</v>
      </c>
      <c r="N21" s="15" t="n">
        <f aca="false">IF($B21="","",$L21+$M21)</f>
        <v>360.4</v>
      </c>
      <c r="O21" s="19" t="str">
        <f aca="false">IF($Q21="","",Settings!$B$13&amp;TEXT(ROWS($A$5:$A21),"0000"))</f>
        <v>INV-0017</v>
      </c>
      <c r="P21" s="19" t="str">
        <f aca="false">IF($O21="","",IFERROR(INDEX(Invoices!$I$5:$I$504,MATCH($O21,Invoices!$A$5:$A$504,0)),""))</f>
        <v>Overdue</v>
      </c>
      <c r="Q21" s="2" t="n">
        <f aca="false">IF(AND($A21&lt;&gt;"",$B21&lt;&gt;"",$G21="Completed"),COUNTIFS($A$5:$A21,"&lt;&gt;",$B$5:$B21,"&lt;&gt;",$G$5:$G21,"Completed"),"")</f>
        <v>17</v>
      </c>
    </row>
    <row r="22" customFormat="false" ht="15" hidden="false" customHeight="false" outlineLevel="0" collapsed="false">
      <c r="A22" s="16" t="n">
        <v>46252</v>
      </c>
      <c r="B22" s="12" t="s">
        <v>111</v>
      </c>
      <c r="C22" s="17" t="s">
        <v>48</v>
      </c>
      <c r="D22" s="18"/>
      <c r="E22" s="13"/>
      <c r="F22" s="13"/>
      <c r="G22" s="12" t="s">
        <v>148</v>
      </c>
      <c r="H22" s="12" t="s">
        <v>153</v>
      </c>
      <c r="I22" s="19" t="str">
        <f aca="false">IF($B22="","",IFERROR(INDEX(Clients!$D$5:$D$204,MATCH($B22,Clients!$A$5:$A$204,0))&amp;"",""))</f>
        <v>27 Lakeview Ct, Riverton</v>
      </c>
      <c r="J22" s="19" t="str">
        <f aca="false">IF($B22="","",IF($C22&lt;&gt;"",$C22,IFERROR(INDEX(Clients!$E$5:$E$204,MATCH($B22,Clients!$A$5:$A$204,0))&amp;"","")))</f>
        <v>Standard Clean</v>
      </c>
      <c r="K22" s="15" t="n">
        <f aca="false">IF($B22="","",IF($F22&lt;&gt;"",$F22,IFERROR(IF(AND(INDEX(Clients!$F$5:$F$204,MATCH($B22,Clients!$A$5:$A$204,0))&amp;""&lt;&gt;"",OR($C22="",$C22=INDEX(Clients!$E$5:$E$204,MATCH($B22,Clients!$A$5:$A$204,0)))),INDEX(Clients!$F$5:$F$204,MATCH($B22,Clients!$A$5:$A$204,0)),INDEX(Settings!$E$5:$E$19,MATCH($J22,Settings!$D$5:$D$19,0))),0)))</f>
        <v>120</v>
      </c>
      <c r="L22" s="15" t="n">
        <f aca="false">IF($B22="","",$K22*IF($D22="",1,$D22)+$E22)</f>
        <v>120</v>
      </c>
      <c r="M22" s="15" t="n">
        <f aca="false">IF($B22="","",ROUND($L22*Settings!$B$9,2))</f>
        <v>7.2</v>
      </c>
      <c r="N22" s="15" t="n">
        <f aca="false">IF($B22="","",$L22+$M22)</f>
        <v>127.2</v>
      </c>
      <c r="O22" s="19" t="str">
        <f aca="false">IF($Q22="","",Settings!$B$13&amp;TEXT(ROWS($A$5:$A22),"0000"))</f>
        <v>INV-0018</v>
      </c>
      <c r="P22" s="19" t="str">
        <f aca="false">IF($O22="","",IFERROR(INDEX(Invoices!$I$5:$I$504,MATCH($O22,Invoices!$A$5:$A$504,0)),""))</f>
        <v>Paid</v>
      </c>
      <c r="Q22" s="2" t="n">
        <f aca="false">IF(AND($A22&lt;&gt;"",$B22&lt;&gt;"",$G22="Completed"),COUNTIFS($A$5:$A22,"&lt;&gt;",$B$5:$B22,"&lt;&gt;",$G$5:$G22,"Completed"),"")</f>
        <v>18</v>
      </c>
    </row>
    <row r="23" customFormat="false" ht="15" hidden="false" customHeight="false" outlineLevel="0" collapsed="false">
      <c r="A23" s="16" t="n">
        <v>46255</v>
      </c>
      <c r="B23" s="12" t="s">
        <v>117</v>
      </c>
      <c r="C23" s="17"/>
      <c r="D23" s="18"/>
      <c r="E23" s="13"/>
      <c r="F23" s="13"/>
      <c r="G23" s="12" t="s">
        <v>154</v>
      </c>
      <c r="H23" s="12" t="s">
        <v>155</v>
      </c>
      <c r="I23" s="19" t="str">
        <f aca="false">IF($B23="","",IFERROR(INDEX(Clients!$D$5:$D$204,MATCH($B23,Clients!$A$5:$A$204,0))&amp;"",""))</f>
        <v>9 Old Mill Rd, Riverton</v>
      </c>
      <c r="J23" s="19" t="str">
        <f aca="false">IF($B23="","",IF($C23&lt;&gt;"",$C23,IFERROR(INDEX(Clients!$E$5:$E$204,MATCH($B23,Clients!$A$5:$A$204,0))&amp;"","")))</f>
        <v>Standard Clean</v>
      </c>
      <c r="K23" s="15" t="n">
        <f aca="false">IF($B23="","",IF($F23&lt;&gt;"",$F23,IFERROR(IF(AND(INDEX(Clients!$F$5:$F$204,MATCH($B23,Clients!$A$5:$A$204,0))&amp;""&lt;&gt;"",OR($C23="",$C23=INDEX(Clients!$E$5:$E$204,MATCH($B23,Clients!$A$5:$A$204,0)))),INDEX(Clients!$F$5:$F$204,MATCH($B23,Clients!$A$5:$A$204,0)),INDEX(Settings!$E$5:$E$19,MATCH($J23,Settings!$D$5:$D$19,0))),0)))</f>
        <v>120</v>
      </c>
      <c r="L23" s="15" t="n">
        <f aca="false">IF($B23="","",$K23*IF($D23="",1,$D23)+$E23)</f>
        <v>120</v>
      </c>
      <c r="M23" s="15" t="n">
        <f aca="false">IF($B23="","",ROUND($L23*Settings!$B$9,2))</f>
        <v>7.2</v>
      </c>
      <c r="N23" s="15" t="n">
        <f aca="false">IF($B23="","",$L23+$M23)</f>
        <v>127.2</v>
      </c>
      <c r="O23" s="19" t="str">
        <f aca="false">IF($Q23="","",Settings!$B$13&amp;TEXT(ROWS($A$5:$A23),"0000"))</f>
        <v/>
      </c>
      <c r="P23" s="19" t="str">
        <f aca="false">IF($O23="","",IFERROR(INDEX(Invoices!$I$5:$I$504,MATCH($O23,Invoices!$A$5:$A$504,0)),""))</f>
        <v/>
      </c>
      <c r="Q23" s="2" t="str">
        <f aca="false">IF(AND($A23&lt;&gt;"",$B23&lt;&gt;"",$G23="Completed"),COUNTIFS($A$5:$A23,"&lt;&gt;",$B$5:$B23,"&lt;&gt;",$G$5:$G23,"Completed"),"")</f>
        <v/>
      </c>
    </row>
    <row r="24" customFormat="false" ht="15" hidden="false" customHeight="false" outlineLevel="0" collapsed="false">
      <c r="A24" s="16" t="n">
        <v>46261</v>
      </c>
      <c r="B24" s="12" t="s">
        <v>127</v>
      </c>
      <c r="C24" s="17"/>
      <c r="D24" s="18"/>
      <c r="E24" s="13"/>
      <c r="F24" s="13"/>
      <c r="G24" s="12" t="s">
        <v>148</v>
      </c>
      <c r="H24" s="12"/>
      <c r="I24" s="19" t="str">
        <f aca="false">IF($B24="","",IFERROR(INDEX(Clients!$D$5:$D$204,MATCH($B24,Clients!$A$5:$A$204,0))&amp;"",""))</f>
        <v>1742 Sunset Ave, Springfield</v>
      </c>
      <c r="J24" s="19" t="str">
        <f aca="false">IF($B24="","",IF($C24&lt;&gt;"",$C24,IFERROR(INDEX(Clients!$E$5:$E$204,MATCH($B24,Clients!$A$5:$A$204,0))&amp;"","")))</f>
        <v>Standard Clean</v>
      </c>
      <c r="K24" s="15" t="n">
        <f aca="false">IF($B24="","",IF($F24&lt;&gt;"",$F24,IFERROR(IF(AND(INDEX(Clients!$F$5:$F$204,MATCH($B24,Clients!$A$5:$A$204,0))&amp;""&lt;&gt;"",OR($C24="",$C24=INDEX(Clients!$E$5:$E$204,MATCH($B24,Clients!$A$5:$A$204,0)))),INDEX(Clients!$F$5:$F$204,MATCH($B24,Clients!$A$5:$A$204,0)),INDEX(Settings!$E$5:$E$19,MATCH($J24,Settings!$D$5:$D$19,0))),0)))</f>
        <v>120</v>
      </c>
      <c r="L24" s="15" t="n">
        <f aca="false">IF($B24="","",$K24*IF($D24="",1,$D24)+$E24)</f>
        <v>120</v>
      </c>
      <c r="M24" s="15" t="n">
        <f aca="false">IF($B24="","",ROUND($L24*Settings!$B$9,2))</f>
        <v>7.2</v>
      </c>
      <c r="N24" s="15" t="n">
        <f aca="false">IF($B24="","",$L24+$M24)</f>
        <v>127.2</v>
      </c>
      <c r="O24" s="19" t="str">
        <f aca="false">IF($Q24="","",Settings!$B$13&amp;TEXT(ROWS($A$5:$A24),"0000"))</f>
        <v>INV-0020</v>
      </c>
      <c r="P24" s="19" t="str">
        <f aca="false">IF($O24="","",IFERROR(INDEX(Invoices!$I$5:$I$504,MATCH($O24,Invoices!$A$5:$A$504,0)),""))</f>
        <v>Paid</v>
      </c>
      <c r="Q24" s="2" t="n">
        <f aca="false">IF(AND($A24&lt;&gt;"",$B24&lt;&gt;"",$G24="Completed"),COUNTIFS($A$5:$A24,"&lt;&gt;",$B$5:$B24,"&lt;&gt;",$G$5:$G24,"Completed"),"")</f>
        <v>19</v>
      </c>
    </row>
    <row r="25" customFormat="false" ht="15" hidden="false" customHeight="false" outlineLevel="0" collapsed="false">
      <c r="A25" s="16" t="n">
        <v>46266</v>
      </c>
      <c r="B25" s="12" t="s">
        <v>100</v>
      </c>
      <c r="C25" s="17"/>
      <c r="D25" s="18"/>
      <c r="E25" s="13"/>
      <c r="F25" s="13"/>
      <c r="G25" s="12" t="s">
        <v>148</v>
      </c>
      <c r="H25" s="12"/>
      <c r="I25" s="19" t="str">
        <f aca="false">IF($B25="","",IFERROR(INDEX(Clients!$D$5:$D$204,MATCH($B25,Clients!$A$5:$A$204,0))&amp;"",""))</f>
        <v>88 Birchwood Ln, Springfield</v>
      </c>
      <c r="J25" s="19" t="str">
        <f aca="false">IF($B25="","",IF($C25&lt;&gt;"",$C25,IFERROR(INDEX(Clients!$E$5:$E$204,MATCH($B25,Clients!$A$5:$A$204,0))&amp;"","")))</f>
        <v>Recurring Weekly</v>
      </c>
      <c r="K25" s="15" t="n">
        <f aca="false">IF($B25="","",IF($F25&lt;&gt;"",$F25,IFERROR(IF(AND(INDEX(Clients!$F$5:$F$204,MATCH($B25,Clients!$A$5:$A$204,0))&amp;""&lt;&gt;"",OR($C25="",$C25=INDEX(Clients!$E$5:$E$204,MATCH($B25,Clients!$A$5:$A$204,0)))),INDEX(Clients!$F$5:$F$204,MATCH($B25,Clients!$A$5:$A$204,0)),INDEX(Settings!$E$5:$E$19,MATCH($J25,Settings!$D$5:$D$19,0))),0)))</f>
        <v>90</v>
      </c>
      <c r="L25" s="15" t="n">
        <f aca="false">IF($B25="","",$K25*IF($D25="",1,$D25)+$E25)</f>
        <v>90</v>
      </c>
      <c r="M25" s="15" t="n">
        <f aca="false">IF($B25="","",ROUND($L25*Settings!$B$9,2))</f>
        <v>5.4</v>
      </c>
      <c r="N25" s="15" t="n">
        <f aca="false">IF($B25="","",$L25+$M25)</f>
        <v>95.4</v>
      </c>
      <c r="O25" s="19" t="str">
        <f aca="false">IF($Q25="","",Settings!$B$13&amp;TEXT(ROWS($A$5:$A25),"0000"))</f>
        <v>INV-0021</v>
      </c>
      <c r="P25" s="19" t="str">
        <f aca="false">IF($O25="","",IFERROR(INDEX(Invoices!$I$5:$I$504,MATCH($O25,Invoices!$A$5:$A$504,0)),""))</f>
        <v>Paid</v>
      </c>
      <c r="Q25" s="2" t="n">
        <f aca="false">IF(AND($A25&lt;&gt;"",$B25&lt;&gt;"",$G25="Completed"),COUNTIFS($A$5:$A25,"&lt;&gt;",$B$5:$B25,"&lt;&gt;",$G$5:$G25,"Completed"),"")</f>
        <v>20</v>
      </c>
    </row>
    <row r="26" customFormat="false" ht="15" hidden="false" customHeight="false" outlineLevel="0" collapsed="false">
      <c r="A26" s="16" t="n">
        <v>46268</v>
      </c>
      <c r="B26" s="12" t="s">
        <v>106</v>
      </c>
      <c r="C26" s="17"/>
      <c r="D26" s="18" t="n">
        <v>3.5</v>
      </c>
      <c r="E26" s="13"/>
      <c r="F26" s="13"/>
      <c r="G26" s="12" t="s">
        <v>148</v>
      </c>
      <c r="H26" s="12"/>
      <c r="I26" s="19" t="str">
        <f aca="false">IF($B26="","",IFERROR(INDEX(Clients!$D$5:$D$204,MATCH($B26,Clients!$A$5:$A$204,0))&amp;"",""))</f>
        <v>1500 Commerce Pkwy, Suite 210, Springfield</v>
      </c>
      <c r="J26" s="19" t="str">
        <f aca="false">IF($B26="","",IF($C26&lt;&gt;"",$C26,IFERROR(INDEX(Clients!$E$5:$E$204,MATCH($B26,Clients!$A$5:$A$204,0))&amp;"","")))</f>
        <v>Office Clean (hourly)</v>
      </c>
      <c r="K26" s="15" t="n">
        <f aca="false">IF($B26="","",IF($F26&lt;&gt;"",$F26,IFERROR(IF(AND(INDEX(Clients!$F$5:$F$204,MATCH($B26,Clients!$A$5:$A$204,0))&amp;""&lt;&gt;"",OR($C26="",$C26=INDEX(Clients!$E$5:$E$204,MATCH($B26,Clients!$A$5:$A$204,0)))),INDEX(Clients!$F$5:$F$204,MATCH($B26,Clients!$A$5:$A$204,0)),INDEX(Settings!$E$5:$E$19,MATCH($J26,Settings!$D$5:$D$19,0))),0)))</f>
        <v>45</v>
      </c>
      <c r="L26" s="15" t="n">
        <f aca="false">IF($B26="","",$K26*IF($D26="",1,$D26)+$E26)</f>
        <v>157.5</v>
      </c>
      <c r="M26" s="15" t="n">
        <f aca="false">IF($B26="","",ROUND($L26*Settings!$B$9,2))</f>
        <v>9.45</v>
      </c>
      <c r="N26" s="15" t="n">
        <f aca="false">IF($B26="","",$L26+$M26)</f>
        <v>166.95</v>
      </c>
      <c r="O26" s="19" t="str">
        <f aca="false">IF($Q26="","",Settings!$B$13&amp;TEXT(ROWS($A$5:$A26),"0000"))</f>
        <v>INV-0022</v>
      </c>
      <c r="P26" s="19" t="str">
        <f aca="false">IF($O26="","",IFERROR(INDEX(Invoices!$I$5:$I$504,MATCH($O26,Invoices!$A$5:$A$504,0)),""))</f>
        <v>Paid</v>
      </c>
      <c r="Q26" s="2" t="n">
        <f aca="false">IF(AND($A26&lt;&gt;"",$B26&lt;&gt;"",$G26="Completed"),COUNTIFS($A$5:$A26,"&lt;&gt;",$B$5:$B26,"&lt;&gt;",$G$5:$G26,"Completed"),"")</f>
        <v>21</v>
      </c>
    </row>
    <row r="27" customFormat="false" ht="15" hidden="false" customHeight="false" outlineLevel="0" collapsed="false">
      <c r="A27" s="16" t="n">
        <v>46273</v>
      </c>
      <c r="B27" s="12" t="s">
        <v>94</v>
      </c>
      <c r="C27" s="17"/>
      <c r="D27" s="18"/>
      <c r="E27" s="13"/>
      <c r="F27" s="13"/>
      <c r="G27" s="12" t="s">
        <v>148</v>
      </c>
      <c r="H27" s="12"/>
      <c r="I27" s="19" t="str">
        <f aca="false">IF($B27="","",IFERROR(INDEX(Clients!$D$5:$D$204,MATCH($B27,Clients!$A$5:$A$204,0))&amp;"",""))</f>
        <v>412 Maple Ridge Dr, Springfield</v>
      </c>
      <c r="J27" s="19" t="str">
        <f aca="false">IF($B27="","",IF($C27&lt;&gt;"",$C27,IFERROR(INDEX(Clients!$E$5:$E$204,MATCH($B27,Clients!$A$5:$A$204,0))&amp;"","")))</f>
        <v>Recurring Every 2 Weeks</v>
      </c>
      <c r="K27" s="15" t="n">
        <f aca="false">IF($B27="","",IF($F27&lt;&gt;"",$F27,IFERROR(IF(AND(INDEX(Clients!$F$5:$F$204,MATCH($B27,Clients!$A$5:$A$204,0))&amp;""&lt;&gt;"",OR($C27="",$C27=INDEX(Clients!$E$5:$E$204,MATCH($B27,Clients!$A$5:$A$204,0)))),INDEX(Clients!$F$5:$F$204,MATCH($B27,Clients!$A$5:$A$204,0)),INDEX(Settings!$E$5:$E$19,MATCH($J27,Settings!$D$5:$D$19,0))),0)))</f>
        <v>110</v>
      </c>
      <c r="L27" s="15" t="n">
        <f aca="false">IF($B27="","",$K27*IF($D27="",1,$D27)+$E27)</f>
        <v>110</v>
      </c>
      <c r="M27" s="15" t="n">
        <f aca="false">IF($B27="","",ROUND($L27*Settings!$B$9,2))</f>
        <v>6.6</v>
      </c>
      <c r="N27" s="15" t="n">
        <f aca="false">IF($B27="","",$L27+$M27)</f>
        <v>116.6</v>
      </c>
      <c r="O27" s="19" t="str">
        <f aca="false">IF($Q27="","",Settings!$B$13&amp;TEXT(ROWS($A$5:$A27),"0000"))</f>
        <v>INV-0023</v>
      </c>
      <c r="P27" s="19" t="str">
        <f aca="false">IF($O27="","",IFERROR(INDEX(Invoices!$I$5:$I$504,MATCH($O27,Invoices!$A$5:$A$504,0)),""))</f>
        <v>Paid</v>
      </c>
      <c r="Q27" s="2" t="n">
        <f aca="false">IF(AND($A27&lt;&gt;"",$B27&lt;&gt;"",$G27="Completed"),COUNTIFS($A$5:$A27,"&lt;&gt;",$B$5:$B27,"&lt;&gt;",$G$5:$G27,"Completed"),"")</f>
        <v>22</v>
      </c>
    </row>
    <row r="28" customFormat="false" ht="15" hidden="false" customHeight="false" outlineLevel="0" collapsed="false">
      <c r="A28" s="16" t="n">
        <v>46275</v>
      </c>
      <c r="B28" s="12" t="s">
        <v>132</v>
      </c>
      <c r="C28" s="17"/>
      <c r="D28" s="18" t="n">
        <v>2.5</v>
      </c>
      <c r="E28" s="13"/>
      <c r="F28" s="13"/>
      <c r="G28" s="12" t="s">
        <v>148</v>
      </c>
      <c r="H28" s="12"/>
      <c r="I28" s="19" t="str">
        <f aca="false">IF($B28="","",IFERROR(INDEX(Clients!$D$5:$D$204,MATCH($B28,Clients!$A$5:$A$204,0))&amp;"",""))</f>
        <v>55 River Rd, Riverton</v>
      </c>
      <c r="J28" s="19" t="str">
        <f aca="false">IF($B28="","",IF($C28&lt;&gt;"",$C28,IFERROR(INDEX(Clients!$E$5:$E$204,MATCH($B28,Clients!$A$5:$A$204,0))&amp;"","")))</f>
        <v>Office Clean (hourly)</v>
      </c>
      <c r="K28" s="15" t="n">
        <f aca="false">IF($B28="","",IF($F28&lt;&gt;"",$F28,IFERROR(IF(AND(INDEX(Clients!$F$5:$F$204,MATCH($B28,Clients!$A$5:$A$204,0))&amp;""&lt;&gt;"",OR($C28="",$C28=INDEX(Clients!$E$5:$E$204,MATCH($B28,Clients!$A$5:$A$204,0)))),INDEX(Clients!$F$5:$F$204,MATCH($B28,Clients!$A$5:$A$204,0)),INDEX(Settings!$E$5:$E$19,MATCH($J28,Settings!$D$5:$D$19,0))),0)))</f>
        <v>40</v>
      </c>
      <c r="L28" s="15" t="n">
        <f aca="false">IF($B28="","",$K28*IF($D28="",1,$D28)+$E28)</f>
        <v>100</v>
      </c>
      <c r="M28" s="15" t="n">
        <f aca="false">IF($B28="","",ROUND($L28*Settings!$B$9,2))</f>
        <v>6</v>
      </c>
      <c r="N28" s="15" t="n">
        <f aca="false">IF($B28="","",$L28+$M28)</f>
        <v>106</v>
      </c>
      <c r="O28" s="19" t="str">
        <f aca="false">IF($Q28="","",Settings!$B$13&amp;TEXT(ROWS($A$5:$A28),"0000"))</f>
        <v>INV-0024</v>
      </c>
      <c r="P28" s="19" t="str">
        <f aca="false">IF($O28="","",IFERROR(INDEX(Invoices!$I$5:$I$504,MATCH($O28,Invoices!$A$5:$A$504,0)),""))</f>
        <v>Paid</v>
      </c>
      <c r="Q28" s="2" t="n">
        <f aca="false">IF(AND($A28&lt;&gt;"",$B28&lt;&gt;"",$G28="Completed"),COUNTIFS($A$5:$A28,"&lt;&gt;",$B$5:$B28,"&lt;&gt;",$G$5:$G28,"Completed"),"")</f>
        <v>23</v>
      </c>
    </row>
    <row r="29" customFormat="false" ht="15" hidden="false" customHeight="false" outlineLevel="0" collapsed="false">
      <c r="A29" s="16" t="n">
        <v>46277</v>
      </c>
      <c r="B29" s="12" t="s">
        <v>121</v>
      </c>
      <c r="C29" s="17"/>
      <c r="D29" s="18"/>
      <c r="E29" s="13"/>
      <c r="F29" s="13"/>
      <c r="G29" s="12" t="s">
        <v>148</v>
      </c>
      <c r="H29" s="12" t="s">
        <v>156</v>
      </c>
      <c r="I29" s="19" t="str">
        <f aca="false">IF($B29="","",IFERROR(INDEX(Clients!$D$5:$D$204,MATCH($B29,Clients!$A$5:$A$204,0))&amp;"",""))</f>
        <v>300 Harbor St, Springfield</v>
      </c>
      <c r="J29" s="19" t="str">
        <f aca="false">IF($B29="","",IF($C29&lt;&gt;"",$C29,IFERROR(INDEX(Clients!$E$5:$E$204,MATCH($B29,Clients!$A$5:$A$204,0))&amp;"","")))</f>
        <v>Move-In / Move-Out</v>
      </c>
      <c r="K29" s="15" t="n">
        <f aca="false">IF($B29="","",IF($F29&lt;&gt;"",$F29,IFERROR(IF(AND(INDEX(Clients!$F$5:$F$204,MATCH($B29,Clients!$A$5:$A$204,0))&amp;""&lt;&gt;"",OR($C29="",$C29=INDEX(Clients!$E$5:$E$204,MATCH($B29,Clients!$A$5:$A$204,0)))),INDEX(Clients!$F$5:$F$204,MATCH($B29,Clients!$A$5:$A$204,0)),INDEX(Settings!$E$5:$E$19,MATCH($J29,Settings!$D$5:$D$19,0))),0)))</f>
        <v>300</v>
      </c>
      <c r="L29" s="15" t="n">
        <f aca="false">IF($B29="","",$K29*IF($D29="",1,$D29)+$E29)</f>
        <v>300</v>
      </c>
      <c r="M29" s="15" t="n">
        <f aca="false">IF($B29="","",ROUND($L29*Settings!$B$9,2))</f>
        <v>18</v>
      </c>
      <c r="N29" s="15" t="n">
        <f aca="false">IF($B29="","",$L29+$M29)</f>
        <v>318</v>
      </c>
      <c r="O29" s="19" t="str">
        <f aca="false">IF($Q29="","",Settings!$B$13&amp;TEXT(ROWS($A$5:$A29),"0000"))</f>
        <v>INV-0025</v>
      </c>
      <c r="P29" s="19" t="str">
        <f aca="false">IF($O29="","",IFERROR(INDEX(Invoices!$I$5:$I$504,MATCH($O29,Invoices!$A$5:$A$504,0)),""))</f>
        <v>Overdue</v>
      </c>
      <c r="Q29" s="2" t="n">
        <f aca="false">IF(AND($A29&lt;&gt;"",$B29&lt;&gt;"",$G29="Completed"),COUNTIFS($A$5:$A29,"&lt;&gt;",$B$5:$B29,"&lt;&gt;",$G$5:$G29,"Completed"),"")</f>
        <v>24</v>
      </c>
    </row>
    <row r="30" customFormat="false" ht="15" hidden="false" customHeight="false" outlineLevel="0" collapsed="false">
      <c r="A30" s="16" t="n">
        <v>46280</v>
      </c>
      <c r="B30" s="12" t="s">
        <v>111</v>
      </c>
      <c r="C30" s="17"/>
      <c r="D30" s="18"/>
      <c r="E30" s="13"/>
      <c r="F30" s="13"/>
      <c r="G30" s="12" t="s">
        <v>148</v>
      </c>
      <c r="H30" s="12"/>
      <c r="I30" s="19" t="str">
        <f aca="false">IF($B30="","",IFERROR(INDEX(Clients!$D$5:$D$204,MATCH($B30,Clients!$A$5:$A$204,0))&amp;"",""))</f>
        <v>27 Lakeview Ct, Riverton</v>
      </c>
      <c r="J30" s="19" t="str">
        <f aca="false">IF($B30="","",IF($C30&lt;&gt;"",$C30,IFERROR(INDEX(Clients!$E$5:$E$204,MATCH($B30,Clients!$A$5:$A$204,0))&amp;"","")))</f>
        <v>Deep Clean</v>
      </c>
      <c r="K30" s="15" t="n">
        <f aca="false">IF($B30="","",IF($F30&lt;&gt;"",$F30,IFERROR(IF(AND(INDEX(Clients!$F$5:$F$204,MATCH($B30,Clients!$A$5:$A$204,0))&amp;""&lt;&gt;"",OR($C30="",$C30=INDEX(Clients!$E$5:$E$204,MATCH($B30,Clients!$A$5:$A$204,0)))),INDEX(Clients!$F$5:$F$204,MATCH($B30,Clients!$A$5:$A$204,0)),INDEX(Settings!$E$5:$E$19,MATCH($J30,Settings!$D$5:$D$19,0))),0)))</f>
        <v>220</v>
      </c>
      <c r="L30" s="15" t="n">
        <f aca="false">IF($B30="","",$K30*IF($D30="",1,$D30)+$E30)</f>
        <v>220</v>
      </c>
      <c r="M30" s="15" t="n">
        <f aca="false">IF($B30="","",ROUND($L30*Settings!$B$9,2))</f>
        <v>13.2</v>
      </c>
      <c r="N30" s="15" t="n">
        <f aca="false">IF($B30="","",$L30+$M30)</f>
        <v>233.2</v>
      </c>
      <c r="O30" s="19" t="str">
        <f aca="false">IF($Q30="","",Settings!$B$13&amp;TEXT(ROWS($A$5:$A30),"0000"))</f>
        <v>INV-0026</v>
      </c>
      <c r="P30" s="19" t="str">
        <f aca="false">IF($O30="","",IFERROR(INDEX(Invoices!$I$5:$I$504,MATCH($O30,Invoices!$A$5:$A$504,0)),""))</f>
        <v>Overdue</v>
      </c>
      <c r="Q30" s="2" t="n">
        <f aca="false">IF(AND($A30&lt;&gt;"",$B30&lt;&gt;"",$G30="Completed"),COUNTIFS($A$5:$A30,"&lt;&gt;",$B$5:$B30,"&lt;&gt;",$G$5:$G30,"Completed"),"")</f>
        <v>25</v>
      </c>
    </row>
    <row r="31" customFormat="false" ht="15" hidden="false" customHeight="false" outlineLevel="0" collapsed="false">
      <c r="A31" s="16" t="n">
        <v>46282</v>
      </c>
      <c r="B31" s="12" t="s">
        <v>117</v>
      </c>
      <c r="C31" s="17" t="s">
        <v>78</v>
      </c>
      <c r="D31" s="18"/>
      <c r="E31" s="13"/>
      <c r="F31" s="13" t="n">
        <v>95</v>
      </c>
      <c r="G31" s="12" t="s">
        <v>148</v>
      </c>
      <c r="H31" s="12" t="s">
        <v>157</v>
      </c>
      <c r="I31" s="19" t="str">
        <f aca="false">IF($B31="","",IFERROR(INDEX(Clients!$D$5:$D$204,MATCH($B31,Clients!$A$5:$A$204,0))&amp;"",""))</f>
        <v>9 Old Mill Rd, Riverton</v>
      </c>
      <c r="J31" s="19" t="str">
        <f aca="false">IF($B31="","",IF($C31&lt;&gt;"",$C31,IFERROR(INDEX(Clients!$E$5:$E$204,MATCH($B31,Clients!$A$5:$A$204,0))&amp;"","")))</f>
        <v>Window Cleaning</v>
      </c>
      <c r="K31" s="15" t="n">
        <f aca="false">IF($B31="","",IF($F31&lt;&gt;"",$F31,IFERROR(IF(AND(INDEX(Clients!$F$5:$F$204,MATCH($B31,Clients!$A$5:$A$204,0))&amp;""&lt;&gt;"",OR($C31="",$C31=INDEX(Clients!$E$5:$E$204,MATCH($B31,Clients!$A$5:$A$204,0)))),INDEX(Clients!$F$5:$F$204,MATCH($B31,Clients!$A$5:$A$204,0)),INDEX(Settings!$E$5:$E$19,MATCH($J31,Settings!$D$5:$D$19,0))),0)))</f>
        <v>95</v>
      </c>
      <c r="L31" s="15" t="n">
        <f aca="false">IF($B31="","",$K31*IF($D31="",1,$D31)+$E31)</f>
        <v>95</v>
      </c>
      <c r="M31" s="15" t="n">
        <f aca="false">IF($B31="","",ROUND($L31*Settings!$B$9,2))</f>
        <v>5.7</v>
      </c>
      <c r="N31" s="15" t="n">
        <f aca="false">IF($B31="","",$L31+$M31)</f>
        <v>100.7</v>
      </c>
      <c r="O31" s="19" t="str">
        <f aca="false">IF($Q31="","",Settings!$B$13&amp;TEXT(ROWS($A$5:$A31),"0000"))</f>
        <v>INV-0027</v>
      </c>
      <c r="P31" s="19" t="str">
        <f aca="false">IF($O31="","",IFERROR(INDEX(Invoices!$I$5:$I$504,MATCH($O31,Invoices!$A$5:$A$504,0)),""))</f>
        <v>Overdue</v>
      </c>
      <c r="Q31" s="2" t="n">
        <f aca="false">IF(AND($A31&lt;&gt;"",$B31&lt;&gt;"",$G31="Completed"),COUNTIFS($A$5:$A31,"&lt;&gt;",$B$5:$B31,"&lt;&gt;",$G$5:$G31,"Completed"),"")</f>
        <v>26</v>
      </c>
    </row>
    <row r="32" customFormat="false" ht="15" hidden="false" customHeight="false" outlineLevel="0" collapsed="false">
      <c r="A32" s="16" t="n">
        <v>46287</v>
      </c>
      <c r="B32" s="12" t="s">
        <v>94</v>
      </c>
      <c r="C32" s="17"/>
      <c r="D32" s="18"/>
      <c r="E32" s="13"/>
      <c r="F32" s="13"/>
      <c r="G32" s="12" t="s">
        <v>148</v>
      </c>
      <c r="H32" s="12"/>
      <c r="I32" s="19" t="str">
        <f aca="false">IF($B32="","",IFERROR(INDEX(Clients!$D$5:$D$204,MATCH($B32,Clients!$A$5:$A$204,0))&amp;"",""))</f>
        <v>412 Maple Ridge Dr, Springfield</v>
      </c>
      <c r="J32" s="19" t="str">
        <f aca="false">IF($B32="","",IF($C32&lt;&gt;"",$C32,IFERROR(INDEX(Clients!$E$5:$E$204,MATCH($B32,Clients!$A$5:$A$204,0))&amp;"","")))</f>
        <v>Recurring Every 2 Weeks</v>
      </c>
      <c r="K32" s="15" t="n">
        <f aca="false">IF($B32="","",IF($F32&lt;&gt;"",$F32,IFERROR(IF(AND(INDEX(Clients!$F$5:$F$204,MATCH($B32,Clients!$A$5:$A$204,0))&amp;""&lt;&gt;"",OR($C32="",$C32=INDEX(Clients!$E$5:$E$204,MATCH($B32,Clients!$A$5:$A$204,0)))),INDEX(Clients!$F$5:$F$204,MATCH($B32,Clients!$A$5:$A$204,0)),INDEX(Settings!$E$5:$E$19,MATCH($J32,Settings!$D$5:$D$19,0))),0)))</f>
        <v>110</v>
      </c>
      <c r="L32" s="15" t="n">
        <f aca="false">IF($B32="","",$K32*IF($D32="",1,$D32)+$E32)</f>
        <v>110</v>
      </c>
      <c r="M32" s="15" t="n">
        <f aca="false">IF($B32="","",ROUND($L32*Settings!$B$9,2))</f>
        <v>6.6</v>
      </c>
      <c r="N32" s="15" t="n">
        <f aca="false">IF($B32="","",$L32+$M32)</f>
        <v>116.6</v>
      </c>
      <c r="O32" s="19" t="str">
        <f aca="false">IF($Q32="","",Settings!$B$13&amp;TEXT(ROWS($A$5:$A32),"0000"))</f>
        <v>INV-0028</v>
      </c>
      <c r="P32" s="19" t="str">
        <f aca="false">IF($O32="","",IFERROR(INDEX(Invoices!$I$5:$I$504,MATCH($O32,Invoices!$A$5:$A$504,0)),""))</f>
        <v>Unpaid</v>
      </c>
      <c r="Q32" s="2" t="n">
        <f aca="false">IF(AND($A32&lt;&gt;"",$B32&lt;&gt;"",$G32="Completed"),COUNTIFS($A$5:$A32,"&lt;&gt;",$B$5:$B32,"&lt;&gt;",$G$5:$G32,"Completed"),"")</f>
        <v>27</v>
      </c>
    </row>
    <row r="33" customFormat="false" ht="15" hidden="false" customHeight="false" outlineLevel="0" collapsed="false">
      <c r="A33" s="16" t="n">
        <v>46294</v>
      </c>
      <c r="B33" s="12" t="s">
        <v>100</v>
      </c>
      <c r="C33" s="17"/>
      <c r="D33" s="18"/>
      <c r="E33" s="13"/>
      <c r="F33" s="13"/>
      <c r="G33" s="12" t="s">
        <v>158</v>
      </c>
      <c r="H33" s="12"/>
      <c r="I33" s="19" t="str">
        <f aca="false">IF($B33="","",IFERROR(INDEX(Clients!$D$5:$D$204,MATCH($B33,Clients!$A$5:$A$204,0))&amp;"",""))</f>
        <v>88 Birchwood Ln, Springfield</v>
      </c>
      <c r="J33" s="19" t="str">
        <f aca="false">IF($B33="","",IF($C33&lt;&gt;"",$C33,IFERROR(INDEX(Clients!$E$5:$E$204,MATCH($B33,Clients!$A$5:$A$204,0))&amp;"","")))</f>
        <v>Recurring Weekly</v>
      </c>
      <c r="K33" s="15" t="n">
        <f aca="false">IF($B33="","",IF($F33&lt;&gt;"",$F33,IFERROR(IF(AND(INDEX(Clients!$F$5:$F$204,MATCH($B33,Clients!$A$5:$A$204,0))&amp;""&lt;&gt;"",OR($C33="",$C33=INDEX(Clients!$E$5:$E$204,MATCH($B33,Clients!$A$5:$A$204,0)))),INDEX(Clients!$F$5:$F$204,MATCH($B33,Clients!$A$5:$A$204,0)),INDEX(Settings!$E$5:$E$19,MATCH($J33,Settings!$D$5:$D$19,0))),0)))</f>
        <v>90</v>
      </c>
      <c r="L33" s="15" t="n">
        <f aca="false">IF($B33="","",$K33*IF($D33="",1,$D33)+$E33)</f>
        <v>90</v>
      </c>
      <c r="M33" s="15" t="n">
        <f aca="false">IF($B33="","",ROUND($L33*Settings!$B$9,2))</f>
        <v>5.4</v>
      </c>
      <c r="N33" s="15" t="n">
        <f aca="false">IF($B33="","",$L33+$M33)</f>
        <v>95.4</v>
      </c>
      <c r="O33" s="19" t="str">
        <f aca="false">IF($Q33="","",Settings!$B$13&amp;TEXT(ROWS($A$5:$A33),"0000"))</f>
        <v/>
      </c>
      <c r="P33" s="19" t="str">
        <f aca="false">IF($O33="","",IFERROR(INDEX(Invoices!$I$5:$I$504,MATCH($O33,Invoices!$A$5:$A$504,0)),""))</f>
        <v/>
      </c>
      <c r="Q33" s="2" t="str">
        <f aca="false">IF(AND($A33&lt;&gt;"",$B33&lt;&gt;"",$G33="Completed"),COUNTIFS($A$5:$A33,"&lt;&gt;",$B$5:$B33,"&lt;&gt;",$G$5:$G33,"Completed"),"")</f>
        <v/>
      </c>
    </row>
    <row r="34" customFormat="false" ht="15" hidden="false" customHeight="false" outlineLevel="0" collapsed="false">
      <c r="A34" s="16" t="n">
        <v>46295</v>
      </c>
      <c r="B34" s="12" t="s">
        <v>127</v>
      </c>
      <c r="C34" s="17"/>
      <c r="D34" s="18"/>
      <c r="E34" s="13"/>
      <c r="F34" s="13"/>
      <c r="G34" s="12" t="s">
        <v>158</v>
      </c>
      <c r="H34" s="12"/>
      <c r="I34" s="19" t="str">
        <f aca="false">IF($B34="","",IFERROR(INDEX(Clients!$D$5:$D$204,MATCH($B34,Clients!$A$5:$A$204,0))&amp;"",""))</f>
        <v>1742 Sunset Ave, Springfield</v>
      </c>
      <c r="J34" s="19" t="str">
        <f aca="false">IF($B34="","",IF($C34&lt;&gt;"",$C34,IFERROR(INDEX(Clients!$E$5:$E$204,MATCH($B34,Clients!$A$5:$A$204,0))&amp;"","")))</f>
        <v>Standard Clean</v>
      </c>
      <c r="K34" s="15" t="n">
        <f aca="false">IF($B34="","",IF($F34&lt;&gt;"",$F34,IFERROR(IF(AND(INDEX(Clients!$F$5:$F$204,MATCH($B34,Clients!$A$5:$A$204,0))&amp;""&lt;&gt;"",OR($C34="",$C34=INDEX(Clients!$E$5:$E$204,MATCH($B34,Clients!$A$5:$A$204,0)))),INDEX(Clients!$F$5:$F$204,MATCH($B34,Clients!$A$5:$A$204,0)),INDEX(Settings!$E$5:$E$19,MATCH($J34,Settings!$D$5:$D$19,0))),0)))</f>
        <v>120</v>
      </c>
      <c r="L34" s="15" t="n">
        <f aca="false">IF($B34="","",$K34*IF($D34="",1,$D34)+$E34)</f>
        <v>120</v>
      </c>
      <c r="M34" s="15" t="n">
        <f aca="false">IF($B34="","",ROUND($L34*Settings!$B$9,2))</f>
        <v>7.2</v>
      </c>
      <c r="N34" s="15" t="n">
        <f aca="false">IF($B34="","",$L34+$M34)</f>
        <v>127.2</v>
      </c>
      <c r="O34" s="19" t="str">
        <f aca="false">IF($Q34="","",Settings!$B$13&amp;TEXT(ROWS($A$5:$A34),"0000"))</f>
        <v/>
      </c>
      <c r="P34" s="19" t="str">
        <f aca="false">IF($O34="","",IFERROR(INDEX(Invoices!$I$5:$I$504,MATCH($O34,Invoices!$A$5:$A$504,0)),""))</f>
        <v/>
      </c>
      <c r="Q34" s="2" t="str">
        <f aca="false">IF(AND($A34&lt;&gt;"",$B34&lt;&gt;"",$G34="Completed"),COUNTIFS($A$5:$A34,"&lt;&gt;",$B$5:$B34,"&lt;&gt;",$G$5:$G34,"Completed"),"")</f>
        <v/>
      </c>
    </row>
    <row r="35" customFormat="false" ht="15" hidden="false" customHeight="false" outlineLevel="0" collapsed="false">
      <c r="A35" s="16"/>
      <c r="B35" s="12"/>
      <c r="C35" s="17"/>
      <c r="D35" s="18"/>
      <c r="E35" s="13"/>
      <c r="F35" s="13"/>
      <c r="G35" s="12"/>
      <c r="H35" s="12"/>
      <c r="I35" s="19" t="str">
        <f aca="false">IF($B35="","",IFERROR(INDEX(Clients!$D$5:$D$204,MATCH($B35,Clients!$A$5:$A$204,0))&amp;"",""))</f>
        <v/>
      </c>
      <c r="J35" s="19" t="str">
        <f aca="false">IF($B35="","",IF($C35&lt;&gt;"",$C35,IFERROR(INDEX(Clients!$E$5:$E$204,MATCH($B35,Clients!$A$5:$A$204,0))&amp;"","")))</f>
        <v/>
      </c>
      <c r="K35" s="15" t="str">
        <f aca="false">IF($B35="","",IF($F35&lt;&gt;"",$F35,IFERROR(IF(AND(INDEX(Clients!$F$5:$F$204,MATCH($B35,Clients!$A$5:$A$204,0))&amp;""&lt;&gt;"",OR($C35="",$C35=INDEX(Clients!$E$5:$E$204,MATCH($B35,Clients!$A$5:$A$204,0)))),INDEX(Clients!$F$5:$F$204,MATCH($B35,Clients!$A$5:$A$204,0)),INDEX(Settings!$E$5:$E$19,MATCH($J35,Settings!$D$5:$D$19,0))),0)))</f>
        <v/>
      </c>
      <c r="L35" s="15" t="str">
        <f aca="false">IF($B35="","",$K35*IF($D35="",1,$D35)+$E35)</f>
        <v/>
      </c>
      <c r="M35" s="15" t="str">
        <f aca="false">IF($B35="","",ROUND($L35*Settings!$B$9,2))</f>
        <v/>
      </c>
      <c r="N35" s="15" t="str">
        <f aca="false">IF($B35="","",$L35+$M35)</f>
        <v/>
      </c>
      <c r="O35" s="19" t="str">
        <f aca="false">IF($Q35="","",Settings!$B$13&amp;TEXT(ROWS($A$5:$A35),"0000"))</f>
        <v/>
      </c>
      <c r="P35" s="19" t="str">
        <f aca="false">IF($O35="","",IFERROR(INDEX(Invoices!$I$5:$I$504,MATCH($O35,Invoices!$A$5:$A$504,0)),""))</f>
        <v/>
      </c>
      <c r="Q35" s="2" t="str">
        <f aca="false">IF(AND($A35&lt;&gt;"",$B35&lt;&gt;"",$G35="Completed"),COUNTIFS($A$5:$A35,"&lt;&gt;",$B$5:$B35,"&lt;&gt;",$G$5:$G35,"Completed"),"")</f>
        <v/>
      </c>
    </row>
    <row r="36" customFormat="false" ht="15" hidden="false" customHeight="false" outlineLevel="0" collapsed="false">
      <c r="A36" s="16"/>
      <c r="B36" s="12"/>
      <c r="C36" s="17"/>
      <c r="D36" s="18"/>
      <c r="E36" s="13"/>
      <c r="F36" s="13"/>
      <c r="G36" s="12"/>
      <c r="H36" s="12"/>
      <c r="I36" s="19" t="str">
        <f aca="false">IF($B36="","",IFERROR(INDEX(Clients!$D$5:$D$204,MATCH($B36,Clients!$A$5:$A$204,0))&amp;"",""))</f>
        <v/>
      </c>
      <c r="J36" s="19" t="str">
        <f aca="false">IF($B36="","",IF($C36&lt;&gt;"",$C36,IFERROR(INDEX(Clients!$E$5:$E$204,MATCH($B36,Clients!$A$5:$A$204,0))&amp;"","")))</f>
        <v/>
      </c>
      <c r="K36" s="15" t="str">
        <f aca="false">IF($B36="","",IF($F36&lt;&gt;"",$F36,IFERROR(IF(AND(INDEX(Clients!$F$5:$F$204,MATCH($B36,Clients!$A$5:$A$204,0))&amp;""&lt;&gt;"",OR($C36="",$C36=INDEX(Clients!$E$5:$E$204,MATCH($B36,Clients!$A$5:$A$204,0)))),INDEX(Clients!$F$5:$F$204,MATCH($B36,Clients!$A$5:$A$204,0)),INDEX(Settings!$E$5:$E$19,MATCH($J36,Settings!$D$5:$D$19,0))),0)))</f>
        <v/>
      </c>
      <c r="L36" s="15" t="str">
        <f aca="false">IF($B36="","",$K36*IF($D36="",1,$D36)+$E36)</f>
        <v/>
      </c>
      <c r="M36" s="15" t="str">
        <f aca="false">IF($B36="","",ROUND($L36*Settings!$B$9,2))</f>
        <v/>
      </c>
      <c r="N36" s="15" t="str">
        <f aca="false">IF($B36="","",$L36+$M36)</f>
        <v/>
      </c>
      <c r="O36" s="19" t="str">
        <f aca="false">IF($Q36="","",Settings!$B$13&amp;TEXT(ROWS($A$5:$A36),"0000"))</f>
        <v/>
      </c>
      <c r="P36" s="19" t="str">
        <f aca="false">IF($O36="","",IFERROR(INDEX(Invoices!$I$5:$I$504,MATCH($O36,Invoices!$A$5:$A$504,0)),""))</f>
        <v/>
      </c>
      <c r="Q36" s="2" t="str">
        <f aca="false">IF(AND($A36&lt;&gt;"",$B36&lt;&gt;"",$G36="Completed"),COUNTIFS($A$5:$A36,"&lt;&gt;",$B$5:$B36,"&lt;&gt;",$G$5:$G36,"Completed"),"")</f>
        <v/>
      </c>
    </row>
    <row r="37" customFormat="false" ht="15" hidden="false" customHeight="false" outlineLevel="0" collapsed="false">
      <c r="A37" s="16"/>
      <c r="B37" s="12"/>
      <c r="C37" s="17"/>
      <c r="D37" s="18"/>
      <c r="E37" s="13"/>
      <c r="F37" s="13"/>
      <c r="G37" s="12"/>
      <c r="H37" s="12"/>
      <c r="I37" s="19" t="str">
        <f aca="false">IF($B37="","",IFERROR(INDEX(Clients!$D$5:$D$204,MATCH($B37,Clients!$A$5:$A$204,0))&amp;"",""))</f>
        <v/>
      </c>
      <c r="J37" s="19" t="str">
        <f aca="false">IF($B37="","",IF($C37&lt;&gt;"",$C37,IFERROR(INDEX(Clients!$E$5:$E$204,MATCH($B37,Clients!$A$5:$A$204,0))&amp;"","")))</f>
        <v/>
      </c>
      <c r="K37" s="15" t="str">
        <f aca="false">IF($B37="","",IF($F37&lt;&gt;"",$F37,IFERROR(IF(AND(INDEX(Clients!$F$5:$F$204,MATCH($B37,Clients!$A$5:$A$204,0))&amp;""&lt;&gt;"",OR($C37="",$C37=INDEX(Clients!$E$5:$E$204,MATCH($B37,Clients!$A$5:$A$204,0)))),INDEX(Clients!$F$5:$F$204,MATCH($B37,Clients!$A$5:$A$204,0)),INDEX(Settings!$E$5:$E$19,MATCH($J37,Settings!$D$5:$D$19,0))),0)))</f>
        <v/>
      </c>
      <c r="L37" s="15" t="str">
        <f aca="false">IF($B37="","",$K37*IF($D37="",1,$D37)+$E37)</f>
        <v/>
      </c>
      <c r="M37" s="15" t="str">
        <f aca="false">IF($B37="","",ROUND($L37*Settings!$B$9,2))</f>
        <v/>
      </c>
      <c r="N37" s="15" t="str">
        <f aca="false">IF($B37="","",$L37+$M37)</f>
        <v/>
      </c>
      <c r="O37" s="19" t="str">
        <f aca="false">IF($Q37="","",Settings!$B$13&amp;TEXT(ROWS($A$5:$A37),"0000"))</f>
        <v/>
      </c>
      <c r="P37" s="19" t="str">
        <f aca="false">IF($O37="","",IFERROR(INDEX(Invoices!$I$5:$I$504,MATCH($O37,Invoices!$A$5:$A$504,0)),""))</f>
        <v/>
      </c>
      <c r="Q37" s="2" t="str">
        <f aca="false">IF(AND($A37&lt;&gt;"",$B37&lt;&gt;"",$G37="Completed"),COUNTIFS($A$5:$A37,"&lt;&gt;",$B$5:$B37,"&lt;&gt;",$G$5:$G37,"Completed"),"")</f>
        <v/>
      </c>
    </row>
    <row r="38" customFormat="false" ht="15" hidden="false" customHeight="false" outlineLevel="0" collapsed="false">
      <c r="A38" s="16"/>
      <c r="B38" s="12"/>
      <c r="C38" s="17"/>
      <c r="D38" s="18"/>
      <c r="E38" s="13"/>
      <c r="F38" s="13"/>
      <c r="G38" s="12"/>
      <c r="H38" s="12"/>
      <c r="I38" s="19" t="str">
        <f aca="false">IF($B38="","",IFERROR(INDEX(Clients!$D$5:$D$204,MATCH($B38,Clients!$A$5:$A$204,0))&amp;"",""))</f>
        <v/>
      </c>
      <c r="J38" s="19" t="str">
        <f aca="false">IF($B38="","",IF($C38&lt;&gt;"",$C38,IFERROR(INDEX(Clients!$E$5:$E$204,MATCH($B38,Clients!$A$5:$A$204,0))&amp;"","")))</f>
        <v/>
      </c>
      <c r="K38" s="15" t="str">
        <f aca="false">IF($B38="","",IF($F38&lt;&gt;"",$F38,IFERROR(IF(AND(INDEX(Clients!$F$5:$F$204,MATCH($B38,Clients!$A$5:$A$204,0))&amp;""&lt;&gt;"",OR($C38="",$C38=INDEX(Clients!$E$5:$E$204,MATCH($B38,Clients!$A$5:$A$204,0)))),INDEX(Clients!$F$5:$F$204,MATCH($B38,Clients!$A$5:$A$204,0)),INDEX(Settings!$E$5:$E$19,MATCH($J38,Settings!$D$5:$D$19,0))),0)))</f>
        <v/>
      </c>
      <c r="L38" s="15" t="str">
        <f aca="false">IF($B38="","",$K38*IF($D38="",1,$D38)+$E38)</f>
        <v/>
      </c>
      <c r="M38" s="15" t="str">
        <f aca="false">IF($B38="","",ROUND($L38*Settings!$B$9,2))</f>
        <v/>
      </c>
      <c r="N38" s="15" t="str">
        <f aca="false">IF($B38="","",$L38+$M38)</f>
        <v/>
      </c>
      <c r="O38" s="19" t="str">
        <f aca="false">IF($Q38="","",Settings!$B$13&amp;TEXT(ROWS($A$5:$A38),"0000"))</f>
        <v/>
      </c>
      <c r="P38" s="19" t="str">
        <f aca="false">IF($O38="","",IFERROR(INDEX(Invoices!$I$5:$I$504,MATCH($O38,Invoices!$A$5:$A$504,0)),""))</f>
        <v/>
      </c>
      <c r="Q38" s="2" t="str">
        <f aca="false">IF(AND($A38&lt;&gt;"",$B38&lt;&gt;"",$G38="Completed"),COUNTIFS($A$5:$A38,"&lt;&gt;",$B$5:$B38,"&lt;&gt;",$G$5:$G38,"Completed"),"")</f>
        <v/>
      </c>
    </row>
    <row r="39" customFormat="false" ht="15" hidden="false" customHeight="false" outlineLevel="0" collapsed="false">
      <c r="A39" s="16"/>
      <c r="B39" s="12"/>
      <c r="C39" s="17"/>
      <c r="D39" s="18"/>
      <c r="E39" s="13"/>
      <c r="F39" s="13"/>
      <c r="G39" s="12"/>
      <c r="H39" s="12"/>
      <c r="I39" s="19" t="str">
        <f aca="false">IF($B39="","",IFERROR(INDEX(Clients!$D$5:$D$204,MATCH($B39,Clients!$A$5:$A$204,0))&amp;"",""))</f>
        <v/>
      </c>
      <c r="J39" s="19" t="str">
        <f aca="false">IF($B39="","",IF($C39&lt;&gt;"",$C39,IFERROR(INDEX(Clients!$E$5:$E$204,MATCH($B39,Clients!$A$5:$A$204,0))&amp;"","")))</f>
        <v/>
      </c>
      <c r="K39" s="15" t="str">
        <f aca="false">IF($B39="","",IF($F39&lt;&gt;"",$F39,IFERROR(IF(AND(INDEX(Clients!$F$5:$F$204,MATCH($B39,Clients!$A$5:$A$204,0))&amp;""&lt;&gt;"",OR($C39="",$C39=INDEX(Clients!$E$5:$E$204,MATCH($B39,Clients!$A$5:$A$204,0)))),INDEX(Clients!$F$5:$F$204,MATCH($B39,Clients!$A$5:$A$204,0)),INDEX(Settings!$E$5:$E$19,MATCH($J39,Settings!$D$5:$D$19,0))),0)))</f>
        <v/>
      </c>
      <c r="L39" s="15" t="str">
        <f aca="false">IF($B39="","",$K39*IF($D39="",1,$D39)+$E39)</f>
        <v/>
      </c>
      <c r="M39" s="15" t="str">
        <f aca="false">IF($B39="","",ROUND($L39*Settings!$B$9,2))</f>
        <v/>
      </c>
      <c r="N39" s="15" t="str">
        <f aca="false">IF($B39="","",$L39+$M39)</f>
        <v/>
      </c>
      <c r="O39" s="19" t="str">
        <f aca="false">IF($Q39="","",Settings!$B$13&amp;TEXT(ROWS($A$5:$A39),"0000"))</f>
        <v/>
      </c>
      <c r="P39" s="19" t="str">
        <f aca="false">IF($O39="","",IFERROR(INDEX(Invoices!$I$5:$I$504,MATCH($O39,Invoices!$A$5:$A$504,0)),""))</f>
        <v/>
      </c>
      <c r="Q39" s="2" t="str">
        <f aca="false">IF(AND($A39&lt;&gt;"",$B39&lt;&gt;"",$G39="Completed"),COUNTIFS($A$5:$A39,"&lt;&gt;",$B$5:$B39,"&lt;&gt;",$G$5:$G39,"Completed"),"")</f>
        <v/>
      </c>
    </row>
    <row r="40" customFormat="false" ht="15" hidden="false" customHeight="false" outlineLevel="0" collapsed="false">
      <c r="A40" s="16"/>
      <c r="B40" s="12"/>
      <c r="C40" s="17"/>
      <c r="D40" s="18"/>
      <c r="E40" s="13"/>
      <c r="F40" s="13"/>
      <c r="G40" s="12"/>
      <c r="H40" s="12"/>
      <c r="I40" s="19" t="str">
        <f aca="false">IF($B40="","",IFERROR(INDEX(Clients!$D$5:$D$204,MATCH($B40,Clients!$A$5:$A$204,0))&amp;"",""))</f>
        <v/>
      </c>
      <c r="J40" s="19" t="str">
        <f aca="false">IF($B40="","",IF($C40&lt;&gt;"",$C40,IFERROR(INDEX(Clients!$E$5:$E$204,MATCH($B40,Clients!$A$5:$A$204,0))&amp;"","")))</f>
        <v/>
      </c>
      <c r="K40" s="15" t="str">
        <f aca="false">IF($B40="","",IF($F40&lt;&gt;"",$F40,IFERROR(IF(AND(INDEX(Clients!$F$5:$F$204,MATCH($B40,Clients!$A$5:$A$204,0))&amp;""&lt;&gt;"",OR($C40="",$C40=INDEX(Clients!$E$5:$E$204,MATCH($B40,Clients!$A$5:$A$204,0)))),INDEX(Clients!$F$5:$F$204,MATCH($B40,Clients!$A$5:$A$204,0)),INDEX(Settings!$E$5:$E$19,MATCH($J40,Settings!$D$5:$D$19,0))),0)))</f>
        <v/>
      </c>
      <c r="L40" s="15" t="str">
        <f aca="false">IF($B40="","",$K40*IF($D40="",1,$D40)+$E40)</f>
        <v/>
      </c>
      <c r="M40" s="15" t="str">
        <f aca="false">IF($B40="","",ROUND($L40*Settings!$B$9,2))</f>
        <v/>
      </c>
      <c r="N40" s="15" t="str">
        <f aca="false">IF($B40="","",$L40+$M40)</f>
        <v/>
      </c>
      <c r="O40" s="19" t="str">
        <f aca="false">IF($Q40="","",Settings!$B$13&amp;TEXT(ROWS($A$5:$A40),"0000"))</f>
        <v/>
      </c>
      <c r="P40" s="19" t="str">
        <f aca="false">IF($O40="","",IFERROR(INDEX(Invoices!$I$5:$I$504,MATCH($O40,Invoices!$A$5:$A$504,0)),""))</f>
        <v/>
      </c>
      <c r="Q40" s="2" t="str">
        <f aca="false">IF(AND($A40&lt;&gt;"",$B40&lt;&gt;"",$G40="Completed"),COUNTIFS($A$5:$A40,"&lt;&gt;",$B$5:$B40,"&lt;&gt;",$G$5:$G40,"Completed"),"")</f>
        <v/>
      </c>
    </row>
    <row r="41" customFormat="false" ht="15" hidden="false" customHeight="false" outlineLevel="0" collapsed="false">
      <c r="A41" s="16"/>
      <c r="B41" s="12"/>
      <c r="C41" s="17"/>
      <c r="D41" s="18"/>
      <c r="E41" s="13"/>
      <c r="F41" s="13"/>
      <c r="G41" s="12"/>
      <c r="H41" s="12"/>
      <c r="I41" s="19" t="str">
        <f aca="false">IF($B41="","",IFERROR(INDEX(Clients!$D$5:$D$204,MATCH($B41,Clients!$A$5:$A$204,0))&amp;"",""))</f>
        <v/>
      </c>
      <c r="J41" s="19" t="str">
        <f aca="false">IF($B41="","",IF($C41&lt;&gt;"",$C41,IFERROR(INDEX(Clients!$E$5:$E$204,MATCH($B41,Clients!$A$5:$A$204,0))&amp;"","")))</f>
        <v/>
      </c>
      <c r="K41" s="15" t="str">
        <f aca="false">IF($B41="","",IF($F41&lt;&gt;"",$F41,IFERROR(IF(AND(INDEX(Clients!$F$5:$F$204,MATCH($B41,Clients!$A$5:$A$204,0))&amp;""&lt;&gt;"",OR($C41="",$C41=INDEX(Clients!$E$5:$E$204,MATCH($B41,Clients!$A$5:$A$204,0)))),INDEX(Clients!$F$5:$F$204,MATCH($B41,Clients!$A$5:$A$204,0)),INDEX(Settings!$E$5:$E$19,MATCH($J41,Settings!$D$5:$D$19,0))),0)))</f>
        <v/>
      </c>
      <c r="L41" s="15" t="str">
        <f aca="false">IF($B41="","",$K41*IF($D41="",1,$D41)+$E41)</f>
        <v/>
      </c>
      <c r="M41" s="15" t="str">
        <f aca="false">IF($B41="","",ROUND($L41*Settings!$B$9,2))</f>
        <v/>
      </c>
      <c r="N41" s="15" t="str">
        <f aca="false">IF($B41="","",$L41+$M41)</f>
        <v/>
      </c>
      <c r="O41" s="19" t="str">
        <f aca="false">IF($Q41="","",Settings!$B$13&amp;TEXT(ROWS($A$5:$A41),"0000"))</f>
        <v/>
      </c>
      <c r="P41" s="19" t="str">
        <f aca="false">IF($O41="","",IFERROR(INDEX(Invoices!$I$5:$I$504,MATCH($O41,Invoices!$A$5:$A$504,0)),""))</f>
        <v/>
      </c>
      <c r="Q41" s="2" t="str">
        <f aca="false">IF(AND($A41&lt;&gt;"",$B41&lt;&gt;"",$G41="Completed"),COUNTIFS($A$5:$A41,"&lt;&gt;",$B$5:$B41,"&lt;&gt;",$G$5:$G41,"Completed"),"")</f>
        <v/>
      </c>
    </row>
    <row r="42" customFormat="false" ht="15" hidden="false" customHeight="false" outlineLevel="0" collapsed="false">
      <c r="A42" s="16"/>
      <c r="B42" s="12"/>
      <c r="C42" s="17"/>
      <c r="D42" s="18"/>
      <c r="E42" s="13"/>
      <c r="F42" s="13"/>
      <c r="G42" s="12"/>
      <c r="H42" s="12"/>
      <c r="I42" s="19" t="str">
        <f aca="false">IF($B42="","",IFERROR(INDEX(Clients!$D$5:$D$204,MATCH($B42,Clients!$A$5:$A$204,0))&amp;"",""))</f>
        <v/>
      </c>
      <c r="J42" s="19" t="str">
        <f aca="false">IF($B42="","",IF($C42&lt;&gt;"",$C42,IFERROR(INDEX(Clients!$E$5:$E$204,MATCH($B42,Clients!$A$5:$A$204,0))&amp;"","")))</f>
        <v/>
      </c>
      <c r="K42" s="15" t="str">
        <f aca="false">IF($B42="","",IF($F42&lt;&gt;"",$F42,IFERROR(IF(AND(INDEX(Clients!$F$5:$F$204,MATCH($B42,Clients!$A$5:$A$204,0))&amp;""&lt;&gt;"",OR($C42="",$C42=INDEX(Clients!$E$5:$E$204,MATCH($B42,Clients!$A$5:$A$204,0)))),INDEX(Clients!$F$5:$F$204,MATCH($B42,Clients!$A$5:$A$204,0)),INDEX(Settings!$E$5:$E$19,MATCH($J42,Settings!$D$5:$D$19,0))),0)))</f>
        <v/>
      </c>
      <c r="L42" s="15" t="str">
        <f aca="false">IF($B42="","",$K42*IF($D42="",1,$D42)+$E42)</f>
        <v/>
      </c>
      <c r="M42" s="15" t="str">
        <f aca="false">IF($B42="","",ROUND($L42*Settings!$B$9,2))</f>
        <v/>
      </c>
      <c r="N42" s="15" t="str">
        <f aca="false">IF($B42="","",$L42+$M42)</f>
        <v/>
      </c>
      <c r="O42" s="19" t="str">
        <f aca="false">IF($Q42="","",Settings!$B$13&amp;TEXT(ROWS($A$5:$A42),"0000"))</f>
        <v/>
      </c>
      <c r="P42" s="19" t="str">
        <f aca="false">IF($O42="","",IFERROR(INDEX(Invoices!$I$5:$I$504,MATCH($O42,Invoices!$A$5:$A$504,0)),""))</f>
        <v/>
      </c>
      <c r="Q42" s="2" t="str">
        <f aca="false">IF(AND($A42&lt;&gt;"",$B42&lt;&gt;"",$G42="Completed"),COUNTIFS($A$5:$A42,"&lt;&gt;",$B$5:$B42,"&lt;&gt;",$G$5:$G42,"Completed"),"")</f>
        <v/>
      </c>
    </row>
    <row r="43" customFormat="false" ht="15" hidden="false" customHeight="false" outlineLevel="0" collapsed="false">
      <c r="A43" s="16"/>
      <c r="B43" s="12"/>
      <c r="C43" s="17"/>
      <c r="D43" s="18"/>
      <c r="E43" s="13"/>
      <c r="F43" s="13"/>
      <c r="G43" s="12"/>
      <c r="H43" s="12"/>
      <c r="I43" s="19" t="str">
        <f aca="false">IF($B43="","",IFERROR(INDEX(Clients!$D$5:$D$204,MATCH($B43,Clients!$A$5:$A$204,0))&amp;"",""))</f>
        <v/>
      </c>
      <c r="J43" s="19" t="str">
        <f aca="false">IF($B43="","",IF($C43&lt;&gt;"",$C43,IFERROR(INDEX(Clients!$E$5:$E$204,MATCH($B43,Clients!$A$5:$A$204,0))&amp;"","")))</f>
        <v/>
      </c>
      <c r="K43" s="15" t="str">
        <f aca="false">IF($B43="","",IF($F43&lt;&gt;"",$F43,IFERROR(IF(AND(INDEX(Clients!$F$5:$F$204,MATCH($B43,Clients!$A$5:$A$204,0))&amp;""&lt;&gt;"",OR($C43="",$C43=INDEX(Clients!$E$5:$E$204,MATCH($B43,Clients!$A$5:$A$204,0)))),INDEX(Clients!$F$5:$F$204,MATCH($B43,Clients!$A$5:$A$204,0)),INDEX(Settings!$E$5:$E$19,MATCH($J43,Settings!$D$5:$D$19,0))),0)))</f>
        <v/>
      </c>
      <c r="L43" s="15" t="str">
        <f aca="false">IF($B43="","",$K43*IF($D43="",1,$D43)+$E43)</f>
        <v/>
      </c>
      <c r="M43" s="15" t="str">
        <f aca="false">IF($B43="","",ROUND($L43*Settings!$B$9,2))</f>
        <v/>
      </c>
      <c r="N43" s="15" t="str">
        <f aca="false">IF($B43="","",$L43+$M43)</f>
        <v/>
      </c>
      <c r="O43" s="19" t="str">
        <f aca="false">IF($Q43="","",Settings!$B$13&amp;TEXT(ROWS($A$5:$A43),"0000"))</f>
        <v/>
      </c>
      <c r="P43" s="19" t="str">
        <f aca="false">IF($O43="","",IFERROR(INDEX(Invoices!$I$5:$I$504,MATCH($O43,Invoices!$A$5:$A$504,0)),""))</f>
        <v/>
      </c>
      <c r="Q43" s="2" t="str">
        <f aca="false">IF(AND($A43&lt;&gt;"",$B43&lt;&gt;"",$G43="Completed"),COUNTIFS($A$5:$A43,"&lt;&gt;",$B$5:$B43,"&lt;&gt;",$G$5:$G43,"Completed"),"")</f>
        <v/>
      </c>
    </row>
    <row r="44" customFormat="false" ht="15" hidden="false" customHeight="false" outlineLevel="0" collapsed="false">
      <c r="A44" s="16"/>
      <c r="B44" s="12"/>
      <c r="C44" s="17"/>
      <c r="D44" s="18"/>
      <c r="E44" s="13"/>
      <c r="F44" s="13"/>
      <c r="G44" s="12"/>
      <c r="H44" s="12"/>
      <c r="I44" s="19" t="str">
        <f aca="false">IF($B44="","",IFERROR(INDEX(Clients!$D$5:$D$204,MATCH($B44,Clients!$A$5:$A$204,0))&amp;"",""))</f>
        <v/>
      </c>
      <c r="J44" s="19" t="str">
        <f aca="false">IF($B44="","",IF($C44&lt;&gt;"",$C44,IFERROR(INDEX(Clients!$E$5:$E$204,MATCH($B44,Clients!$A$5:$A$204,0))&amp;"","")))</f>
        <v/>
      </c>
      <c r="K44" s="15" t="str">
        <f aca="false">IF($B44="","",IF($F44&lt;&gt;"",$F44,IFERROR(IF(AND(INDEX(Clients!$F$5:$F$204,MATCH($B44,Clients!$A$5:$A$204,0))&amp;""&lt;&gt;"",OR($C44="",$C44=INDEX(Clients!$E$5:$E$204,MATCH($B44,Clients!$A$5:$A$204,0)))),INDEX(Clients!$F$5:$F$204,MATCH($B44,Clients!$A$5:$A$204,0)),INDEX(Settings!$E$5:$E$19,MATCH($J44,Settings!$D$5:$D$19,0))),0)))</f>
        <v/>
      </c>
      <c r="L44" s="15" t="str">
        <f aca="false">IF($B44="","",$K44*IF($D44="",1,$D44)+$E44)</f>
        <v/>
      </c>
      <c r="M44" s="15" t="str">
        <f aca="false">IF($B44="","",ROUND($L44*Settings!$B$9,2))</f>
        <v/>
      </c>
      <c r="N44" s="15" t="str">
        <f aca="false">IF($B44="","",$L44+$M44)</f>
        <v/>
      </c>
      <c r="O44" s="19" t="str">
        <f aca="false">IF($Q44="","",Settings!$B$13&amp;TEXT(ROWS($A$5:$A44),"0000"))</f>
        <v/>
      </c>
      <c r="P44" s="19" t="str">
        <f aca="false">IF($O44="","",IFERROR(INDEX(Invoices!$I$5:$I$504,MATCH($O44,Invoices!$A$5:$A$504,0)),""))</f>
        <v/>
      </c>
      <c r="Q44" s="2" t="str">
        <f aca="false">IF(AND($A44&lt;&gt;"",$B44&lt;&gt;"",$G44="Completed"),COUNTIFS($A$5:$A44,"&lt;&gt;",$B$5:$B44,"&lt;&gt;",$G$5:$G44,"Completed"),"")</f>
        <v/>
      </c>
    </row>
    <row r="45" customFormat="false" ht="15" hidden="false" customHeight="false" outlineLevel="0" collapsed="false">
      <c r="A45" s="16"/>
      <c r="B45" s="12"/>
      <c r="C45" s="17"/>
      <c r="D45" s="18"/>
      <c r="E45" s="13"/>
      <c r="F45" s="13"/>
      <c r="G45" s="12"/>
      <c r="H45" s="12"/>
      <c r="I45" s="19" t="str">
        <f aca="false">IF($B45="","",IFERROR(INDEX(Clients!$D$5:$D$204,MATCH($B45,Clients!$A$5:$A$204,0))&amp;"",""))</f>
        <v/>
      </c>
      <c r="J45" s="19" t="str">
        <f aca="false">IF($B45="","",IF($C45&lt;&gt;"",$C45,IFERROR(INDEX(Clients!$E$5:$E$204,MATCH($B45,Clients!$A$5:$A$204,0))&amp;"","")))</f>
        <v/>
      </c>
      <c r="K45" s="15" t="str">
        <f aca="false">IF($B45="","",IF($F45&lt;&gt;"",$F45,IFERROR(IF(AND(INDEX(Clients!$F$5:$F$204,MATCH($B45,Clients!$A$5:$A$204,0))&amp;""&lt;&gt;"",OR($C45="",$C45=INDEX(Clients!$E$5:$E$204,MATCH($B45,Clients!$A$5:$A$204,0)))),INDEX(Clients!$F$5:$F$204,MATCH($B45,Clients!$A$5:$A$204,0)),INDEX(Settings!$E$5:$E$19,MATCH($J45,Settings!$D$5:$D$19,0))),0)))</f>
        <v/>
      </c>
      <c r="L45" s="15" t="str">
        <f aca="false">IF($B45="","",$K45*IF($D45="",1,$D45)+$E45)</f>
        <v/>
      </c>
      <c r="M45" s="15" t="str">
        <f aca="false">IF($B45="","",ROUND($L45*Settings!$B$9,2))</f>
        <v/>
      </c>
      <c r="N45" s="15" t="str">
        <f aca="false">IF($B45="","",$L45+$M45)</f>
        <v/>
      </c>
      <c r="O45" s="19" t="str">
        <f aca="false">IF($Q45="","",Settings!$B$13&amp;TEXT(ROWS($A$5:$A45),"0000"))</f>
        <v/>
      </c>
      <c r="P45" s="19" t="str">
        <f aca="false">IF($O45="","",IFERROR(INDEX(Invoices!$I$5:$I$504,MATCH($O45,Invoices!$A$5:$A$504,0)),""))</f>
        <v/>
      </c>
      <c r="Q45" s="2" t="str">
        <f aca="false">IF(AND($A45&lt;&gt;"",$B45&lt;&gt;"",$G45="Completed"),COUNTIFS($A$5:$A45,"&lt;&gt;",$B$5:$B45,"&lt;&gt;",$G$5:$G45,"Completed"),"")</f>
        <v/>
      </c>
    </row>
    <row r="46" customFormat="false" ht="15" hidden="false" customHeight="false" outlineLevel="0" collapsed="false">
      <c r="A46" s="16"/>
      <c r="B46" s="12"/>
      <c r="C46" s="17"/>
      <c r="D46" s="18"/>
      <c r="E46" s="13"/>
      <c r="F46" s="13"/>
      <c r="G46" s="12"/>
      <c r="H46" s="12"/>
      <c r="I46" s="19" t="str">
        <f aca="false">IF($B46="","",IFERROR(INDEX(Clients!$D$5:$D$204,MATCH($B46,Clients!$A$5:$A$204,0))&amp;"",""))</f>
        <v/>
      </c>
      <c r="J46" s="19" t="str">
        <f aca="false">IF($B46="","",IF($C46&lt;&gt;"",$C46,IFERROR(INDEX(Clients!$E$5:$E$204,MATCH($B46,Clients!$A$5:$A$204,0))&amp;"","")))</f>
        <v/>
      </c>
      <c r="K46" s="15" t="str">
        <f aca="false">IF($B46="","",IF($F46&lt;&gt;"",$F46,IFERROR(IF(AND(INDEX(Clients!$F$5:$F$204,MATCH($B46,Clients!$A$5:$A$204,0))&amp;""&lt;&gt;"",OR($C46="",$C46=INDEX(Clients!$E$5:$E$204,MATCH($B46,Clients!$A$5:$A$204,0)))),INDEX(Clients!$F$5:$F$204,MATCH($B46,Clients!$A$5:$A$204,0)),INDEX(Settings!$E$5:$E$19,MATCH($J46,Settings!$D$5:$D$19,0))),0)))</f>
        <v/>
      </c>
      <c r="L46" s="15" t="str">
        <f aca="false">IF($B46="","",$K46*IF($D46="",1,$D46)+$E46)</f>
        <v/>
      </c>
      <c r="M46" s="15" t="str">
        <f aca="false">IF($B46="","",ROUND($L46*Settings!$B$9,2))</f>
        <v/>
      </c>
      <c r="N46" s="15" t="str">
        <f aca="false">IF($B46="","",$L46+$M46)</f>
        <v/>
      </c>
      <c r="O46" s="19" t="str">
        <f aca="false">IF($Q46="","",Settings!$B$13&amp;TEXT(ROWS($A$5:$A46),"0000"))</f>
        <v/>
      </c>
      <c r="P46" s="19" t="str">
        <f aca="false">IF($O46="","",IFERROR(INDEX(Invoices!$I$5:$I$504,MATCH($O46,Invoices!$A$5:$A$504,0)),""))</f>
        <v/>
      </c>
      <c r="Q46" s="2" t="str">
        <f aca="false">IF(AND($A46&lt;&gt;"",$B46&lt;&gt;"",$G46="Completed"),COUNTIFS($A$5:$A46,"&lt;&gt;",$B$5:$B46,"&lt;&gt;",$G$5:$G46,"Completed"),"")</f>
        <v/>
      </c>
    </row>
    <row r="47" customFormat="false" ht="15" hidden="false" customHeight="false" outlineLevel="0" collapsed="false">
      <c r="A47" s="16"/>
      <c r="B47" s="12"/>
      <c r="C47" s="17"/>
      <c r="D47" s="18"/>
      <c r="E47" s="13"/>
      <c r="F47" s="13"/>
      <c r="G47" s="12"/>
      <c r="H47" s="12"/>
      <c r="I47" s="19" t="str">
        <f aca="false">IF($B47="","",IFERROR(INDEX(Clients!$D$5:$D$204,MATCH($B47,Clients!$A$5:$A$204,0))&amp;"",""))</f>
        <v/>
      </c>
      <c r="J47" s="19" t="str">
        <f aca="false">IF($B47="","",IF($C47&lt;&gt;"",$C47,IFERROR(INDEX(Clients!$E$5:$E$204,MATCH($B47,Clients!$A$5:$A$204,0))&amp;"","")))</f>
        <v/>
      </c>
      <c r="K47" s="15" t="str">
        <f aca="false">IF($B47="","",IF($F47&lt;&gt;"",$F47,IFERROR(IF(AND(INDEX(Clients!$F$5:$F$204,MATCH($B47,Clients!$A$5:$A$204,0))&amp;""&lt;&gt;"",OR($C47="",$C47=INDEX(Clients!$E$5:$E$204,MATCH($B47,Clients!$A$5:$A$204,0)))),INDEX(Clients!$F$5:$F$204,MATCH($B47,Clients!$A$5:$A$204,0)),INDEX(Settings!$E$5:$E$19,MATCH($J47,Settings!$D$5:$D$19,0))),0)))</f>
        <v/>
      </c>
      <c r="L47" s="15" t="str">
        <f aca="false">IF($B47="","",$K47*IF($D47="",1,$D47)+$E47)</f>
        <v/>
      </c>
      <c r="M47" s="15" t="str">
        <f aca="false">IF($B47="","",ROUND($L47*Settings!$B$9,2))</f>
        <v/>
      </c>
      <c r="N47" s="15" t="str">
        <f aca="false">IF($B47="","",$L47+$M47)</f>
        <v/>
      </c>
      <c r="O47" s="19" t="str">
        <f aca="false">IF($Q47="","",Settings!$B$13&amp;TEXT(ROWS($A$5:$A47),"0000"))</f>
        <v/>
      </c>
      <c r="P47" s="19" t="str">
        <f aca="false">IF($O47="","",IFERROR(INDEX(Invoices!$I$5:$I$504,MATCH($O47,Invoices!$A$5:$A$504,0)),""))</f>
        <v/>
      </c>
      <c r="Q47" s="2" t="str">
        <f aca="false">IF(AND($A47&lt;&gt;"",$B47&lt;&gt;"",$G47="Completed"),COUNTIFS($A$5:$A47,"&lt;&gt;",$B$5:$B47,"&lt;&gt;",$G$5:$G47,"Completed"),"")</f>
        <v/>
      </c>
    </row>
    <row r="48" customFormat="false" ht="15" hidden="false" customHeight="false" outlineLevel="0" collapsed="false">
      <c r="A48" s="16"/>
      <c r="B48" s="12"/>
      <c r="C48" s="17"/>
      <c r="D48" s="18"/>
      <c r="E48" s="13"/>
      <c r="F48" s="13"/>
      <c r="G48" s="12"/>
      <c r="H48" s="12"/>
      <c r="I48" s="19" t="str">
        <f aca="false">IF($B48="","",IFERROR(INDEX(Clients!$D$5:$D$204,MATCH($B48,Clients!$A$5:$A$204,0))&amp;"",""))</f>
        <v/>
      </c>
      <c r="J48" s="19" t="str">
        <f aca="false">IF($B48="","",IF($C48&lt;&gt;"",$C48,IFERROR(INDEX(Clients!$E$5:$E$204,MATCH($B48,Clients!$A$5:$A$204,0))&amp;"","")))</f>
        <v/>
      </c>
      <c r="K48" s="15" t="str">
        <f aca="false">IF($B48="","",IF($F48&lt;&gt;"",$F48,IFERROR(IF(AND(INDEX(Clients!$F$5:$F$204,MATCH($B48,Clients!$A$5:$A$204,0))&amp;""&lt;&gt;"",OR($C48="",$C48=INDEX(Clients!$E$5:$E$204,MATCH($B48,Clients!$A$5:$A$204,0)))),INDEX(Clients!$F$5:$F$204,MATCH($B48,Clients!$A$5:$A$204,0)),INDEX(Settings!$E$5:$E$19,MATCH($J48,Settings!$D$5:$D$19,0))),0)))</f>
        <v/>
      </c>
      <c r="L48" s="15" t="str">
        <f aca="false">IF($B48="","",$K48*IF($D48="",1,$D48)+$E48)</f>
        <v/>
      </c>
      <c r="M48" s="15" t="str">
        <f aca="false">IF($B48="","",ROUND($L48*Settings!$B$9,2))</f>
        <v/>
      </c>
      <c r="N48" s="15" t="str">
        <f aca="false">IF($B48="","",$L48+$M48)</f>
        <v/>
      </c>
      <c r="O48" s="19" t="str">
        <f aca="false">IF($Q48="","",Settings!$B$13&amp;TEXT(ROWS($A$5:$A48),"0000"))</f>
        <v/>
      </c>
      <c r="P48" s="19" t="str">
        <f aca="false">IF($O48="","",IFERROR(INDEX(Invoices!$I$5:$I$504,MATCH($O48,Invoices!$A$5:$A$504,0)),""))</f>
        <v/>
      </c>
      <c r="Q48" s="2" t="str">
        <f aca="false">IF(AND($A48&lt;&gt;"",$B48&lt;&gt;"",$G48="Completed"),COUNTIFS($A$5:$A48,"&lt;&gt;",$B$5:$B48,"&lt;&gt;",$G$5:$G48,"Completed"),"")</f>
        <v/>
      </c>
    </row>
    <row r="49" customFormat="false" ht="15" hidden="false" customHeight="false" outlineLevel="0" collapsed="false">
      <c r="A49" s="16"/>
      <c r="B49" s="12"/>
      <c r="C49" s="17"/>
      <c r="D49" s="18"/>
      <c r="E49" s="13"/>
      <c r="F49" s="13"/>
      <c r="G49" s="12"/>
      <c r="H49" s="12"/>
      <c r="I49" s="19" t="str">
        <f aca="false">IF($B49="","",IFERROR(INDEX(Clients!$D$5:$D$204,MATCH($B49,Clients!$A$5:$A$204,0))&amp;"",""))</f>
        <v/>
      </c>
      <c r="J49" s="19" t="str">
        <f aca="false">IF($B49="","",IF($C49&lt;&gt;"",$C49,IFERROR(INDEX(Clients!$E$5:$E$204,MATCH($B49,Clients!$A$5:$A$204,0))&amp;"","")))</f>
        <v/>
      </c>
      <c r="K49" s="15" t="str">
        <f aca="false">IF($B49="","",IF($F49&lt;&gt;"",$F49,IFERROR(IF(AND(INDEX(Clients!$F$5:$F$204,MATCH($B49,Clients!$A$5:$A$204,0))&amp;""&lt;&gt;"",OR($C49="",$C49=INDEX(Clients!$E$5:$E$204,MATCH($B49,Clients!$A$5:$A$204,0)))),INDEX(Clients!$F$5:$F$204,MATCH($B49,Clients!$A$5:$A$204,0)),INDEX(Settings!$E$5:$E$19,MATCH($J49,Settings!$D$5:$D$19,0))),0)))</f>
        <v/>
      </c>
      <c r="L49" s="15" t="str">
        <f aca="false">IF($B49="","",$K49*IF($D49="",1,$D49)+$E49)</f>
        <v/>
      </c>
      <c r="M49" s="15" t="str">
        <f aca="false">IF($B49="","",ROUND($L49*Settings!$B$9,2))</f>
        <v/>
      </c>
      <c r="N49" s="15" t="str">
        <f aca="false">IF($B49="","",$L49+$M49)</f>
        <v/>
      </c>
      <c r="O49" s="19" t="str">
        <f aca="false">IF($Q49="","",Settings!$B$13&amp;TEXT(ROWS($A$5:$A49),"0000"))</f>
        <v/>
      </c>
      <c r="P49" s="19" t="str">
        <f aca="false">IF($O49="","",IFERROR(INDEX(Invoices!$I$5:$I$504,MATCH($O49,Invoices!$A$5:$A$504,0)),""))</f>
        <v/>
      </c>
      <c r="Q49" s="2" t="str">
        <f aca="false">IF(AND($A49&lt;&gt;"",$B49&lt;&gt;"",$G49="Completed"),COUNTIFS($A$5:$A49,"&lt;&gt;",$B$5:$B49,"&lt;&gt;",$G$5:$G49,"Completed"),"")</f>
        <v/>
      </c>
    </row>
    <row r="50" customFormat="false" ht="15" hidden="false" customHeight="false" outlineLevel="0" collapsed="false">
      <c r="A50" s="16"/>
      <c r="B50" s="12"/>
      <c r="C50" s="17"/>
      <c r="D50" s="18"/>
      <c r="E50" s="13"/>
      <c r="F50" s="13"/>
      <c r="G50" s="12"/>
      <c r="H50" s="12"/>
      <c r="I50" s="19" t="str">
        <f aca="false">IF($B50="","",IFERROR(INDEX(Clients!$D$5:$D$204,MATCH($B50,Clients!$A$5:$A$204,0))&amp;"",""))</f>
        <v/>
      </c>
      <c r="J50" s="19" t="str">
        <f aca="false">IF($B50="","",IF($C50&lt;&gt;"",$C50,IFERROR(INDEX(Clients!$E$5:$E$204,MATCH($B50,Clients!$A$5:$A$204,0))&amp;"","")))</f>
        <v/>
      </c>
      <c r="K50" s="15" t="str">
        <f aca="false">IF($B50="","",IF($F50&lt;&gt;"",$F50,IFERROR(IF(AND(INDEX(Clients!$F$5:$F$204,MATCH($B50,Clients!$A$5:$A$204,0))&amp;""&lt;&gt;"",OR($C50="",$C50=INDEX(Clients!$E$5:$E$204,MATCH($B50,Clients!$A$5:$A$204,0)))),INDEX(Clients!$F$5:$F$204,MATCH($B50,Clients!$A$5:$A$204,0)),INDEX(Settings!$E$5:$E$19,MATCH($J50,Settings!$D$5:$D$19,0))),0)))</f>
        <v/>
      </c>
      <c r="L50" s="15" t="str">
        <f aca="false">IF($B50="","",$K50*IF($D50="",1,$D50)+$E50)</f>
        <v/>
      </c>
      <c r="M50" s="15" t="str">
        <f aca="false">IF($B50="","",ROUND($L50*Settings!$B$9,2))</f>
        <v/>
      </c>
      <c r="N50" s="15" t="str">
        <f aca="false">IF($B50="","",$L50+$M50)</f>
        <v/>
      </c>
      <c r="O50" s="19" t="str">
        <f aca="false">IF($Q50="","",Settings!$B$13&amp;TEXT(ROWS($A$5:$A50),"0000"))</f>
        <v/>
      </c>
      <c r="P50" s="19" t="str">
        <f aca="false">IF($O50="","",IFERROR(INDEX(Invoices!$I$5:$I$504,MATCH($O50,Invoices!$A$5:$A$504,0)),""))</f>
        <v/>
      </c>
      <c r="Q50" s="2" t="str">
        <f aca="false">IF(AND($A50&lt;&gt;"",$B50&lt;&gt;"",$G50="Completed"),COUNTIFS($A$5:$A50,"&lt;&gt;",$B$5:$B50,"&lt;&gt;",$G$5:$G50,"Completed"),"")</f>
        <v/>
      </c>
    </row>
    <row r="51" customFormat="false" ht="15" hidden="false" customHeight="false" outlineLevel="0" collapsed="false">
      <c r="A51" s="16"/>
      <c r="B51" s="12"/>
      <c r="C51" s="17"/>
      <c r="D51" s="18"/>
      <c r="E51" s="13"/>
      <c r="F51" s="13"/>
      <c r="G51" s="12"/>
      <c r="H51" s="12"/>
      <c r="I51" s="19" t="str">
        <f aca="false">IF($B51="","",IFERROR(INDEX(Clients!$D$5:$D$204,MATCH($B51,Clients!$A$5:$A$204,0))&amp;"",""))</f>
        <v/>
      </c>
      <c r="J51" s="19" t="str">
        <f aca="false">IF($B51="","",IF($C51&lt;&gt;"",$C51,IFERROR(INDEX(Clients!$E$5:$E$204,MATCH($B51,Clients!$A$5:$A$204,0))&amp;"","")))</f>
        <v/>
      </c>
      <c r="K51" s="15" t="str">
        <f aca="false">IF($B51="","",IF($F51&lt;&gt;"",$F51,IFERROR(IF(AND(INDEX(Clients!$F$5:$F$204,MATCH($B51,Clients!$A$5:$A$204,0))&amp;""&lt;&gt;"",OR($C51="",$C51=INDEX(Clients!$E$5:$E$204,MATCH($B51,Clients!$A$5:$A$204,0)))),INDEX(Clients!$F$5:$F$204,MATCH($B51,Clients!$A$5:$A$204,0)),INDEX(Settings!$E$5:$E$19,MATCH($J51,Settings!$D$5:$D$19,0))),0)))</f>
        <v/>
      </c>
      <c r="L51" s="15" t="str">
        <f aca="false">IF($B51="","",$K51*IF($D51="",1,$D51)+$E51)</f>
        <v/>
      </c>
      <c r="M51" s="15" t="str">
        <f aca="false">IF($B51="","",ROUND($L51*Settings!$B$9,2))</f>
        <v/>
      </c>
      <c r="N51" s="15" t="str">
        <f aca="false">IF($B51="","",$L51+$M51)</f>
        <v/>
      </c>
      <c r="O51" s="19" t="str">
        <f aca="false">IF($Q51="","",Settings!$B$13&amp;TEXT(ROWS($A$5:$A51),"0000"))</f>
        <v/>
      </c>
      <c r="P51" s="19" t="str">
        <f aca="false">IF($O51="","",IFERROR(INDEX(Invoices!$I$5:$I$504,MATCH($O51,Invoices!$A$5:$A$504,0)),""))</f>
        <v/>
      </c>
      <c r="Q51" s="2" t="str">
        <f aca="false">IF(AND($A51&lt;&gt;"",$B51&lt;&gt;"",$G51="Completed"),COUNTIFS($A$5:$A51,"&lt;&gt;",$B$5:$B51,"&lt;&gt;",$G$5:$G51,"Completed"),"")</f>
        <v/>
      </c>
    </row>
    <row r="52" customFormat="false" ht="15" hidden="false" customHeight="false" outlineLevel="0" collapsed="false">
      <c r="A52" s="16"/>
      <c r="B52" s="12"/>
      <c r="C52" s="17"/>
      <c r="D52" s="18"/>
      <c r="E52" s="13"/>
      <c r="F52" s="13"/>
      <c r="G52" s="12"/>
      <c r="H52" s="12"/>
      <c r="I52" s="19" t="str">
        <f aca="false">IF($B52="","",IFERROR(INDEX(Clients!$D$5:$D$204,MATCH($B52,Clients!$A$5:$A$204,0))&amp;"",""))</f>
        <v/>
      </c>
      <c r="J52" s="19" t="str">
        <f aca="false">IF($B52="","",IF($C52&lt;&gt;"",$C52,IFERROR(INDEX(Clients!$E$5:$E$204,MATCH($B52,Clients!$A$5:$A$204,0))&amp;"","")))</f>
        <v/>
      </c>
      <c r="K52" s="15" t="str">
        <f aca="false">IF($B52="","",IF($F52&lt;&gt;"",$F52,IFERROR(IF(AND(INDEX(Clients!$F$5:$F$204,MATCH($B52,Clients!$A$5:$A$204,0))&amp;""&lt;&gt;"",OR($C52="",$C52=INDEX(Clients!$E$5:$E$204,MATCH($B52,Clients!$A$5:$A$204,0)))),INDEX(Clients!$F$5:$F$204,MATCH($B52,Clients!$A$5:$A$204,0)),INDEX(Settings!$E$5:$E$19,MATCH($J52,Settings!$D$5:$D$19,0))),0)))</f>
        <v/>
      </c>
      <c r="L52" s="15" t="str">
        <f aca="false">IF($B52="","",$K52*IF($D52="",1,$D52)+$E52)</f>
        <v/>
      </c>
      <c r="M52" s="15" t="str">
        <f aca="false">IF($B52="","",ROUND($L52*Settings!$B$9,2))</f>
        <v/>
      </c>
      <c r="N52" s="15" t="str">
        <f aca="false">IF($B52="","",$L52+$M52)</f>
        <v/>
      </c>
      <c r="O52" s="19" t="str">
        <f aca="false">IF($Q52="","",Settings!$B$13&amp;TEXT(ROWS($A$5:$A52),"0000"))</f>
        <v/>
      </c>
      <c r="P52" s="19" t="str">
        <f aca="false">IF($O52="","",IFERROR(INDEX(Invoices!$I$5:$I$504,MATCH($O52,Invoices!$A$5:$A$504,0)),""))</f>
        <v/>
      </c>
      <c r="Q52" s="2" t="str">
        <f aca="false">IF(AND($A52&lt;&gt;"",$B52&lt;&gt;"",$G52="Completed"),COUNTIFS($A$5:$A52,"&lt;&gt;",$B$5:$B52,"&lt;&gt;",$G$5:$G52,"Completed"),"")</f>
        <v/>
      </c>
    </row>
    <row r="53" customFormat="false" ht="15" hidden="false" customHeight="false" outlineLevel="0" collapsed="false">
      <c r="A53" s="16"/>
      <c r="B53" s="12"/>
      <c r="C53" s="17"/>
      <c r="D53" s="18"/>
      <c r="E53" s="13"/>
      <c r="F53" s="13"/>
      <c r="G53" s="12"/>
      <c r="H53" s="12"/>
      <c r="I53" s="19" t="str">
        <f aca="false">IF($B53="","",IFERROR(INDEX(Clients!$D$5:$D$204,MATCH($B53,Clients!$A$5:$A$204,0))&amp;"",""))</f>
        <v/>
      </c>
      <c r="J53" s="19" t="str">
        <f aca="false">IF($B53="","",IF($C53&lt;&gt;"",$C53,IFERROR(INDEX(Clients!$E$5:$E$204,MATCH($B53,Clients!$A$5:$A$204,0))&amp;"","")))</f>
        <v/>
      </c>
      <c r="K53" s="15" t="str">
        <f aca="false">IF($B53="","",IF($F53&lt;&gt;"",$F53,IFERROR(IF(AND(INDEX(Clients!$F$5:$F$204,MATCH($B53,Clients!$A$5:$A$204,0))&amp;""&lt;&gt;"",OR($C53="",$C53=INDEX(Clients!$E$5:$E$204,MATCH($B53,Clients!$A$5:$A$204,0)))),INDEX(Clients!$F$5:$F$204,MATCH($B53,Clients!$A$5:$A$204,0)),INDEX(Settings!$E$5:$E$19,MATCH($J53,Settings!$D$5:$D$19,0))),0)))</f>
        <v/>
      </c>
      <c r="L53" s="15" t="str">
        <f aca="false">IF($B53="","",$K53*IF($D53="",1,$D53)+$E53)</f>
        <v/>
      </c>
      <c r="M53" s="15" t="str">
        <f aca="false">IF($B53="","",ROUND($L53*Settings!$B$9,2))</f>
        <v/>
      </c>
      <c r="N53" s="15" t="str">
        <f aca="false">IF($B53="","",$L53+$M53)</f>
        <v/>
      </c>
      <c r="O53" s="19" t="str">
        <f aca="false">IF($Q53="","",Settings!$B$13&amp;TEXT(ROWS($A$5:$A53),"0000"))</f>
        <v/>
      </c>
      <c r="P53" s="19" t="str">
        <f aca="false">IF($O53="","",IFERROR(INDEX(Invoices!$I$5:$I$504,MATCH($O53,Invoices!$A$5:$A$504,0)),""))</f>
        <v/>
      </c>
      <c r="Q53" s="2" t="str">
        <f aca="false">IF(AND($A53&lt;&gt;"",$B53&lt;&gt;"",$G53="Completed"),COUNTIFS($A$5:$A53,"&lt;&gt;",$B$5:$B53,"&lt;&gt;",$G$5:$G53,"Completed"),"")</f>
        <v/>
      </c>
    </row>
    <row r="54" customFormat="false" ht="15" hidden="false" customHeight="false" outlineLevel="0" collapsed="false">
      <c r="A54" s="16"/>
      <c r="B54" s="12"/>
      <c r="C54" s="17"/>
      <c r="D54" s="18"/>
      <c r="E54" s="13"/>
      <c r="F54" s="13"/>
      <c r="G54" s="12"/>
      <c r="H54" s="12"/>
      <c r="I54" s="19" t="str">
        <f aca="false">IF($B54="","",IFERROR(INDEX(Clients!$D$5:$D$204,MATCH($B54,Clients!$A$5:$A$204,0))&amp;"",""))</f>
        <v/>
      </c>
      <c r="J54" s="19" t="str">
        <f aca="false">IF($B54="","",IF($C54&lt;&gt;"",$C54,IFERROR(INDEX(Clients!$E$5:$E$204,MATCH($B54,Clients!$A$5:$A$204,0))&amp;"","")))</f>
        <v/>
      </c>
      <c r="K54" s="15" t="str">
        <f aca="false">IF($B54="","",IF($F54&lt;&gt;"",$F54,IFERROR(IF(AND(INDEX(Clients!$F$5:$F$204,MATCH($B54,Clients!$A$5:$A$204,0))&amp;""&lt;&gt;"",OR($C54="",$C54=INDEX(Clients!$E$5:$E$204,MATCH($B54,Clients!$A$5:$A$204,0)))),INDEX(Clients!$F$5:$F$204,MATCH($B54,Clients!$A$5:$A$204,0)),INDEX(Settings!$E$5:$E$19,MATCH($J54,Settings!$D$5:$D$19,0))),0)))</f>
        <v/>
      </c>
      <c r="L54" s="15" t="str">
        <f aca="false">IF($B54="","",$K54*IF($D54="",1,$D54)+$E54)</f>
        <v/>
      </c>
      <c r="M54" s="15" t="str">
        <f aca="false">IF($B54="","",ROUND($L54*Settings!$B$9,2))</f>
        <v/>
      </c>
      <c r="N54" s="15" t="str">
        <f aca="false">IF($B54="","",$L54+$M54)</f>
        <v/>
      </c>
      <c r="O54" s="19" t="str">
        <f aca="false">IF($Q54="","",Settings!$B$13&amp;TEXT(ROWS($A$5:$A54),"0000"))</f>
        <v/>
      </c>
      <c r="P54" s="19" t="str">
        <f aca="false">IF($O54="","",IFERROR(INDEX(Invoices!$I$5:$I$504,MATCH($O54,Invoices!$A$5:$A$504,0)),""))</f>
        <v/>
      </c>
      <c r="Q54" s="2" t="str">
        <f aca="false">IF(AND($A54&lt;&gt;"",$B54&lt;&gt;"",$G54="Completed"),COUNTIFS($A$5:$A54,"&lt;&gt;",$B$5:$B54,"&lt;&gt;",$G$5:$G54,"Completed"),"")</f>
        <v/>
      </c>
    </row>
    <row r="55" customFormat="false" ht="15" hidden="false" customHeight="false" outlineLevel="0" collapsed="false">
      <c r="A55" s="16"/>
      <c r="B55" s="12"/>
      <c r="C55" s="17"/>
      <c r="D55" s="18"/>
      <c r="E55" s="13"/>
      <c r="F55" s="13"/>
      <c r="G55" s="12"/>
      <c r="H55" s="12"/>
      <c r="I55" s="19" t="str">
        <f aca="false">IF($B55="","",IFERROR(INDEX(Clients!$D$5:$D$204,MATCH($B55,Clients!$A$5:$A$204,0))&amp;"",""))</f>
        <v/>
      </c>
      <c r="J55" s="19" t="str">
        <f aca="false">IF($B55="","",IF($C55&lt;&gt;"",$C55,IFERROR(INDEX(Clients!$E$5:$E$204,MATCH($B55,Clients!$A$5:$A$204,0))&amp;"","")))</f>
        <v/>
      </c>
      <c r="K55" s="15" t="str">
        <f aca="false">IF($B55="","",IF($F55&lt;&gt;"",$F55,IFERROR(IF(AND(INDEX(Clients!$F$5:$F$204,MATCH($B55,Clients!$A$5:$A$204,0))&amp;""&lt;&gt;"",OR($C55="",$C55=INDEX(Clients!$E$5:$E$204,MATCH($B55,Clients!$A$5:$A$204,0)))),INDEX(Clients!$F$5:$F$204,MATCH($B55,Clients!$A$5:$A$204,0)),INDEX(Settings!$E$5:$E$19,MATCH($J55,Settings!$D$5:$D$19,0))),0)))</f>
        <v/>
      </c>
      <c r="L55" s="15" t="str">
        <f aca="false">IF($B55="","",$K55*IF($D55="",1,$D55)+$E55)</f>
        <v/>
      </c>
      <c r="M55" s="15" t="str">
        <f aca="false">IF($B55="","",ROUND($L55*Settings!$B$9,2))</f>
        <v/>
      </c>
      <c r="N55" s="15" t="str">
        <f aca="false">IF($B55="","",$L55+$M55)</f>
        <v/>
      </c>
      <c r="O55" s="19" t="str">
        <f aca="false">IF($Q55="","",Settings!$B$13&amp;TEXT(ROWS($A$5:$A55),"0000"))</f>
        <v/>
      </c>
      <c r="P55" s="19" t="str">
        <f aca="false">IF($O55="","",IFERROR(INDEX(Invoices!$I$5:$I$504,MATCH($O55,Invoices!$A$5:$A$504,0)),""))</f>
        <v/>
      </c>
      <c r="Q55" s="2" t="str">
        <f aca="false">IF(AND($A55&lt;&gt;"",$B55&lt;&gt;"",$G55="Completed"),COUNTIFS($A$5:$A55,"&lt;&gt;",$B$5:$B55,"&lt;&gt;",$G$5:$G55,"Completed"),"")</f>
        <v/>
      </c>
    </row>
    <row r="56" customFormat="false" ht="15" hidden="false" customHeight="false" outlineLevel="0" collapsed="false">
      <c r="A56" s="16"/>
      <c r="B56" s="12"/>
      <c r="C56" s="17"/>
      <c r="D56" s="18"/>
      <c r="E56" s="13"/>
      <c r="F56" s="13"/>
      <c r="G56" s="12"/>
      <c r="H56" s="12"/>
      <c r="I56" s="19" t="str">
        <f aca="false">IF($B56="","",IFERROR(INDEX(Clients!$D$5:$D$204,MATCH($B56,Clients!$A$5:$A$204,0))&amp;"",""))</f>
        <v/>
      </c>
      <c r="J56" s="19" t="str">
        <f aca="false">IF($B56="","",IF($C56&lt;&gt;"",$C56,IFERROR(INDEX(Clients!$E$5:$E$204,MATCH($B56,Clients!$A$5:$A$204,0))&amp;"","")))</f>
        <v/>
      </c>
      <c r="K56" s="15" t="str">
        <f aca="false">IF($B56="","",IF($F56&lt;&gt;"",$F56,IFERROR(IF(AND(INDEX(Clients!$F$5:$F$204,MATCH($B56,Clients!$A$5:$A$204,0))&amp;""&lt;&gt;"",OR($C56="",$C56=INDEX(Clients!$E$5:$E$204,MATCH($B56,Clients!$A$5:$A$204,0)))),INDEX(Clients!$F$5:$F$204,MATCH($B56,Clients!$A$5:$A$204,0)),INDEX(Settings!$E$5:$E$19,MATCH($J56,Settings!$D$5:$D$19,0))),0)))</f>
        <v/>
      </c>
      <c r="L56" s="15" t="str">
        <f aca="false">IF($B56="","",$K56*IF($D56="",1,$D56)+$E56)</f>
        <v/>
      </c>
      <c r="M56" s="15" t="str">
        <f aca="false">IF($B56="","",ROUND($L56*Settings!$B$9,2))</f>
        <v/>
      </c>
      <c r="N56" s="15" t="str">
        <f aca="false">IF($B56="","",$L56+$M56)</f>
        <v/>
      </c>
      <c r="O56" s="19" t="str">
        <f aca="false">IF($Q56="","",Settings!$B$13&amp;TEXT(ROWS($A$5:$A56),"0000"))</f>
        <v/>
      </c>
      <c r="P56" s="19" t="str">
        <f aca="false">IF($O56="","",IFERROR(INDEX(Invoices!$I$5:$I$504,MATCH($O56,Invoices!$A$5:$A$504,0)),""))</f>
        <v/>
      </c>
      <c r="Q56" s="2" t="str">
        <f aca="false">IF(AND($A56&lt;&gt;"",$B56&lt;&gt;"",$G56="Completed"),COUNTIFS($A$5:$A56,"&lt;&gt;",$B$5:$B56,"&lt;&gt;",$G$5:$G56,"Completed"),"")</f>
        <v/>
      </c>
    </row>
    <row r="57" customFormat="false" ht="15" hidden="false" customHeight="false" outlineLevel="0" collapsed="false">
      <c r="A57" s="16"/>
      <c r="B57" s="12"/>
      <c r="C57" s="17"/>
      <c r="D57" s="18"/>
      <c r="E57" s="13"/>
      <c r="F57" s="13"/>
      <c r="G57" s="12"/>
      <c r="H57" s="12"/>
      <c r="I57" s="19" t="str">
        <f aca="false">IF($B57="","",IFERROR(INDEX(Clients!$D$5:$D$204,MATCH($B57,Clients!$A$5:$A$204,0))&amp;"",""))</f>
        <v/>
      </c>
      <c r="J57" s="19" t="str">
        <f aca="false">IF($B57="","",IF($C57&lt;&gt;"",$C57,IFERROR(INDEX(Clients!$E$5:$E$204,MATCH($B57,Clients!$A$5:$A$204,0))&amp;"","")))</f>
        <v/>
      </c>
      <c r="K57" s="15" t="str">
        <f aca="false">IF($B57="","",IF($F57&lt;&gt;"",$F57,IFERROR(IF(AND(INDEX(Clients!$F$5:$F$204,MATCH($B57,Clients!$A$5:$A$204,0))&amp;""&lt;&gt;"",OR($C57="",$C57=INDEX(Clients!$E$5:$E$204,MATCH($B57,Clients!$A$5:$A$204,0)))),INDEX(Clients!$F$5:$F$204,MATCH($B57,Clients!$A$5:$A$204,0)),INDEX(Settings!$E$5:$E$19,MATCH($J57,Settings!$D$5:$D$19,0))),0)))</f>
        <v/>
      </c>
      <c r="L57" s="15" t="str">
        <f aca="false">IF($B57="","",$K57*IF($D57="",1,$D57)+$E57)</f>
        <v/>
      </c>
      <c r="M57" s="15" t="str">
        <f aca="false">IF($B57="","",ROUND($L57*Settings!$B$9,2))</f>
        <v/>
      </c>
      <c r="N57" s="15" t="str">
        <f aca="false">IF($B57="","",$L57+$M57)</f>
        <v/>
      </c>
      <c r="O57" s="19" t="str">
        <f aca="false">IF($Q57="","",Settings!$B$13&amp;TEXT(ROWS($A$5:$A57),"0000"))</f>
        <v/>
      </c>
      <c r="P57" s="19" t="str">
        <f aca="false">IF($O57="","",IFERROR(INDEX(Invoices!$I$5:$I$504,MATCH($O57,Invoices!$A$5:$A$504,0)),""))</f>
        <v/>
      </c>
      <c r="Q57" s="2" t="str">
        <f aca="false">IF(AND($A57&lt;&gt;"",$B57&lt;&gt;"",$G57="Completed"),COUNTIFS($A$5:$A57,"&lt;&gt;",$B$5:$B57,"&lt;&gt;",$G$5:$G57,"Completed"),"")</f>
        <v/>
      </c>
    </row>
    <row r="58" customFormat="false" ht="15" hidden="false" customHeight="false" outlineLevel="0" collapsed="false">
      <c r="A58" s="16"/>
      <c r="B58" s="12"/>
      <c r="C58" s="17"/>
      <c r="D58" s="18"/>
      <c r="E58" s="13"/>
      <c r="F58" s="13"/>
      <c r="G58" s="12"/>
      <c r="H58" s="12"/>
      <c r="I58" s="19" t="str">
        <f aca="false">IF($B58="","",IFERROR(INDEX(Clients!$D$5:$D$204,MATCH($B58,Clients!$A$5:$A$204,0))&amp;"",""))</f>
        <v/>
      </c>
      <c r="J58" s="19" t="str">
        <f aca="false">IF($B58="","",IF($C58&lt;&gt;"",$C58,IFERROR(INDEX(Clients!$E$5:$E$204,MATCH($B58,Clients!$A$5:$A$204,0))&amp;"","")))</f>
        <v/>
      </c>
      <c r="K58" s="15" t="str">
        <f aca="false">IF($B58="","",IF($F58&lt;&gt;"",$F58,IFERROR(IF(AND(INDEX(Clients!$F$5:$F$204,MATCH($B58,Clients!$A$5:$A$204,0))&amp;""&lt;&gt;"",OR($C58="",$C58=INDEX(Clients!$E$5:$E$204,MATCH($B58,Clients!$A$5:$A$204,0)))),INDEX(Clients!$F$5:$F$204,MATCH($B58,Clients!$A$5:$A$204,0)),INDEX(Settings!$E$5:$E$19,MATCH($J58,Settings!$D$5:$D$19,0))),0)))</f>
        <v/>
      </c>
      <c r="L58" s="15" t="str">
        <f aca="false">IF($B58="","",$K58*IF($D58="",1,$D58)+$E58)</f>
        <v/>
      </c>
      <c r="M58" s="15" t="str">
        <f aca="false">IF($B58="","",ROUND($L58*Settings!$B$9,2))</f>
        <v/>
      </c>
      <c r="N58" s="15" t="str">
        <f aca="false">IF($B58="","",$L58+$M58)</f>
        <v/>
      </c>
      <c r="O58" s="19" t="str">
        <f aca="false">IF($Q58="","",Settings!$B$13&amp;TEXT(ROWS($A$5:$A58),"0000"))</f>
        <v/>
      </c>
      <c r="P58" s="19" t="str">
        <f aca="false">IF($O58="","",IFERROR(INDEX(Invoices!$I$5:$I$504,MATCH($O58,Invoices!$A$5:$A$504,0)),""))</f>
        <v/>
      </c>
      <c r="Q58" s="2" t="str">
        <f aca="false">IF(AND($A58&lt;&gt;"",$B58&lt;&gt;"",$G58="Completed"),COUNTIFS($A$5:$A58,"&lt;&gt;",$B$5:$B58,"&lt;&gt;",$G$5:$G58,"Completed"),"")</f>
        <v/>
      </c>
    </row>
    <row r="59" customFormat="false" ht="15" hidden="false" customHeight="false" outlineLevel="0" collapsed="false">
      <c r="A59" s="16"/>
      <c r="B59" s="12"/>
      <c r="C59" s="17"/>
      <c r="D59" s="18"/>
      <c r="E59" s="13"/>
      <c r="F59" s="13"/>
      <c r="G59" s="12"/>
      <c r="H59" s="12"/>
      <c r="I59" s="19" t="str">
        <f aca="false">IF($B59="","",IFERROR(INDEX(Clients!$D$5:$D$204,MATCH($B59,Clients!$A$5:$A$204,0))&amp;"",""))</f>
        <v/>
      </c>
      <c r="J59" s="19" t="str">
        <f aca="false">IF($B59="","",IF($C59&lt;&gt;"",$C59,IFERROR(INDEX(Clients!$E$5:$E$204,MATCH($B59,Clients!$A$5:$A$204,0))&amp;"","")))</f>
        <v/>
      </c>
      <c r="K59" s="15" t="str">
        <f aca="false">IF($B59="","",IF($F59&lt;&gt;"",$F59,IFERROR(IF(AND(INDEX(Clients!$F$5:$F$204,MATCH($B59,Clients!$A$5:$A$204,0))&amp;""&lt;&gt;"",OR($C59="",$C59=INDEX(Clients!$E$5:$E$204,MATCH($B59,Clients!$A$5:$A$204,0)))),INDEX(Clients!$F$5:$F$204,MATCH($B59,Clients!$A$5:$A$204,0)),INDEX(Settings!$E$5:$E$19,MATCH($J59,Settings!$D$5:$D$19,0))),0)))</f>
        <v/>
      </c>
      <c r="L59" s="15" t="str">
        <f aca="false">IF($B59="","",$K59*IF($D59="",1,$D59)+$E59)</f>
        <v/>
      </c>
      <c r="M59" s="15" t="str">
        <f aca="false">IF($B59="","",ROUND($L59*Settings!$B$9,2))</f>
        <v/>
      </c>
      <c r="N59" s="15" t="str">
        <f aca="false">IF($B59="","",$L59+$M59)</f>
        <v/>
      </c>
      <c r="O59" s="19" t="str">
        <f aca="false">IF($Q59="","",Settings!$B$13&amp;TEXT(ROWS($A$5:$A59),"0000"))</f>
        <v/>
      </c>
      <c r="P59" s="19" t="str">
        <f aca="false">IF($O59="","",IFERROR(INDEX(Invoices!$I$5:$I$504,MATCH($O59,Invoices!$A$5:$A$504,0)),""))</f>
        <v/>
      </c>
      <c r="Q59" s="2" t="str">
        <f aca="false">IF(AND($A59&lt;&gt;"",$B59&lt;&gt;"",$G59="Completed"),COUNTIFS($A$5:$A59,"&lt;&gt;",$B$5:$B59,"&lt;&gt;",$G$5:$G59,"Completed"),"")</f>
        <v/>
      </c>
    </row>
    <row r="60" customFormat="false" ht="15" hidden="false" customHeight="false" outlineLevel="0" collapsed="false">
      <c r="A60" s="16"/>
      <c r="B60" s="12"/>
      <c r="C60" s="17"/>
      <c r="D60" s="18"/>
      <c r="E60" s="13"/>
      <c r="F60" s="13"/>
      <c r="G60" s="12"/>
      <c r="H60" s="12"/>
      <c r="I60" s="19" t="str">
        <f aca="false">IF($B60="","",IFERROR(INDEX(Clients!$D$5:$D$204,MATCH($B60,Clients!$A$5:$A$204,0))&amp;"",""))</f>
        <v/>
      </c>
      <c r="J60" s="19" t="str">
        <f aca="false">IF($B60="","",IF($C60&lt;&gt;"",$C60,IFERROR(INDEX(Clients!$E$5:$E$204,MATCH($B60,Clients!$A$5:$A$204,0))&amp;"","")))</f>
        <v/>
      </c>
      <c r="K60" s="15" t="str">
        <f aca="false">IF($B60="","",IF($F60&lt;&gt;"",$F60,IFERROR(IF(AND(INDEX(Clients!$F$5:$F$204,MATCH($B60,Clients!$A$5:$A$204,0))&amp;""&lt;&gt;"",OR($C60="",$C60=INDEX(Clients!$E$5:$E$204,MATCH($B60,Clients!$A$5:$A$204,0)))),INDEX(Clients!$F$5:$F$204,MATCH($B60,Clients!$A$5:$A$204,0)),INDEX(Settings!$E$5:$E$19,MATCH($J60,Settings!$D$5:$D$19,0))),0)))</f>
        <v/>
      </c>
      <c r="L60" s="15" t="str">
        <f aca="false">IF($B60="","",$K60*IF($D60="",1,$D60)+$E60)</f>
        <v/>
      </c>
      <c r="M60" s="15" t="str">
        <f aca="false">IF($B60="","",ROUND($L60*Settings!$B$9,2))</f>
        <v/>
      </c>
      <c r="N60" s="15" t="str">
        <f aca="false">IF($B60="","",$L60+$M60)</f>
        <v/>
      </c>
      <c r="O60" s="19" t="str">
        <f aca="false">IF($Q60="","",Settings!$B$13&amp;TEXT(ROWS($A$5:$A60),"0000"))</f>
        <v/>
      </c>
      <c r="P60" s="19" t="str">
        <f aca="false">IF($O60="","",IFERROR(INDEX(Invoices!$I$5:$I$504,MATCH($O60,Invoices!$A$5:$A$504,0)),""))</f>
        <v/>
      </c>
      <c r="Q60" s="2" t="str">
        <f aca="false">IF(AND($A60&lt;&gt;"",$B60&lt;&gt;"",$G60="Completed"),COUNTIFS($A$5:$A60,"&lt;&gt;",$B$5:$B60,"&lt;&gt;",$G$5:$G60,"Completed"),"")</f>
        <v/>
      </c>
    </row>
    <row r="61" customFormat="false" ht="15" hidden="false" customHeight="false" outlineLevel="0" collapsed="false">
      <c r="A61" s="16"/>
      <c r="B61" s="12"/>
      <c r="C61" s="17"/>
      <c r="D61" s="18"/>
      <c r="E61" s="13"/>
      <c r="F61" s="13"/>
      <c r="G61" s="12"/>
      <c r="H61" s="12"/>
      <c r="I61" s="19" t="str">
        <f aca="false">IF($B61="","",IFERROR(INDEX(Clients!$D$5:$D$204,MATCH($B61,Clients!$A$5:$A$204,0))&amp;"",""))</f>
        <v/>
      </c>
      <c r="J61" s="19" t="str">
        <f aca="false">IF($B61="","",IF($C61&lt;&gt;"",$C61,IFERROR(INDEX(Clients!$E$5:$E$204,MATCH($B61,Clients!$A$5:$A$204,0))&amp;"","")))</f>
        <v/>
      </c>
      <c r="K61" s="15" t="str">
        <f aca="false">IF($B61="","",IF($F61&lt;&gt;"",$F61,IFERROR(IF(AND(INDEX(Clients!$F$5:$F$204,MATCH($B61,Clients!$A$5:$A$204,0))&amp;""&lt;&gt;"",OR($C61="",$C61=INDEX(Clients!$E$5:$E$204,MATCH($B61,Clients!$A$5:$A$204,0)))),INDEX(Clients!$F$5:$F$204,MATCH($B61,Clients!$A$5:$A$204,0)),INDEX(Settings!$E$5:$E$19,MATCH($J61,Settings!$D$5:$D$19,0))),0)))</f>
        <v/>
      </c>
      <c r="L61" s="15" t="str">
        <f aca="false">IF($B61="","",$K61*IF($D61="",1,$D61)+$E61)</f>
        <v/>
      </c>
      <c r="M61" s="15" t="str">
        <f aca="false">IF($B61="","",ROUND($L61*Settings!$B$9,2))</f>
        <v/>
      </c>
      <c r="N61" s="15" t="str">
        <f aca="false">IF($B61="","",$L61+$M61)</f>
        <v/>
      </c>
      <c r="O61" s="19" t="str">
        <f aca="false">IF($Q61="","",Settings!$B$13&amp;TEXT(ROWS($A$5:$A61),"0000"))</f>
        <v/>
      </c>
      <c r="P61" s="19" t="str">
        <f aca="false">IF($O61="","",IFERROR(INDEX(Invoices!$I$5:$I$504,MATCH($O61,Invoices!$A$5:$A$504,0)),""))</f>
        <v/>
      </c>
      <c r="Q61" s="2" t="str">
        <f aca="false">IF(AND($A61&lt;&gt;"",$B61&lt;&gt;"",$G61="Completed"),COUNTIFS($A$5:$A61,"&lt;&gt;",$B$5:$B61,"&lt;&gt;",$G$5:$G61,"Completed"),"")</f>
        <v/>
      </c>
    </row>
    <row r="62" customFormat="false" ht="15" hidden="false" customHeight="false" outlineLevel="0" collapsed="false">
      <c r="A62" s="16"/>
      <c r="B62" s="12"/>
      <c r="C62" s="17"/>
      <c r="D62" s="18"/>
      <c r="E62" s="13"/>
      <c r="F62" s="13"/>
      <c r="G62" s="12"/>
      <c r="H62" s="12"/>
      <c r="I62" s="19" t="str">
        <f aca="false">IF($B62="","",IFERROR(INDEX(Clients!$D$5:$D$204,MATCH($B62,Clients!$A$5:$A$204,0))&amp;"",""))</f>
        <v/>
      </c>
      <c r="J62" s="19" t="str">
        <f aca="false">IF($B62="","",IF($C62&lt;&gt;"",$C62,IFERROR(INDEX(Clients!$E$5:$E$204,MATCH($B62,Clients!$A$5:$A$204,0))&amp;"","")))</f>
        <v/>
      </c>
      <c r="K62" s="15" t="str">
        <f aca="false">IF($B62="","",IF($F62&lt;&gt;"",$F62,IFERROR(IF(AND(INDEX(Clients!$F$5:$F$204,MATCH($B62,Clients!$A$5:$A$204,0))&amp;""&lt;&gt;"",OR($C62="",$C62=INDEX(Clients!$E$5:$E$204,MATCH($B62,Clients!$A$5:$A$204,0)))),INDEX(Clients!$F$5:$F$204,MATCH($B62,Clients!$A$5:$A$204,0)),INDEX(Settings!$E$5:$E$19,MATCH($J62,Settings!$D$5:$D$19,0))),0)))</f>
        <v/>
      </c>
      <c r="L62" s="15" t="str">
        <f aca="false">IF($B62="","",$K62*IF($D62="",1,$D62)+$E62)</f>
        <v/>
      </c>
      <c r="M62" s="15" t="str">
        <f aca="false">IF($B62="","",ROUND($L62*Settings!$B$9,2))</f>
        <v/>
      </c>
      <c r="N62" s="15" t="str">
        <f aca="false">IF($B62="","",$L62+$M62)</f>
        <v/>
      </c>
      <c r="O62" s="19" t="str">
        <f aca="false">IF($Q62="","",Settings!$B$13&amp;TEXT(ROWS($A$5:$A62),"0000"))</f>
        <v/>
      </c>
      <c r="P62" s="19" t="str">
        <f aca="false">IF($O62="","",IFERROR(INDEX(Invoices!$I$5:$I$504,MATCH($O62,Invoices!$A$5:$A$504,0)),""))</f>
        <v/>
      </c>
      <c r="Q62" s="2" t="str">
        <f aca="false">IF(AND($A62&lt;&gt;"",$B62&lt;&gt;"",$G62="Completed"),COUNTIFS($A$5:$A62,"&lt;&gt;",$B$5:$B62,"&lt;&gt;",$G$5:$G62,"Completed"),"")</f>
        <v/>
      </c>
    </row>
    <row r="63" customFormat="false" ht="15" hidden="false" customHeight="false" outlineLevel="0" collapsed="false">
      <c r="A63" s="16"/>
      <c r="B63" s="12"/>
      <c r="C63" s="17"/>
      <c r="D63" s="18"/>
      <c r="E63" s="13"/>
      <c r="F63" s="13"/>
      <c r="G63" s="12"/>
      <c r="H63" s="12"/>
      <c r="I63" s="19" t="str">
        <f aca="false">IF($B63="","",IFERROR(INDEX(Clients!$D$5:$D$204,MATCH($B63,Clients!$A$5:$A$204,0))&amp;"",""))</f>
        <v/>
      </c>
      <c r="J63" s="19" t="str">
        <f aca="false">IF($B63="","",IF($C63&lt;&gt;"",$C63,IFERROR(INDEX(Clients!$E$5:$E$204,MATCH($B63,Clients!$A$5:$A$204,0))&amp;"","")))</f>
        <v/>
      </c>
      <c r="K63" s="15" t="str">
        <f aca="false">IF($B63="","",IF($F63&lt;&gt;"",$F63,IFERROR(IF(AND(INDEX(Clients!$F$5:$F$204,MATCH($B63,Clients!$A$5:$A$204,0))&amp;""&lt;&gt;"",OR($C63="",$C63=INDEX(Clients!$E$5:$E$204,MATCH($B63,Clients!$A$5:$A$204,0)))),INDEX(Clients!$F$5:$F$204,MATCH($B63,Clients!$A$5:$A$204,0)),INDEX(Settings!$E$5:$E$19,MATCH($J63,Settings!$D$5:$D$19,0))),0)))</f>
        <v/>
      </c>
      <c r="L63" s="15" t="str">
        <f aca="false">IF($B63="","",$K63*IF($D63="",1,$D63)+$E63)</f>
        <v/>
      </c>
      <c r="M63" s="15" t="str">
        <f aca="false">IF($B63="","",ROUND($L63*Settings!$B$9,2))</f>
        <v/>
      </c>
      <c r="N63" s="15" t="str">
        <f aca="false">IF($B63="","",$L63+$M63)</f>
        <v/>
      </c>
      <c r="O63" s="19" t="str">
        <f aca="false">IF($Q63="","",Settings!$B$13&amp;TEXT(ROWS($A$5:$A63),"0000"))</f>
        <v/>
      </c>
      <c r="P63" s="19" t="str">
        <f aca="false">IF($O63="","",IFERROR(INDEX(Invoices!$I$5:$I$504,MATCH($O63,Invoices!$A$5:$A$504,0)),""))</f>
        <v/>
      </c>
      <c r="Q63" s="2" t="str">
        <f aca="false">IF(AND($A63&lt;&gt;"",$B63&lt;&gt;"",$G63="Completed"),COUNTIFS($A$5:$A63,"&lt;&gt;",$B$5:$B63,"&lt;&gt;",$G$5:$G63,"Completed"),"")</f>
        <v/>
      </c>
    </row>
    <row r="64" customFormat="false" ht="15" hidden="false" customHeight="false" outlineLevel="0" collapsed="false">
      <c r="A64" s="16"/>
      <c r="B64" s="12"/>
      <c r="C64" s="17"/>
      <c r="D64" s="18"/>
      <c r="E64" s="13"/>
      <c r="F64" s="13"/>
      <c r="G64" s="12"/>
      <c r="H64" s="12"/>
      <c r="I64" s="19" t="str">
        <f aca="false">IF($B64="","",IFERROR(INDEX(Clients!$D$5:$D$204,MATCH($B64,Clients!$A$5:$A$204,0))&amp;"",""))</f>
        <v/>
      </c>
      <c r="J64" s="19" t="str">
        <f aca="false">IF($B64="","",IF($C64&lt;&gt;"",$C64,IFERROR(INDEX(Clients!$E$5:$E$204,MATCH($B64,Clients!$A$5:$A$204,0))&amp;"","")))</f>
        <v/>
      </c>
      <c r="K64" s="15" t="str">
        <f aca="false">IF($B64="","",IF($F64&lt;&gt;"",$F64,IFERROR(IF(AND(INDEX(Clients!$F$5:$F$204,MATCH($B64,Clients!$A$5:$A$204,0))&amp;""&lt;&gt;"",OR($C64="",$C64=INDEX(Clients!$E$5:$E$204,MATCH($B64,Clients!$A$5:$A$204,0)))),INDEX(Clients!$F$5:$F$204,MATCH($B64,Clients!$A$5:$A$204,0)),INDEX(Settings!$E$5:$E$19,MATCH($J64,Settings!$D$5:$D$19,0))),0)))</f>
        <v/>
      </c>
      <c r="L64" s="15" t="str">
        <f aca="false">IF($B64="","",$K64*IF($D64="",1,$D64)+$E64)</f>
        <v/>
      </c>
      <c r="M64" s="15" t="str">
        <f aca="false">IF($B64="","",ROUND($L64*Settings!$B$9,2))</f>
        <v/>
      </c>
      <c r="N64" s="15" t="str">
        <f aca="false">IF($B64="","",$L64+$M64)</f>
        <v/>
      </c>
      <c r="O64" s="19" t="str">
        <f aca="false">IF($Q64="","",Settings!$B$13&amp;TEXT(ROWS($A$5:$A64),"0000"))</f>
        <v/>
      </c>
      <c r="P64" s="19" t="str">
        <f aca="false">IF($O64="","",IFERROR(INDEX(Invoices!$I$5:$I$504,MATCH($O64,Invoices!$A$5:$A$504,0)),""))</f>
        <v/>
      </c>
      <c r="Q64" s="2" t="str">
        <f aca="false">IF(AND($A64&lt;&gt;"",$B64&lt;&gt;"",$G64="Completed"),COUNTIFS($A$5:$A64,"&lt;&gt;",$B$5:$B64,"&lt;&gt;",$G$5:$G64,"Completed"),"")</f>
        <v/>
      </c>
    </row>
    <row r="65" customFormat="false" ht="15" hidden="false" customHeight="false" outlineLevel="0" collapsed="false">
      <c r="A65" s="16"/>
      <c r="B65" s="12"/>
      <c r="C65" s="17"/>
      <c r="D65" s="18"/>
      <c r="E65" s="13"/>
      <c r="F65" s="13"/>
      <c r="G65" s="12"/>
      <c r="H65" s="12"/>
      <c r="I65" s="19" t="str">
        <f aca="false">IF($B65="","",IFERROR(INDEX(Clients!$D$5:$D$204,MATCH($B65,Clients!$A$5:$A$204,0))&amp;"",""))</f>
        <v/>
      </c>
      <c r="J65" s="19" t="str">
        <f aca="false">IF($B65="","",IF($C65&lt;&gt;"",$C65,IFERROR(INDEX(Clients!$E$5:$E$204,MATCH($B65,Clients!$A$5:$A$204,0))&amp;"","")))</f>
        <v/>
      </c>
      <c r="K65" s="15" t="str">
        <f aca="false">IF($B65="","",IF($F65&lt;&gt;"",$F65,IFERROR(IF(AND(INDEX(Clients!$F$5:$F$204,MATCH($B65,Clients!$A$5:$A$204,0))&amp;""&lt;&gt;"",OR($C65="",$C65=INDEX(Clients!$E$5:$E$204,MATCH($B65,Clients!$A$5:$A$204,0)))),INDEX(Clients!$F$5:$F$204,MATCH($B65,Clients!$A$5:$A$204,0)),INDEX(Settings!$E$5:$E$19,MATCH($J65,Settings!$D$5:$D$19,0))),0)))</f>
        <v/>
      </c>
      <c r="L65" s="15" t="str">
        <f aca="false">IF($B65="","",$K65*IF($D65="",1,$D65)+$E65)</f>
        <v/>
      </c>
      <c r="M65" s="15" t="str">
        <f aca="false">IF($B65="","",ROUND($L65*Settings!$B$9,2))</f>
        <v/>
      </c>
      <c r="N65" s="15" t="str">
        <f aca="false">IF($B65="","",$L65+$M65)</f>
        <v/>
      </c>
      <c r="O65" s="19" t="str">
        <f aca="false">IF($Q65="","",Settings!$B$13&amp;TEXT(ROWS($A$5:$A65),"0000"))</f>
        <v/>
      </c>
      <c r="P65" s="19" t="str">
        <f aca="false">IF($O65="","",IFERROR(INDEX(Invoices!$I$5:$I$504,MATCH($O65,Invoices!$A$5:$A$504,0)),""))</f>
        <v/>
      </c>
      <c r="Q65" s="2" t="str">
        <f aca="false">IF(AND($A65&lt;&gt;"",$B65&lt;&gt;"",$G65="Completed"),COUNTIFS($A$5:$A65,"&lt;&gt;",$B$5:$B65,"&lt;&gt;",$G$5:$G65,"Completed"),"")</f>
        <v/>
      </c>
    </row>
    <row r="66" customFormat="false" ht="15" hidden="false" customHeight="false" outlineLevel="0" collapsed="false">
      <c r="A66" s="16"/>
      <c r="B66" s="12"/>
      <c r="C66" s="17"/>
      <c r="D66" s="18"/>
      <c r="E66" s="13"/>
      <c r="F66" s="13"/>
      <c r="G66" s="12"/>
      <c r="H66" s="12"/>
      <c r="I66" s="19" t="str">
        <f aca="false">IF($B66="","",IFERROR(INDEX(Clients!$D$5:$D$204,MATCH($B66,Clients!$A$5:$A$204,0))&amp;"",""))</f>
        <v/>
      </c>
      <c r="J66" s="19" t="str">
        <f aca="false">IF($B66="","",IF($C66&lt;&gt;"",$C66,IFERROR(INDEX(Clients!$E$5:$E$204,MATCH($B66,Clients!$A$5:$A$204,0))&amp;"","")))</f>
        <v/>
      </c>
      <c r="K66" s="15" t="str">
        <f aca="false">IF($B66="","",IF($F66&lt;&gt;"",$F66,IFERROR(IF(AND(INDEX(Clients!$F$5:$F$204,MATCH($B66,Clients!$A$5:$A$204,0))&amp;""&lt;&gt;"",OR($C66="",$C66=INDEX(Clients!$E$5:$E$204,MATCH($B66,Clients!$A$5:$A$204,0)))),INDEX(Clients!$F$5:$F$204,MATCH($B66,Clients!$A$5:$A$204,0)),INDEX(Settings!$E$5:$E$19,MATCH($J66,Settings!$D$5:$D$19,0))),0)))</f>
        <v/>
      </c>
      <c r="L66" s="15" t="str">
        <f aca="false">IF($B66="","",$K66*IF($D66="",1,$D66)+$E66)</f>
        <v/>
      </c>
      <c r="M66" s="15" t="str">
        <f aca="false">IF($B66="","",ROUND($L66*Settings!$B$9,2))</f>
        <v/>
      </c>
      <c r="N66" s="15" t="str">
        <f aca="false">IF($B66="","",$L66+$M66)</f>
        <v/>
      </c>
      <c r="O66" s="19" t="str">
        <f aca="false">IF($Q66="","",Settings!$B$13&amp;TEXT(ROWS($A$5:$A66),"0000"))</f>
        <v/>
      </c>
      <c r="P66" s="19" t="str">
        <f aca="false">IF($O66="","",IFERROR(INDEX(Invoices!$I$5:$I$504,MATCH($O66,Invoices!$A$5:$A$504,0)),""))</f>
        <v/>
      </c>
      <c r="Q66" s="2" t="str">
        <f aca="false">IF(AND($A66&lt;&gt;"",$B66&lt;&gt;"",$G66="Completed"),COUNTIFS($A$5:$A66,"&lt;&gt;",$B$5:$B66,"&lt;&gt;",$G$5:$G66,"Completed"),"")</f>
        <v/>
      </c>
    </row>
    <row r="67" customFormat="false" ht="15" hidden="false" customHeight="false" outlineLevel="0" collapsed="false">
      <c r="A67" s="16"/>
      <c r="B67" s="12"/>
      <c r="C67" s="17"/>
      <c r="D67" s="18"/>
      <c r="E67" s="13"/>
      <c r="F67" s="13"/>
      <c r="G67" s="12"/>
      <c r="H67" s="12"/>
      <c r="I67" s="19" t="str">
        <f aca="false">IF($B67="","",IFERROR(INDEX(Clients!$D$5:$D$204,MATCH($B67,Clients!$A$5:$A$204,0))&amp;"",""))</f>
        <v/>
      </c>
      <c r="J67" s="19" t="str">
        <f aca="false">IF($B67="","",IF($C67&lt;&gt;"",$C67,IFERROR(INDEX(Clients!$E$5:$E$204,MATCH($B67,Clients!$A$5:$A$204,0))&amp;"","")))</f>
        <v/>
      </c>
      <c r="K67" s="15" t="str">
        <f aca="false">IF($B67="","",IF($F67&lt;&gt;"",$F67,IFERROR(IF(AND(INDEX(Clients!$F$5:$F$204,MATCH($B67,Clients!$A$5:$A$204,0))&amp;""&lt;&gt;"",OR($C67="",$C67=INDEX(Clients!$E$5:$E$204,MATCH($B67,Clients!$A$5:$A$204,0)))),INDEX(Clients!$F$5:$F$204,MATCH($B67,Clients!$A$5:$A$204,0)),INDEX(Settings!$E$5:$E$19,MATCH($J67,Settings!$D$5:$D$19,0))),0)))</f>
        <v/>
      </c>
      <c r="L67" s="15" t="str">
        <f aca="false">IF($B67="","",$K67*IF($D67="",1,$D67)+$E67)</f>
        <v/>
      </c>
      <c r="M67" s="15" t="str">
        <f aca="false">IF($B67="","",ROUND($L67*Settings!$B$9,2))</f>
        <v/>
      </c>
      <c r="N67" s="15" t="str">
        <f aca="false">IF($B67="","",$L67+$M67)</f>
        <v/>
      </c>
      <c r="O67" s="19" t="str">
        <f aca="false">IF($Q67="","",Settings!$B$13&amp;TEXT(ROWS($A$5:$A67),"0000"))</f>
        <v/>
      </c>
      <c r="P67" s="19" t="str">
        <f aca="false">IF($O67="","",IFERROR(INDEX(Invoices!$I$5:$I$504,MATCH($O67,Invoices!$A$5:$A$504,0)),""))</f>
        <v/>
      </c>
      <c r="Q67" s="2" t="str">
        <f aca="false">IF(AND($A67&lt;&gt;"",$B67&lt;&gt;"",$G67="Completed"),COUNTIFS($A$5:$A67,"&lt;&gt;",$B$5:$B67,"&lt;&gt;",$G$5:$G67,"Completed"),"")</f>
        <v/>
      </c>
    </row>
    <row r="68" customFormat="false" ht="15" hidden="false" customHeight="false" outlineLevel="0" collapsed="false">
      <c r="A68" s="16"/>
      <c r="B68" s="12"/>
      <c r="C68" s="17"/>
      <c r="D68" s="18"/>
      <c r="E68" s="13"/>
      <c r="F68" s="13"/>
      <c r="G68" s="12"/>
      <c r="H68" s="12"/>
      <c r="I68" s="19" t="str">
        <f aca="false">IF($B68="","",IFERROR(INDEX(Clients!$D$5:$D$204,MATCH($B68,Clients!$A$5:$A$204,0))&amp;"",""))</f>
        <v/>
      </c>
      <c r="J68" s="19" t="str">
        <f aca="false">IF($B68="","",IF($C68&lt;&gt;"",$C68,IFERROR(INDEX(Clients!$E$5:$E$204,MATCH($B68,Clients!$A$5:$A$204,0))&amp;"","")))</f>
        <v/>
      </c>
      <c r="K68" s="15" t="str">
        <f aca="false">IF($B68="","",IF($F68&lt;&gt;"",$F68,IFERROR(IF(AND(INDEX(Clients!$F$5:$F$204,MATCH($B68,Clients!$A$5:$A$204,0))&amp;""&lt;&gt;"",OR($C68="",$C68=INDEX(Clients!$E$5:$E$204,MATCH($B68,Clients!$A$5:$A$204,0)))),INDEX(Clients!$F$5:$F$204,MATCH($B68,Clients!$A$5:$A$204,0)),INDEX(Settings!$E$5:$E$19,MATCH($J68,Settings!$D$5:$D$19,0))),0)))</f>
        <v/>
      </c>
      <c r="L68" s="15" t="str">
        <f aca="false">IF($B68="","",$K68*IF($D68="",1,$D68)+$E68)</f>
        <v/>
      </c>
      <c r="M68" s="15" t="str">
        <f aca="false">IF($B68="","",ROUND($L68*Settings!$B$9,2))</f>
        <v/>
      </c>
      <c r="N68" s="15" t="str">
        <f aca="false">IF($B68="","",$L68+$M68)</f>
        <v/>
      </c>
      <c r="O68" s="19" t="str">
        <f aca="false">IF($Q68="","",Settings!$B$13&amp;TEXT(ROWS($A$5:$A68),"0000"))</f>
        <v/>
      </c>
      <c r="P68" s="19" t="str">
        <f aca="false">IF($O68="","",IFERROR(INDEX(Invoices!$I$5:$I$504,MATCH($O68,Invoices!$A$5:$A$504,0)),""))</f>
        <v/>
      </c>
      <c r="Q68" s="2" t="str">
        <f aca="false">IF(AND($A68&lt;&gt;"",$B68&lt;&gt;"",$G68="Completed"),COUNTIFS($A$5:$A68,"&lt;&gt;",$B$5:$B68,"&lt;&gt;",$G$5:$G68,"Completed"),"")</f>
        <v/>
      </c>
    </row>
    <row r="69" customFormat="false" ht="15" hidden="false" customHeight="false" outlineLevel="0" collapsed="false">
      <c r="A69" s="16"/>
      <c r="B69" s="12"/>
      <c r="C69" s="17"/>
      <c r="D69" s="18"/>
      <c r="E69" s="13"/>
      <c r="F69" s="13"/>
      <c r="G69" s="12"/>
      <c r="H69" s="12"/>
      <c r="I69" s="19" t="str">
        <f aca="false">IF($B69="","",IFERROR(INDEX(Clients!$D$5:$D$204,MATCH($B69,Clients!$A$5:$A$204,0))&amp;"",""))</f>
        <v/>
      </c>
      <c r="J69" s="19" t="str">
        <f aca="false">IF($B69="","",IF($C69&lt;&gt;"",$C69,IFERROR(INDEX(Clients!$E$5:$E$204,MATCH($B69,Clients!$A$5:$A$204,0))&amp;"","")))</f>
        <v/>
      </c>
      <c r="K69" s="15" t="str">
        <f aca="false">IF($B69="","",IF($F69&lt;&gt;"",$F69,IFERROR(IF(AND(INDEX(Clients!$F$5:$F$204,MATCH($B69,Clients!$A$5:$A$204,0))&amp;""&lt;&gt;"",OR($C69="",$C69=INDEX(Clients!$E$5:$E$204,MATCH($B69,Clients!$A$5:$A$204,0)))),INDEX(Clients!$F$5:$F$204,MATCH($B69,Clients!$A$5:$A$204,0)),INDEX(Settings!$E$5:$E$19,MATCH($J69,Settings!$D$5:$D$19,0))),0)))</f>
        <v/>
      </c>
      <c r="L69" s="15" t="str">
        <f aca="false">IF($B69="","",$K69*IF($D69="",1,$D69)+$E69)</f>
        <v/>
      </c>
      <c r="M69" s="15" t="str">
        <f aca="false">IF($B69="","",ROUND($L69*Settings!$B$9,2))</f>
        <v/>
      </c>
      <c r="N69" s="15" t="str">
        <f aca="false">IF($B69="","",$L69+$M69)</f>
        <v/>
      </c>
      <c r="O69" s="19" t="str">
        <f aca="false">IF($Q69="","",Settings!$B$13&amp;TEXT(ROWS($A$5:$A69),"0000"))</f>
        <v/>
      </c>
      <c r="P69" s="19" t="str">
        <f aca="false">IF($O69="","",IFERROR(INDEX(Invoices!$I$5:$I$504,MATCH($O69,Invoices!$A$5:$A$504,0)),""))</f>
        <v/>
      </c>
      <c r="Q69" s="2" t="str">
        <f aca="false">IF(AND($A69&lt;&gt;"",$B69&lt;&gt;"",$G69="Completed"),COUNTIFS($A$5:$A69,"&lt;&gt;",$B$5:$B69,"&lt;&gt;",$G$5:$G69,"Completed"),"")</f>
        <v/>
      </c>
    </row>
    <row r="70" customFormat="false" ht="15" hidden="false" customHeight="false" outlineLevel="0" collapsed="false">
      <c r="A70" s="16"/>
      <c r="B70" s="12"/>
      <c r="C70" s="17"/>
      <c r="D70" s="18"/>
      <c r="E70" s="13"/>
      <c r="F70" s="13"/>
      <c r="G70" s="12"/>
      <c r="H70" s="12"/>
      <c r="I70" s="19" t="str">
        <f aca="false">IF($B70="","",IFERROR(INDEX(Clients!$D$5:$D$204,MATCH($B70,Clients!$A$5:$A$204,0))&amp;"",""))</f>
        <v/>
      </c>
      <c r="J70" s="19" t="str">
        <f aca="false">IF($B70="","",IF($C70&lt;&gt;"",$C70,IFERROR(INDEX(Clients!$E$5:$E$204,MATCH($B70,Clients!$A$5:$A$204,0))&amp;"","")))</f>
        <v/>
      </c>
      <c r="K70" s="15" t="str">
        <f aca="false">IF($B70="","",IF($F70&lt;&gt;"",$F70,IFERROR(IF(AND(INDEX(Clients!$F$5:$F$204,MATCH($B70,Clients!$A$5:$A$204,0))&amp;""&lt;&gt;"",OR($C70="",$C70=INDEX(Clients!$E$5:$E$204,MATCH($B70,Clients!$A$5:$A$204,0)))),INDEX(Clients!$F$5:$F$204,MATCH($B70,Clients!$A$5:$A$204,0)),INDEX(Settings!$E$5:$E$19,MATCH($J70,Settings!$D$5:$D$19,0))),0)))</f>
        <v/>
      </c>
      <c r="L70" s="15" t="str">
        <f aca="false">IF($B70="","",$K70*IF($D70="",1,$D70)+$E70)</f>
        <v/>
      </c>
      <c r="M70" s="15" t="str">
        <f aca="false">IF($B70="","",ROUND($L70*Settings!$B$9,2))</f>
        <v/>
      </c>
      <c r="N70" s="15" t="str">
        <f aca="false">IF($B70="","",$L70+$M70)</f>
        <v/>
      </c>
      <c r="O70" s="19" t="str">
        <f aca="false">IF($Q70="","",Settings!$B$13&amp;TEXT(ROWS($A$5:$A70),"0000"))</f>
        <v/>
      </c>
      <c r="P70" s="19" t="str">
        <f aca="false">IF($O70="","",IFERROR(INDEX(Invoices!$I$5:$I$504,MATCH($O70,Invoices!$A$5:$A$504,0)),""))</f>
        <v/>
      </c>
      <c r="Q70" s="2" t="str">
        <f aca="false">IF(AND($A70&lt;&gt;"",$B70&lt;&gt;"",$G70="Completed"),COUNTIFS($A$5:$A70,"&lt;&gt;",$B$5:$B70,"&lt;&gt;",$G$5:$G70,"Completed"),"")</f>
        <v/>
      </c>
    </row>
    <row r="71" customFormat="false" ht="15" hidden="false" customHeight="false" outlineLevel="0" collapsed="false">
      <c r="A71" s="16"/>
      <c r="B71" s="12"/>
      <c r="C71" s="17"/>
      <c r="D71" s="18"/>
      <c r="E71" s="13"/>
      <c r="F71" s="13"/>
      <c r="G71" s="12"/>
      <c r="H71" s="12"/>
      <c r="I71" s="19" t="str">
        <f aca="false">IF($B71="","",IFERROR(INDEX(Clients!$D$5:$D$204,MATCH($B71,Clients!$A$5:$A$204,0))&amp;"",""))</f>
        <v/>
      </c>
      <c r="J71" s="19" t="str">
        <f aca="false">IF($B71="","",IF($C71&lt;&gt;"",$C71,IFERROR(INDEX(Clients!$E$5:$E$204,MATCH($B71,Clients!$A$5:$A$204,0))&amp;"","")))</f>
        <v/>
      </c>
      <c r="K71" s="15" t="str">
        <f aca="false">IF($B71="","",IF($F71&lt;&gt;"",$F71,IFERROR(IF(AND(INDEX(Clients!$F$5:$F$204,MATCH($B71,Clients!$A$5:$A$204,0))&amp;""&lt;&gt;"",OR($C71="",$C71=INDEX(Clients!$E$5:$E$204,MATCH($B71,Clients!$A$5:$A$204,0)))),INDEX(Clients!$F$5:$F$204,MATCH($B71,Clients!$A$5:$A$204,0)),INDEX(Settings!$E$5:$E$19,MATCH($J71,Settings!$D$5:$D$19,0))),0)))</f>
        <v/>
      </c>
      <c r="L71" s="15" t="str">
        <f aca="false">IF($B71="","",$K71*IF($D71="",1,$D71)+$E71)</f>
        <v/>
      </c>
      <c r="M71" s="15" t="str">
        <f aca="false">IF($B71="","",ROUND($L71*Settings!$B$9,2))</f>
        <v/>
      </c>
      <c r="N71" s="15" t="str">
        <f aca="false">IF($B71="","",$L71+$M71)</f>
        <v/>
      </c>
      <c r="O71" s="19" t="str">
        <f aca="false">IF($Q71="","",Settings!$B$13&amp;TEXT(ROWS($A$5:$A71),"0000"))</f>
        <v/>
      </c>
      <c r="P71" s="19" t="str">
        <f aca="false">IF($O71="","",IFERROR(INDEX(Invoices!$I$5:$I$504,MATCH($O71,Invoices!$A$5:$A$504,0)),""))</f>
        <v/>
      </c>
      <c r="Q71" s="2" t="str">
        <f aca="false">IF(AND($A71&lt;&gt;"",$B71&lt;&gt;"",$G71="Completed"),COUNTIFS($A$5:$A71,"&lt;&gt;",$B$5:$B71,"&lt;&gt;",$G$5:$G71,"Completed"),"")</f>
        <v/>
      </c>
    </row>
    <row r="72" customFormat="false" ht="15" hidden="false" customHeight="false" outlineLevel="0" collapsed="false">
      <c r="A72" s="16"/>
      <c r="B72" s="12"/>
      <c r="C72" s="17"/>
      <c r="D72" s="18"/>
      <c r="E72" s="13"/>
      <c r="F72" s="13"/>
      <c r="G72" s="12"/>
      <c r="H72" s="12"/>
      <c r="I72" s="19" t="str">
        <f aca="false">IF($B72="","",IFERROR(INDEX(Clients!$D$5:$D$204,MATCH($B72,Clients!$A$5:$A$204,0))&amp;"",""))</f>
        <v/>
      </c>
      <c r="J72" s="19" t="str">
        <f aca="false">IF($B72="","",IF($C72&lt;&gt;"",$C72,IFERROR(INDEX(Clients!$E$5:$E$204,MATCH($B72,Clients!$A$5:$A$204,0))&amp;"","")))</f>
        <v/>
      </c>
      <c r="K72" s="15" t="str">
        <f aca="false">IF($B72="","",IF($F72&lt;&gt;"",$F72,IFERROR(IF(AND(INDEX(Clients!$F$5:$F$204,MATCH($B72,Clients!$A$5:$A$204,0))&amp;""&lt;&gt;"",OR($C72="",$C72=INDEX(Clients!$E$5:$E$204,MATCH($B72,Clients!$A$5:$A$204,0)))),INDEX(Clients!$F$5:$F$204,MATCH($B72,Clients!$A$5:$A$204,0)),INDEX(Settings!$E$5:$E$19,MATCH($J72,Settings!$D$5:$D$19,0))),0)))</f>
        <v/>
      </c>
      <c r="L72" s="15" t="str">
        <f aca="false">IF($B72="","",$K72*IF($D72="",1,$D72)+$E72)</f>
        <v/>
      </c>
      <c r="M72" s="15" t="str">
        <f aca="false">IF($B72="","",ROUND($L72*Settings!$B$9,2))</f>
        <v/>
      </c>
      <c r="N72" s="15" t="str">
        <f aca="false">IF($B72="","",$L72+$M72)</f>
        <v/>
      </c>
      <c r="O72" s="19" t="str">
        <f aca="false">IF($Q72="","",Settings!$B$13&amp;TEXT(ROWS($A$5:$A72),"0000"))</f>
        <v/>
      </c>
      <c r="P72" s="19" t="str">
        <f aca="false">IF($O72="","",IFERROR(INDEX(Invoices!$I$5:$I$504,MATCH($O72,Invoices!$A$5:$A$504,0)),""))</f>
        <v/>
      </c>
      <c r="Q72" s="2" t="str">
        <f aca="false">IF(AND($A72&lt;&gt;"",$B72&lt;&gt;"",$G72="Completed"),COUNTIFS($A$5:$A72,"&lt;&gt;",$B$5:$B72,"&lt;&gt;",$G$5:$G72,"Completed"),"")</f>
        <v/>
      </c>
    </row>
    <row r="73" customFormat="false" ht="15" hidden="false" customHeight="false" outlineLevel="0" collapsed="false">
      <c r="A73" s="16"/>
      <c r="B73" s="12"/>
      <c r="C73" s="17"/>
      <c r="D73" s="18"/>
      <c r="E73" s="13"/>
      <c r="F73" s="13"/>
      <c r="G73" s="12"/>
      <c r="H73" s="12"/>
      <c r="I73" s="19" t="str">
        <f aca="false">IF($B73="","",IFERROR(INDEX(Clients!$D$5:$D$204,MATCH($B73,Clients!$A$5:$A$204,0))&amp;"",""))</f>
        <v/>
      </c>
      <c r="J73" s="19" t="str">
        <f aca="false">IF($B73="","",IF($C73&lt;&gt;"",$C73,IFERROR(INDEX(Clients!$E$5:$E$204,MATCH($B73,Clients!$A$5:$A$204,0))&amp;"","")))</f>
        <v/>
      </c>
      <c r="K73" s="15" t="str">
        <f aca="false">IF($B73="","",IF($F73&lt;&gt;"",$F73,IFERROR(IF(AND(INDEX(Clients!$F$5:$F$204,MATCH($B73,Clients!$A$5:$A$204,0))&amp;""&lt;&gt;"",OR($C73="",$C73=INDEX(Clients!$E$5:$E$204,MATCH($B73,Clients!$A$5:$A$204,0)))),INDEX(Clients!$F$5:$F$204,MATCH($B73,Clients!$A$5:$A$204,0)),INDEX(Settings!$E$5:$E$19,MATCH($J73,Settings!$D$5:$D$19,0))),0)))</f>
        <v/>
      </c>
      <c r="L73" s="15" t="str">
        <f aca="false">IF($B73="","",$K73*IF($D73="",1,$D73)+$E73)</f>
        <v/>
      </c>
      <c r="M73" s="15" t="str">
        <f aca="false">IF($B73="","",ROUND($L73*Settings!$B$9,2))</f>
        <v/>
      </c>
      <c r="N73" s="15" t="str">
        <f aca="false">IF($B73="","",$L73+$M73)</f>
        <v/>
      </c>
      <c r="O73" s="19" t="str">
        <f aca="false">IF($Q73="","",Settings!$B$13&amp;TEXT(ROWS($A$5:$A73),"0000"))</f>
        <v/>
      </c>
      <c r="P73" s="19" t="str">
        <f aca="false">IF($O73="","",IFERROR(INDEX(Invoices!$I$5:$I$504,MATCH($O73,Invoices!$A$5:$A$504,0)),""))</f>
        <v/>
      </c>
      <c r="Q73" s="2" t="str">
        <f aca="false">IF(AND($A73&lt;&gt;"",$B73&lt;&gt;"",$G73="Completed"),COUNTIFS($A$5:$A73,"&lt;&gt;",$B$5:$B73,"&lt;&gt;",$G$5:$G73,"Completed"),"")</f>
        <v/>
      </c>
    </row>
    <row r="74" customFormat="false" ht="15" hidden="false" customHeight="false" outlineLevel="0" collapsed="false">
      <c r="A74" s="16"/>
      <c r="B74" s="12"/>
      <c r="C74" s="17"/>
      <c r="D74" s="18"/>
      <c r="E74" s="13"/>
      <c r="F74" s="13"/>
      <c r="G74" s="12"/>
      <c r="H74" s="12"/>
      <c r="I74" s="19" t="str">
        <f aca="false">IF($B74="","",IFERROR(INDEX(Clients!$D$5:$D$204,MATCH($B74,Clients!$A$5:$A$204,0))&amp;"",""))</f>
        <v/>
      </c>
      <c r="J74" s="19" t="str">
        <f aca="false">IF($B74="","",IF($C74&lt;&gt;"",$C74,IFERROR(INDEX(Clients!$E$5:$E$204,MATCH($B74,Clients!$A$5:$A$204,0))&amp;"","")))</f>
        <v/>
      </c>
      <c r="K74" s="15" t="str">
        <f aca="false">IF($B74="","",IF($F74&lt;&gt;"",$F74,IFERROR(IF(AND(INDEX(Clients!$F$5:$F$204,MATCH($B74,Clients!$A$5:$A$204,0))&amp;""&lt;&gt;"",OR($C74="",$C74=INDEX(Clients!$E$5:$E$204,MATCH($B74,Clients!$A$5:$A$204,0)))),INDEX(Clients!$F$5:$F$204,MATCH($B74,Clients!$A$5:$A$204,0)),INDEX(Settings!$E$5:$E$19,MATCH($J74,Settings!$D$5:$D$19,0))),0)))</f>
        <v/>
      </c>
      <c r="L74" s="15" t="str">
        <f aca="false">IF($B74="","",$K74*IF($D74="",1,$D74)+$E74)</f>
        <v/>
      </c>
      <c r="M74" s="15" t="str">
        <f aca="false">IF($B74="","",ROUND($L74*Settings!$B$9,2))</f>
        <v/>
      </c>
      <c r="N74" s="15" t="str">
        <f aca="false">IF($B74="","",$L74+$M74)</f>
        <v/>
      </c>
      <c r="O74" s="19" t="str">
        <f aca="false">IF($Q74="","",Settings!$B$13&amp;TEXT(ROWS($A$5:$A74),"0000"))</f>
        <v/>
      </c>
      <c r="P74" s="19" t="str">
        <f aca="false">IF($O74="","",IFERROR(INDEX(Invoices!$I$5:$I$504,MATCH($O74,Invoices!$A$5:$A$504,0)),""))</f>
        <v/>
      </c>
      <c r="Q74" s="2" t="str">
        <f aca="false">IF(AND($A74&lt;&gt;"",$B74&lt;&gt;"",$G74="Completed"),COUNTIFS($A$5:$A74,"&lt;&gt;",$B$5:$B74,"&lt;&gt;",$G$5:$G74,"Completed"),"")</f>
        <v/>
      </c>
    </row>
    <row r="75" customFormat="false" ht="15" hidden="false" customHeight="false" outlineLevel="0" collapsed="false">
      <c r="A75" s="16"/>
      <c r="B75" s="12"/>
      <c r="C75" s="17"/>
      <c r="D75" s="18"/>
      <c r="E75" s="13"/>
      <c r="F75" s="13"/>
      <c r="G75" s="12"/>
      <c r="H75" s="12"/>
      <c r="I75" s="19" t="str">
        <f aca="false">IF($B75="","",IFERROR(INDEX(Clients!$D$5:$D$204,MATCH($B75,Clients!$A$5:$A$204,0))&amp;"",""))</f>
        <v/>
      </c>
      <c r="J75" s="19" t="str">
        <f aca="false">IF($B75="","",IF($C75&lt;&gt;"",$C75,IFERROR(INDEX(Clients!$E$5:$E$204,MATCH($B75,Clients!$A$5:$A$204,0))&amp;"","")))</f>
        <v/>
      </c>
      <c r="K75" s="15" t="str">
        <f aca="false">IF($B75="","",IF($F75&lt;&gt;"",$F75,IFERROR(IF(AND(INDEX(Clients!$F$5:$F$204,MATCH($B75,Clients!$A$5:$A$204,0))&amp;""&lt;&gt;"",OR($C75="",$C75=INDEX(Clients!$E$5:$E$204,MATCH($B75,Clients!$A$5:$A$204,0)))),INDEX(Clients!$F$5:$F$204,MATCH($B75,Clients!$A$5:$A$204,0)),INDEX(Settings!$E$5:$E$19,MATCH($J75,Settings!$D$5:$D$19,0))),0)))</f>
        <v/>
      </c>
      <c r="L75" s="15" t="str">
        <f aca="false">IF($B75="","",$K75*IF($D75="",1,$D75)+$E75)</f>
        <v/>
      </c>
      <c r="M75" s="15" t="str">
        <f aca="false">IF($B75="","",ROUND($L75*Settings!$B$9,2))</f>
        <v/>
      </c>
      <c r="N75" s="15" t="str">
        <f aca="false">IF($B75="","",$L75+$M75)</f>
        <v/>
      </c>
      <c r="O75" s="19" t="str">
        <f aca="false">IF($Q75="","",Settings!$B$13&amp;TEXT(ROWS($A$5:$A75),"0000"))</f>
        <v/>
      </c>
      <c r="P75" s="19" t="str">
        <f aca="false">IF($O75="","",IFERROR(INDEX(Invoices!$I$5:$I$504,MATCH($O75,Invoices!$A$5:$A$504,0)),""))</f>
        <v/>
      </c>
      <c r="Q75" s="2" t="str">
        <f aca="false">IF(AND($A75&lt;&gt;"",$B75&lt;&gt;"",$G75="Completed"),COUNTIFS($A$5:$A75,"&lt;&gt;",$B$5:$B75,"&lt;&gt;",$G$5:$G75,"Completed"),"")</f>
        <v/>
      </c>
    </row>
    <row r="76" customFormat="false" ht="15" hidden="false" customHeight="false" outlineLevel="0" collapsed="false">
      <c r="A76" s="16"/>
      <c r="B76" s="12"/>
      <c r="C76" s="17"/>
      <c r="D76" s="18"/>
      <c r="E76" s="13"/>
      <c r="F76" s="13"/>
      <c r="G76" s="12"/>
      <c r="H76" s="12"/>
      <c r="I76" s="19" t="str">
        <f aca="false">IF($B76="","",IFERROR(INDEX(Clients!$D$5:$D$204,MATCH($B76,Clients!$A$5:$A$204,0))&amp;"",""))</f>
        <v/>
      </c>
      <c r="J76" s="19" t="str">
        <f aca="false">IF($B76="","",IF($C76&lt;&gt;"",$C76,IFERROR(INDEX(Clients!$E$5:$E$204,MATCH($B76,Clients!$A$5:$A$204,0))&amp;"","")))</f>
        <v/>
      </c>
      <c r="K76" s="15" t="str">
        <f aca="false">IF($B76="","",IF($F76&lt;&gt;"",$F76,IFERROR(IF(AND(INDEX(Clients!$F$5:$F$204,MATCH($B76,Clients!$A$5:$A$204,0))&amp;""&lt;&gt;"",OR($C76="",$C76=INDEX(Clients!$E$5:$E$204,MATCH($B76,Clients!$A$5:$A$204,0)))),INDEX(Clients!$F$5:$F$204,MATCH($B76,Clients!$A$5:$A$204,0)),INDEX(Settings!$E$5:$E$19,MATCH($J76,Settings!$D$5:$D$19,0))),0)))</f>
        <v/>
      </c>
      <c r="L76" s="15" t="str">
        <f aca="false">IF($B76="","",$K76*IF($D76="",1,$D76)+$E76)</f>
        <v/>
      </c>
      <c r="M76" s="15" t="str">
        <f aca="false">IF($B76="","",ROUND($L76*Settings!$B$9,2))</f>
        <v/>
      </c>
      <c r="N76" s="15" t="str">
        <f aca="false">IF($B76="","",$L76+$M76)</f>
        <v/>
      </c>
      <c r="O76" s="19" t="str">
        <f aca="false">IF($Q76="","",Settings!$B$13&amp;TEXT(ROWS($A$5:$A76),"0000"))</f>
        <v/>
      </c>
      <c r="P76" s="19" t="str">
        <f aca="false">IF($O76="","",IFERROR(INDEX(Invoices!$I$5:$I$504,MATCH($O76,Invoices!$A$5:$A$504,0)),""))</f>
        <v/>
      </c>
      <c r="Q76" s="2" t="str">
        <f aca="false">IF(AND($A76&lt;&gt;"",$B76&lt;&gt;"",$G76="Completed"),COUNTIFS($A$5:$A76,"&lt;&gt;",$B$5:$B76,"&lt;&gt;",$G$5:$G76,"Completed"),"")</f>
        <v/>
      </c>
    </row>
    <row r="77" customFormat="false" ht="15" hidden="false" customHeight="false" outlineLevel="0" collapsed="false">
      <c r="A77" s="16"/>
      <c r="B77" s="12"/>
      <c r="C77" s="17"/>
      <c r="D77" s="18"/>
      <c r="E77" s="13"/>
      <c r="F77" s="13"/>
      <c r="G77" s="12"/>
      <c r="H77" s="12"/>
      <c r="I77" s="19" t="str">
        <f aca="false">IF($B77="","",IFERROR(INDEX(Clients!$D$5:$D$204,MATCH($B77,Clients!$A$5:$A$204,0))&amp;"",""))</f>
        <v/>
      </c>
      <c r="J77" s="19" t="str">
        <f aca="false">IF($B77="","",IF($C77&lt;&gt;"",$C77,IFERROR(INDEX(Clients!$E$5:$E$204,MATCH($B77,Clients!$A$5:$A$204,0))&amp;"","")))</f>
        <v/>
      </c>
      <c r="K77" s="15" t="str">
        <f aca="false">IF($B77="","",IF($F77&lt;&gt;"",$F77,IFERROR(IF(AND(INDEX(Clients!$F$5:$F$204,MATCH($B77,Clients!$A$5:$A$204,0))&amp;""&lt;&gt;"",OR($C77="",$C77=INDEX(Clients!$E$5:$E$204,MATCH($B77,Clients!$A$5:$A$204,0)))),INDEX(Clients!$F$5:$F$204,MATCH($B77,Clients!$A$5:$A$204,0)),INDEX(Settings!$E$5:$E$19,MATCH($J77,Settings!$D$5:$D$19,0))),0)))</f>
        <v/>
      </c>
      <c r="L77" s="15" t="str">
        <f aca="false">IF($B77="","",$K77*IF($D77="",1,$D77)+$E77)</f>
        <v/>
      </c>
      <c r="M77" s="15" t="str">
        <f aca="false">IF($B77="","",ROUND($L77*Settings!$B$9,2))</f>
        <v/>
      </c>
      <c r="N77" s="15" t="str">
        <f aca="false">IF($B77="","",$L77+$M77)</f>
        <v/>
      </c>
      <c r="O77" s="19" t="str">
        <f aca="false">IF($Q77="","",Settings!$B$13&amp;TEXT(ROWS($A$5:$A77),"0000"))</f>
        <v/>
      </c>
      <c r="P77" s="19" t="str">
        <f aca="false">IF($O77="","",IFERROR(INDEX(Invoices!$I$5:$I$504,MATCH($O77,Invoices!$A$5:$A$504,0)),""))</f>
        <v/>
      </c>
      <c r="Q77" s="2" t="str">
        <f aca="false">IF(AND($A77&lt;&gt;"",$B77&lt;&gt;"",$G77="Completed"),COUNTIFS($A$5:$A77,"&lt;&gt;",$B$5:$B77,"&lt;&gt;",$G$5:$G77,"Completed"),"")</f>
        <v/>
      </c>
    </row>
    <row r="78" customFormat="false" ht="15" hidden="false" customHeight="false" outlineLevel="0" collapsed="false">
      <c r="A78" s="16"/>
      <c r="B78" s="12"/>
      <c r="C78" s="17"/>
      <c r="D78" s="18"/>
      <c r="E78" s="13"/>
      <c r="F78" s="13"/>
      <c r="G78" s="12"/>
      <c r="H78" s="12"/>
      <c r="I78" s="19" t="str">
        <f aca="false">IF($B78="","",IFERROR(INDEX(Clients!$D$5:$D$204,MATCH($B78,Clients!$A$5:$A$204,0))&amp;"",""))</f>
        <v/>
      </c>
      <c r="J78" s="19" t="str">
        <f aca="false">IF($B78="","",IF($C78&lt;&gt;"",$C78,IFERROR(INDEX(Clients!$E$5:$E$204,MATCH($B78,Clients!$A$5:$A$204,0))&amp;"","")))</f>
        <v/>
      </c>
      <c r="K78" s="15" t="str">
        <f aca="false">IF($B78="","",IF($F78&lt;&gt;"",$F78,IFERROR(IF(AND(INDEX(Clients!$F$5:$F$204,MATCH($B78,Clients!$A$5:$A$204,0))&amp;""&lt;&gt;"",OR($C78="",$C78=INDEX(Clients!$E$5:$E$204,MATCH($B78,Clients!$A$5:$A$204,0)))),INDEX(Clients!$F$5:$F$204,MATCH($B78,Clients!$A$5:$A$204,0)),INDEX(Settings!$E$5:$E$19,MATCH($J78,Settings!$D$5:$D$19,0))),0)))</f>
        <v/>
      </c>
      <c r="L78" s="15" t="str">
        <f aca="false">IF($B78="","",$K78*IF($D78="",1,$D78)+$E78)</f>
        <v/>
      </c>
      <c r="M78" s="15" t="str">
        <f aca="false">IF($B78="","",ROUND($L78*Settings!$B$9,2))</f>
        <v/>
      </c>
      <c r="N78" s="15" t="str">
        <f aca="false">IF($B78="","",$L78+$M78)</f>
        <v/>
      </c>
      <c r="O78" s="19" t="str">
        <f aca="false">IF($Q78="","",Settings!$B$13&amp;TEXT(ROWS($A$5:$A78),"0000"))</f>
        <v/>
      </c>
      <c r="P78" s="19" t="str">
        <f aca="false">IF($O78="","",IFERROR(INDEX(Invoices!$I$5:$I$504,MATCH($O78,Invoices!$A$5:$A$504,0)),""))</f>
        <v/>
      </c>
      <c r="Q78" s="2" t="str">
        <f aca="false">IF(AND($A78&lt;&gt;"",$B78&lt;&gt;"",$G78="Completed"),COUNTIFS($A$5:$A78,"&lt;&gt;",$B$5:$B78,"&lt;&gt;",$G$5:$G78,"Completed"),"")</f>
        <v/>
      </c>
    </row>
    <row r="79" customFormat="false" ht="15" hidden="false" customHeight="false" outlineLevel="0" collapsed="false">
      <c r="A79" s="16"/>
      <c r="B79" s="12"/>
      <c r="C79" s="17"/>
      <c r="D79" s="18"/>
      <c r="E79" s="13"/>
      <c r="F79" s="13"/>
      <c r="G79" s="12"/>
      <c r="H79" s="12"/>
      <c r="I79" s="19" t="str">
        <f aca="false">IF($B79="","",IFERROR(INDEX(Clients!$D$5:$D$204,MATCH($B79,Clients!$A$5:$A$204,0))&amp;"",""))</f>
        <v/>
      </c>
      <c r="J79" s="19" t="str">
        <f aca="false">IF($B79="","",IF($C79&lt;&gt;"",$C79,IFERROR(INDEX(Clients!$E$5:$E$204,MATCH($B79,Clients!$A$5:$A$204,0))&amp;"","")))</f>
        <v/>
      </c>
      <c r="K79" s="15" t="str">
        <f aca="false">IF($B79="","",IF($F79&lt;&gt;"",$F79,IFERROR(IF(AND(INDEX(Clients!$F$5:$F$204,MATCH($B79,Clients!$A$5:$A$204,0))&amp;""&lt;&gt;"",OR($C79="",$C79=INDEX(Clients!$E$5:$E$204,MATCH($B79,Clients!$A$5:$A$204,0)))),INDEX(Clients!$F$5:$F$204,MATCH($B79,Clients!$A$5:$A$204,0)),INDEX(Settings!$E$5:$E$19,MATCH($J79,Settings!$D$5:$D$19,0))),0)))</f>
        <v/>
      </c>
      <c r="L79" s="15" t="str">
        <f aca="false">IF($B79="","",$K79*IF($D79="",1,$D79)+$E79)</f>
        <v/>
      </c>
      <c r="M79" s="15" t="str">
        <f aca="false">IF($B79="","",ROUND($L79*Settings!$B$9,2))</f>
        <v/>
      </c>
      <c r="N79" s="15" t="str">
        <f aca="false">IF($B79="","",$L79+$M79)</f>
        <v/>
      </c>
      <c r="O79" s="19" t="str">
        <f aca="false">IF($Q79="","",Settings!$B$13&amp;TEXT(ROWS($A$5:$A79),"0000"))</f>
        <v/>
      </c>
      <c r="P79" s="19" t="str">
        <f aca="false">IF($O79="","",IFERROR(INDEX(Invoices!$I$5:$I$504,MATCH($O79,Invoices!$A$5:$A$504,0)),""))</f>
        <v/>
      </c>
      <c r="Q79" s="2" t="str">
        <f aca="false">IF(AND($A79&lt;&gt;"",$B79&lt;&gt;"",$G79="Completed"),COUNTIFS($A$5:$A79,"&lt;&gt;",$B$5:$B79,"&lt;&gt;",$G$5:$G79,"Completed"),"")</f>
        <v/>
      </c>
    </row>
    <row r="80" customFormat="false" ht="15" hidden="false" customHeight="false" outlineLevel="0" collapsed="false">
      <c r="A80" s="16"/>
      <c r="B80" s="12"/>
      <c r="C80" s="17"/>
      <c r="D80" s="18"/>
      <c r="E80" s="13"/>
      <c r="F80" s="13"/>
      <c r="G80" s="12"/>
      <c r="H80" s="12"/>
      <c r="I80" s="19" t="str">
        <f aca="false">IF($B80="","",IFERROR(INDEX(Clients!$D$5:$D$204,MATCH($B80,Clients!$A$5:$A$204,0))&amp;"",""))</f>
        <v/>
      </c>
      <c r="J80" s="19" t="str">
        <f aca="false">IF($B80="","",IF($C80&lt;&gt;"",$C80,IFERROR(INDEX(Clients!$E$5:$E$204,MATCH($B80,Clients!$A$5:$A$204,0))&amp;"","")))</f>
        <v/>
      </c>
      <c r="K80" s="15" t="str">
        <f aca="false">IF($B80="","",IF($F80&lt;&gt;"",$F80,IFERROR(IF(AND(INDEX(Clients!$F$5:$F$204,MATCH($B80,Clients!$A$5:$A$204,0))&amp;""&lt;&gt;"",OR($C80="",$C80=INDEX(Clients!$E$5:$E$204,MATCH($B80,Clients!$A$5:$A$204,0)))),INDEX(Clients!$F$5:$F$204,MATCH($B80,Clients!$A$5:$A$204,0)),INDEX(Settings!$E$5:$E$19,MATCH($J80,Settings!$D$5:$D$19,0))),0)))</f>
        <v/>
      </c>
      <c r="L80" s="15" t="str">
        <f aca="false">IF($B80="","",$K80*IF($D80="",1,$D80)+$E80)</f>
        <v/>
      </c>
      <c r="M80" s="15" t="str">
        <f aca="false">IF($B80="","",ROUND($L80*Settings!$B$9,2))</f>
        <v/>
      </c>
      <c r="N80" s="15" t="str">
        <f aca="false">IF($B80="","",$L80+$M80)</f>
        <v/>
      </c>
      <c r="O80" s="19" t="str">
        <f aca="false">IF($Q80="","",Settings!$B$13&amp;TEXT(ROWS($A$5:$A80),"0000"))</f>
        <v/>
      </c>
      <c r="P80" s="19" t="str">
        <f aca="false">IF($O80="","",IFERROR(INDEX(Invoices!$I$5:$I$504,MATCH($O80,Invoices!$A$5:$A$504,0)),""))</f>
        <v/>
      </c>
      <c r="Q80" s="2" t="str">
        <f aca="false">IF(AND($A80&lt;&gt;"",$B80&lt;&gt;"",$G80="Completed"),COUNTIFS($A$5:$A80,"&lt;&gt;",$B$5:$B80,"&lt;&gt;",$G$5:$G80,"Completed"),"")</f>
        <v/>
      </c>
    </row>
    <row r="81" customFormat="false" ht="15" hidden="false" customHeight="false" outlineLevel="0" collapsed="false">
      <c r="A81" s="16"/>
      <c r="B81" s="12"/>
      <c r="C81" s="17"/>
      <c r="D81" s="18"/>
      <c r="E81" s="13"/>
      <c r="F81" s="13"/>
      <c r="G81" s="12"/>
      <c r="H81" s="12"/>
      <c r="I81" s="19" t="str">
        <f aca="false">IF($B81="","",IFERROR(INDEX(Clients!$D$5:$D$204,MATCH($B81,Clients!$A$5:$A$204,0))&amp;"",""))</f>
        <v/>
      </c>
      <c r="J81" s="19" t="str">
        <f aca="false">IF($B81="","",IF($C81&lt;&gt;"",$C81,IFERROR(INDEX(Clients!$E$5:$E$204,MATCH($B81,Clients!$A$5:$A$204,0))&amp;"","")))</f>
        <v/>
      </c>
      <c r="K81" s="15" t="str">
        <f aca="false">IF($B81="","",IF($F81&lt;&gt;"",$F81,IFERROR(IF(AND(INDEX(Clients!$F$5:$F$204,MATCH($B81,Clients!$A$5:$A$204,0))&amp;""&lt;&gt;"",OR($C81="",$C81=INDEX(Clients!$E$5:$E$204,MATCH($B81,Clients!$A$5:$A$204,0)))),INDEX(Clients!$F$5:$F$204,MATCH($B81,Clients!$A$5:$A$204,0)),INDEX(Settings!$E$5:$E$19,MATCH($J81,Settings!$D$5:$D$19,0))),0)))</f>
        <v/>
      </c>
      <c r="L81" s="15" t="str">
        <f aca="false">IF($B81="","",$K81*IF($D81="",1,$D81)+$E81)</f>
        <v/>
      </c>
      <c r="M81" s="15" t="str">
        <f aca="false">IF($B81="","",ROUND($L81*Settings!$B$9,2))</f>
        <v/>
      </c>
      <c r="N81" s="15" t="str">
        <f aca="false">IF($B81="","",$L81+$M81)</f>
        <v/>
      </c>
      <c r="O81" s="19" t="str">
        <f aca="false">IF($Q81="","",Settings!$B$13&amp;TEXT(ROWS($A$5:$A81),"0000"))</f>
        <v/>
      </c>
      <c r="P81" s="19" t="str">
        <f aca="false">IF($O81="","",IFERROR(INDEX(Invoices!$I$5:$I$504,MATCH($O81,Invoices!$A$5:$A$504,0)),""))</f>
        <v/>
      </c>
      <c r="Q81" s="2" t="str">
        <f aca="false">IF(AND($A81&lt;&gt;"",$B81&lt;&gt;"",$G81="Completed"),COUNTIFS($A$5:$A81,"&lt;&gt;",$B$5:$B81,"&lt;&gt;",$G$5:$G81,"Completed"),"")</f>
        <v/>
      </c>
    </row>
    <row r="82" customFormat="false" ht="15" hidden="false" customHeight="false" outlineLevel="0" collapsed="false">
      <c r="A82" s="16"/>
      <c r="B82" s="12"/>
      <c r="C82" s="17"/>
      <c r="D82" s="18"/>
      <c r="E82" s="13"/>
      <c r="F82" s="13"/>
      <c r="G82" s="12"/>
      <c r="H82" s="12"/>
      <c r="I82" s="19" t="str">
        <f aca="false">IF($B82="","",IFERROR(INDEX(Clients!$D$5:$D$204,MATCH($B82,Clients!$A$5:$A$204,0))&amp;"",""))</f>
        <v/>
      </c>
      <c r="J82" s="19" t="str">
        <f aca="false">IF($B82="","",IF($C82&lt;&gt;"",$C82,IFERROR(INDEX(Clients!$E$5:$E$204,MATCH($B82,Clients!$A$5:$A$204,0))&amp;"","")))</f>
        <v/>
      </c>
      <c r="K82" s="15" t="str">
        <f aca="false">IF($B82="","",IF($F82&lt;&gt;"",$F82,IFERROR(IF(AND(INDEX(Clients!$F$5:$F$204,MATCH($B82,Clients!$A$5:$A$204,0))&amp;""&lt;&gt;"",OR($C82="",$C82=INDEX(Clients!$E$5:$E$204,MATCH($B82,Clients!$A$5:$A$204,0)))),INDEX(Clients!$F$5:$F$204,MATCH($B82,Clients!$A$5:$A$204,0)),INDEX(Settings!$E$5:$E$19,MATCH($J82,Settings!$D$5:$D$19,0))),0)))</f>
        <v/>
      </c>
      <c r="L82" s="15" t="str">
        <f aca="false">IF($B82="","",$K82*IF($D82="",1,$D82)+$E82)</f>
        <v/>
      </c>
      <c r="M82" s="15" t="str">
        <f aca="false">IF($B82="","",ROUND($L82*Settings!$B$9,2))</f>
        <v/>
      </c>
      <c r="N82" s="15" t="str">
        <f aca="false">IF($B82="","",$L82+$M82)</f>
        <v/>
      </c>
      <c r="O82" s="19" t="str">
        <f aca="false">IF($Q82="","",Settings!$B$13&amp;TEXT(ROWS($A$5:$A82),"0000"))</f>
        <v/>
      </c>
      <c r="P82" s="19" t="str">
        <f aca="false">IF($O82="","",IFERROR(INDEX(Invoices!$I$5:$I$504,MATCH($O82,Invoices!$A$5:$A$504,0)),""))</f>
        <v/>
      </c>
      <c r="Q82" s="2" t="str">
        <f aca="false">IF(AND($A82&lt;&gt;"",$B82&lt;&gt;"",$G82="Completed"),COUNTIFS($A$5:$A82,"&lt;&gt;",$B$5:$B82,"&lt;&gt;",$G$5:$G82,"Completed"),"")</f>
        <v/>
      </c>
    </row>
    <row r="83" customFormat="false" ht="15" hidden="false" customHeight="false" outlineLevel="0" collapsed="false">
      <c r="A83" s="16"/>
      <c r="B83" s="12"/>
      <c r="C83" s="17"/>
      <c r="D83" s="18"/>
      <c r="E83" s="13"/>
      <c r="F83" s="13"/>
      <c r="G83" s="12"/>
      <c r="H83" s="12"/>
      <c r="I83" s="19" t="str">
        <f aca="false">IF($B83="","",IFERROR(INDEX(Clients!$D$5:$D$204,MATCH($B83,Clients!$A$5:$A$204,0))&amp;"",""))</f>
        <v/>
      </c>
      <c r="J83" s="19" t="str">
        <f aca="false">IF($B83="","",IF($C83&lt;&gt;"",$C83,IFERROR(INDEX(Clients!$E$5:$E$204,MATCH($B83,Clients!$A$5:$A$204,0))&amp;"","")))</f>
        <v/>
      </c>
      <c r="K83" s="15" t="str">
        <f aca="false">IF($B83="","",IF($F83&lt;&gt;"",$F83,IFERROR(IF(AND(INDEX(Clients!$F$5:$F$204,MATCH($B83,Clients!$A$5:$A$204,0))&amp;""&lt;&gt;"",OR($C83="",$C83=INDEX(Clients!$E$5:$E$204,MATCH($B83,Clients!$A$5:$A$204,0)))),INDEX(Clients!$F$5:$F$204,MATCH($B83,Clients!$A$5:$A$204,0)),INDEX(Settings!$E$5:$E$19,MATCH($J83,Settings!$D$5:$D$19,0))),0)))</f>
        <v/>
      </c>
      <c r="L83" s="15" t="str">
        <f aca="false">IF($B83="","",$K83*IF($D83="",1,$D83)+$E83)</f>
        <v/>
      </c>
      <c r="M83" s="15" t="str">
        <f aca="false">IF($B83="","",ROUND($L83*Settings!$B$9,2))</f>
        <v/>
      </c>
      <c r="N83" s="15" t="str">
        <f aca="false">IF($B83="","",$L83+$M83)</f>
        <v/>
      </c>
      <c r="O83" s="19" t="str">
        <f aca="false">IF($Q83="","",Settings!$B$13&amp;TEXT(ROWS($A$5:$A83),"0000"))</f>
        <v/>
      </c>
      <c r="P83" s="19" t="str">
        <f aca="false">IF($O83="","",IFERROR(INDEX(Invoices!$I$5:$I$504,MATCH($O83,Invoices!$A$5:$A$504,0)),""))</f>
        <v/>
      </c>
      <c r="Q83" s="2" t="str">
        <f aca="false">IF(AND($A83&lt;&gt;"",$B83&lt;&gt;"",$G83="Completed"),COUNTIFS($A$5:$A83,"&lt;&gt;",$B$5:$B83,"&lt;&gt;",$G$5:$G83,"Completed"),"")</f>
        <v/>
      </c>
    </row>
    <row r="84" customFormat="false" ht="15" hidden="false" customHeight="false" outlineLevel="0" collapsed="false">
      <c r="A84" s="16"/>
      <c r="B84" s="12"/>
      <c r="C84" s="17"/>
      <c r="D84" s="18"/>
      <c r="E84" s="13"/>
      <c r="F84" s="13"/>
      <c r="G84" s="12"/>
      <c r="H84" s="12"/>
      <c r="I84" s="19" t="str">
        <f aca="false">IF($B84="","",IFERROR(INDEX(Clients!$D$5:$D$204,MATCH($B84,Clients!$A$5:$A$204,0))&amp;"",""))</f>
        <v/>
      </c>
      <c r="J84" s="19" t="str">
        <f aca="false">IF($B84="","",IF($C84&lt;&gt;"",$C84,IFERROR(INDEX(Clients!$E$5:$E$204,MATCH($B84,Clients!$A$5:$A$204,0))&amp;"","")))</f>
        <v/>
      </c>
      <c r="K84" s="15" t="str">
        <f aca="false">IF($B84="","",IF($F84&lt;&gt;"",$F84,IFERROR(IF(AND(INDEX(Clients!$F$5:$F$204,MATCH($B84,Clients!$A$5:$A$204,0))&amp;""&lt;&gt;"",OR($C84="",$C84=INDEX(Clients!$E$5:$E$204,MATCH($B84,Clients!$A$5:$A$204,0)))),INDEX(Clients!$F$5:$F$204,MATCH($B84,Clients!$A$5:$A$204,0)),INDEX(Settings!$E$5:$E$19,MATCH($J84,Settings!$D$5:$D$19,0))),0)))</f>
        <v/>
      </c>
      <c r="L84" s="15" t="str">
        <f aca="false">IF($B84="","",$K84*IF($D84="",1,$D84)+$E84)</f>
        <v/>
      </c>
      <c r="M84" s="15" t="str">
        <f aca="false">IF($B84="","",ROUND($L84*Settings!$B$9,2))</f>
        <v/>
      </c>
      <c r="N84" s="15" t="str">
        <f aca="false">IF($B84="","",$L84+$M84)</f>
        <v/>
      </c>
      <c r="O84" s="19" t="str">
        <f aca="false">IF($Q84="","",Settings!$B$13&amp;TEXT(ROWS($A$5:$A84),"0000"))</f>
        <v/>
      </c>
      <c r="P84" s="19" t="str">
        <f aca="false">IF($O84="","",IFERROR(INDEX(Invoices!$I$5:$I$504,MATCH($O84,Invoices!$A$5:$A$504,0)),""))</f>
        <v/>
      </c>
      <c r="Q84" s="2" t="str">
        <f aca="false">IF(AND($A84&lt;&gt;"",$B84&lt;&gt;"",$G84="Completed"),COUNTIFS($A$5:$A84,"&lt;&gt;",$B$5:$B84,"&lt;&gt;",$G$5:$G84,"Completed"),"")</f>
        <v/>
      </c>
    </row>
    <row r="85" customFormat="false" ht="15" hidden="false" customHeight="false" outlineLevel="0" collapsed="false">
      <c r="A85" s="16"/>
      <c r="B85" s="12"/>
      <c r="C85" s="17"/>
      <c r="D85" s="18"/>
      <c r="E85" s="13"/>
      <c r="F85" s="13"/>
      <c r="G85" s="12"/>
      <c r="H85" s="12"/>
      <c r="I85" s="19" t="str">
        <f aca="false">IF($B85="","",IFERROR(INDEX(Clients!$D$5:$D$204,MATCH($B85,Clients!$A$5:$A$204,0))&amp;"",""))</f>
        <v/>
      </c>
      <c r="J85" s="19" t="str">
        <f aca="false">IF($B85="","",IF($C85&lt;&gt;"",$C85,IFERROR(INDEX(Clients!$E$5:$E$204,MATCH($B85,Clients!$A$5:$A$204,0))&amp;"","")))</f>
        <v/>
      </c>
      <c r="K85" s="15" t="str">
        <f aca="false">IF($B85="","",IF($F85&lt;&gt;"",$F85,IFERROR(IF(AND(INDEX(Clients!$F$5:$F$204,MATCH($B85,Clients!$A$5:$A$204,0))&amp;""&lt;&gt;"",OR($C85="",$C85=INDEX(Clients!$E$5:$E$204,MATCH($B85,Clients!$A$5:$A$204,0)))),INDEX(Clients!$F$5:$F$204,MATCH($B85,Clients!$A$5:$A$204,0)),INDEX(Settings!$E$5:$E$19,MATCH($J85,Settings!$D$5:$D$19,0))),0)))</f>
        <v/>
      </c>
      <c r="L85" s="15" t="str">
        <f aca="false">IF($B85="","",$K85*IF($D85="",1,$D85)+$E85)</f>
        <v/>
      </c>
      <c r="M85" s="15" t="str">
        <f aca="false">IF($B85="","",ROUND($L85*Settings!$B$9,2))</f>
        <v/>
      </c>
      <c r="N85" s="15" t="str">
        <f aca="false">IF($B85="","",$L85+$M85)</f>
        <v/>
      </c>
      <c r="O85" s="19" t="str">
        <f aca="false">IF($Q85="","",Settings!$B$13&amp;TEXT(ROWS($A$5:$A85),"0000"))</f>
        <v/>
      </c>
      <c r="P85" s="19" t="str">
        <f aca="false">IF($O85="","",IFERROR(INDEX(Invoices!$I$5:$I$504,MATCH($O85,Invoices!$A$5:$A$504,0)),""))</f>
        <v/>
      </c>
      <c r="Q85" s="2" t="str">
        <f aca="false">IF(AND($A85&lt;&gt;"",$B85&lt;&gt;"",$G85="Completed"),COUNTIFS($A$5:$A85,"&lt;&gt;",$B$5:$B85,"&lt;&gt;",$G$5:$G85,"Completed"),"")</f>
        <v/>
      </c>
    </row>
    <row r="86" customFormat="false" ht="15" hidden="false" customHeight="false" outlineLevel="0" collapsed="false">
      <c r="A86" s="16"/>
      <c r="B86" s="12"/>
      <c r="C86" s="17"/>
      <c r="D86" s="18"/>
      <c r="E86" s="13"/>
      <c r="F86" s="13"/>
      <c r="G86" s="12"/>
      <c r="H86" s="12"/>
      <c r="I86" s="19" t="str">
        <f aca="false">IF($B86="","",IFERROR(INDEX(Clients!$D$5:$D$204,MATCH($B86,Clients!$A$5:$A$204,0))&amp;"",""))</f>
        <v/>
      </c>
      <c r="J86" s="19" t="str">
        <f aca="false">IF($B86="","",IF($C86&lt;&gt;"",$C86,IFERROR(INDEX(Clients!$E$5:$E$204,MATCH($B86,Clients!$A$5:$A$204,0))&amp;"","")))</f>
        <v/>
      </c>
      <c r="K86" s="15" t="str">
        <f aca="false">IF($B86="","",IF($F86&lt;&gt;"",$F86,IFERROR(IF(AND(INDEX(Clients!$F$5:$F$204,MATCH($B86,Clients!$A$5:$A$204,0))&amp;""&lt;&gt;"",OR($C86="",$C86=INDEX(Clients!$E$5:$E$204,MATCH($B86,Clients!$A$5:$A$204,0)))),INDEX(Clients!$F$5:$F$204,MATCH($B86,Clients!$A$5:$A$204,0)),INDEX(Settings!$E$5:$E$19,MATCH($J86,Settings!$D$5:$D$19,0))),0)))</f>
        <v/>
      </c>
      <c r="L86" s="15" t="str">
        <f aca="false">IF($B86="","",$K86*IF($D86="",1,$D86)+$E86)</f>
        <v/>
      </c>
      <c r="M86" s="15" t="str">
        <f aca="false">IF($B86="","",ROUND($L86*Settings!$B$9,2))</f>
        <v/>
      </c>
      <c r="N86" s="15" t="str">
        <f aca="false">IF($B86="","",$L86+$M86)</f>
        <v/>
      </c>
      <c r="O86" s="19" t="str">
        <f aca="false">IF($Q86="","",Settings!$B$13&amp;TEXT(ROWS($A$5:$A86),"0000"))</f>
        <v/>
      </c>
      <c r="P86" s="19" t="str">
        <f aca="false">IF($O86="","",IFERROR(INDEX(Invoices!$I$5:$I$504,MATCH($O86,Invoices!$A$5:$A$504,0)),""))</f>
        <v/>
      </c>
      <c r="Q86" s="2" t="str">
        <f aca="false">IF(AND($A86&lt;&gt;"",$B86&lt;&gt;"",$G86="Completed"),COUNTIFS($A$5:$A86,"&lt;&gt;",$B$5:$B86,"&lt;&gt;",$G$5:$G86,"Completed"),"")</f>
        <v/>
      </c>
    </row>
    <row r="87" customFormat="false" ht="15" hidden="false" customHeight="false" outlineLevel="0" collapsed="false">
      <c r="A87" s="16"/>
      <c r="B87" s="12"/>
      <c r="C87" s="17"/>
      <c r="D87" s="18"/>
      <c r="E87" s="13"/>
      <c r="F87" s="13"/>
      <c r="G87" s="12"/>
      <c r="H87" s="12"/>
      <c r="I87" s="19" t="str">
        <f aca="false">IF($B87="","",IFERROR(INDEX(Clients!$D$5:$D$204,MATCH($B87,Clients!$A$5:$A$204,0))&amp;"",""))</f>
        <v/>
      </c>
      <c r="J87" s="19" t="str">
        <f aca="false">IF($B87="","",IF($C87&lt;&gt;"",$C87,IFERROR(INDEX(Clients!$E$5:$E$204,MATCH($B87,Clients!$A$5:$A$204,0))&amp;"","")))</f>
        <v/>
      </c>
      <c r="K87" s="15" t="str">
        <f aca="false">IF($B87="","",IF($F87&lt;&gt;"",$F87,IFERROR(IF(AND(INDEX(Clients!$F$5:$F$204,MATCH($B87,Clients!$A$5:$A$204,0))&amp;""&lt;&gt;"",OR($C87="",$C87=INDEX(Clients!$E$5:$E$204,MATCH($B87,Clients!$A$5:$A$204,0)))),INDEX(Clients!$F$5:$F$204,MATCH($B87,Clients!$A$5:$A$204,0)),INDEX(Settings!$E$5:$E$19,MATCH($J87,Settings!$D$5:$D$19,0))),0)))</f>
        <v/>
      </c>
      <c r="L87" s="15" t="str">
        <f aca="false">IF($B87="","",$K87*IF($D87="",1,$D87)+$E87)</f>
        <v/>
      </c>
      <c r="M87" s="15" t="str">
        <f aca="false">IF($B87="","",ROUND($L87*Settings!$B$9,2))</f>
        <v/>
      </c>
      <c r="N87" s="15" t="str">
        <f aca="false">IF($B87="","",$L87+$M87)</f>
        <v/>
      </c>
      <c r="O87" s="19" t="str">
        <f aca="false">IF($Q87="","",Settings!$B$13&amp;TEXT(ROWS($A$5:$A87),"0000"))</f>
        <v/>
      </c>
      <c r="P87" s="19" t="str">
        <f aca="false">IF($O87="","",IFERROR(INDEX(Invoices!$I$5:$I$504,MATCH($O87,Invoices!$A$5:$A$504,0)),""))</f>
        <v/>
      </c>
      <c r="Q87" s="2" t="str">
        <f aca="false">IF(AND($A87&lt;&gt;"",$B87&lt;&gt;"",$G87="Completed"),COUNTIFS($A$5:$A87,"&lt;&gt;",$B$5:$B87,"&lt;&gt;",$G$5:$G87,"Completed"),"")</f>
        <v/>
      </c>
    </row>
    <row r="88" customFormat="false" ht="15" hidden="false" customHeight="false" outlineLevel="0" collapsed="false">
      <c r="A88" s="16"/>
      <c r="B88" s="12"/>
      <c r="C88" s="17"/>
      <c r="D88" s="18"/>
      <c r="E88" s="13"/>
      <c r="F88" s="13"/>
      <c r="G88" s="12"/>
      <c r="H88" s="12"/>
      <c r="I88" s="19" t="str">
        <f aca="false">IF($B88="","",IFERROR(INDEX(Clients!$D$5:$D$204,MATCH($B88,Clients!$A$5:$A$204,0))&amp;"",""))</f>
        <v/>
      </c>
      <c r="J88" s="19" t="str">
        <f aca="false">IF($B88="","",IF($C88&lt;&gt;"",$C88,IFERROR(INDEX(Clients!$E$5:$E$204,MATCH($B88,Clients!$A$5:$A$204,0))&amp;"","")))</f>
        <v/>
      </c>
      <c r="K88" s="15" t="str">
        <f aca="false">IF($B88="","",IF($F88&lt;&gt;"",$F88,IFERROR(IF(AND(INDEX(Clients!$F$5:$F$204,MATCH($B88,Clients!$A$5:$A$204,0))&amp;""&lt;&gt;"",OR($C88="",$C88=INDEX(Clients!$E$5:$E$204,MATCH($B88,Clients!$A$5:$A$204,0)))),INDEX(Clients!$F$5:$F$204,MATCH($B88,Clients!$A$5:$A$204,0)),INDEX(Settings!$E$5:$E$19,MATCH($J88,Settings!$D$5:$D$19,0))),0)))</f>
        <v/>
      </c>
      <c r="L88" s="15" t="str">
        <f aca="false">IF($B88="","",$K88*IF($D88="",1,$D88)+$E88)</f>
        <v/>
      </c>
      <c r="M88" s="15" t="str">
        <f aca="false">IF($B88="","",ROUND($L88*Settings!$B$9,2))</f>
        <v/>
      </c>
      <c r="N88" s="15" t="str">
        <f aca="false">IF($B88="","",$L88+$M88)</f>
        <v/>
      </c>
      <c r="O88" s="19" t="str">
        <f aca="false">IF($Q88="","",Settings!$B$13&amp;TEXT(ROWS($A$5:$A88),"0000"))</f>
        <v/>
      </c>
      <c r="P88" s="19" t="str">
        <f aca="false">IF($O88="","",IFERROR(INDEX(Invoices!$I$5:$I$504,MATCH($O88,Invoices!$A$5:$A$504,0)),""))</f>
        <v/>
      </c>
      <c r="Q88" s="2" t="str">
        <f aca="false">IF(AND($A88&lt;&gt;"",$B88&lt;&gt;"",$G88="Completed"),COUNTIFS($A$5:$A88,"&lt;&gt;",$B$5:$B88,"&lt;&gt;",$G$5:$G88,"Completed"),"")</f>
        <v/>
      </c>
    </row>
    <row r="89" customFormat="false" ht="15" hidden="false" customHeight="false" outlineLevel="0" collapsed="false">
      <c r="A89" s="16"/>
      <c r="B89" s="12"/>
      <c r="C89" s="17"/>
      <c r="D89" s="18"/>
      <c r="E89" s="13"/>
      <c r="F89" s="13"/>
      <c r="G89" s="12"/>
      <c r="H89" s="12"/>
      <c r="I89" s="19" t="str">
        <f aca="false">IF($B89="","",IFERROR(INDEX(Clients!$D$5:$D$204,MATCH($B89,Clients!$A$5:$A$204,0))&amp;"",""))</f>
        <v/>
      </c>
      <c r="J89" s="19" t="str">
        <f aca="false">IF($B89="","",IF($C89&lt;&gt;"",$C89,IFERROR(INDEX(Clients!$E$5:$E$204,MATCH($B89,Clients!$A$5:$A$204,0))&amp;"","")))</f>
        <v/>
      </c>
      <c r="K89" s="15" t="str">
        <f aca="false">IF($B89="","",IF($F89&lt;&gt;"",$F89,IFERROR(IF(AND(INDEX(Clients!$F$5:$F$204,MATCH($B89,Clients!$A$5:$A$204,0))&amp;""&lt;&gt;"",OR($C89="",$C89=INDEX(Clients!$E$5:$E$204,MATCH($B89,Clients!$A$5:$A$204,0)))),INDEX(Clients!$F$5:$F$204,MATCH($B89,Clients!$A$5:$A$204,0)),INDEX(Settings!$E$5:$E$19,MATCH($J89,Settings!$D$5:$D$19,0))),0)))</f>
        <v/>
      </c>
      <c r="L89" s="15" t="str">
        <f aca="false">IF($B89="","",$K89*IF($D89="",1,$D89)+$E89)</f>
        <v/>
      </c>
      <c r="M89" s="15" t="str">
        <f aca="false">IF($B89="","",ROUND($L89*Settings!$B$9,2))</f>
        <v/>
      </c>
      <c r="N89" s="15" t="str">
        <f aca="false">IF($B89="","",$L89+$M89)</f>
        <v/>
      </c>
      <c r="O89" s="19" t="str">
        <f aca="false">IF($Q89="","",Settings!$B$13&amp;TEXT(ROWS($A$5:$A89),"0000"))</f>
        <v/>
      </c>
      <c r="P89" s="19" t="str">
        <f aca="false">IF($O89="","",IFERROR(INDEX(Invoices!$I$5:$I$504,MATCH($O89,Invoices!$A$5:$A$504,0)),""))</f>
        <v/>
      </c>
      <c r="Q89" s="2" t="str">
        <f aca="false">IF(AND($A89&lt;&gt;"",$B89&lt;&gt;"",$G89="Completed"),COUNTIFS($A$5:$A89,"&lt;&gt;",$B$5:$B89,"&lt;&gt;",$G$5:$G89,"Completed"),"")</f>
        <v/>
      </c>
    </row>
    <row r="90" customFormat="false" ht="15" hidden="false" customHeight="false" outlineLevel="0" collapsed="false">
      <c r="A90" s="16"/>
      <c r="B90" s="12"/>
      <c r="C90" s="17"/>
      <c r="D90" s="18"/>
      <c r="E90" s="13"/>
      <c r="F90" s="13"/>
      <c r="G90" s="12"/>
      <c r="H90" s="12"/>
      <c r="I90" s="19" t="str">
        <f aca="false">IF($B90="","",IFERROR(INDEX(Clients!$D$5:$D$204,MATCH($B90,Clients!$A$5:$A$204,0))&amp;"",""))</f>
        <v/>
      </c>
      <c r="J90" s="19" t="str">
        <f aca="false">IF($B90="","",IF($C90&lt;&gt;"",$C90,IFERROR(INDEX(Clients!$E$5:$E$204,MATCH($B90,Clients!$A$5:$A$204,0))&amp;"","")))</f>
        <v/>
      </c>
      <c r="K90" s="15" t="str">
        <f aca="false">IF($B90="","",IF($F90&lt;&gt;"",$F90,IFERROR(IF(AND(INDEX(Clients!$F$5:$F$204,MATCH($B90,Clients!$A$5:$A$204,0))&amp;""&lt;&gt;"",OR($C90="",$C90=INDEX(Clients!$E$5:$E$204,MATCH($B90,Clients!$A$5:$A$204,0)))),INDEX(Clients!$F$5:$F$204,MATCH($B90,Clients!$A$5:$A$204,0)),INDEX(Settings!$E$5:$E$19,MATCH($J90,Settings!$D$5:$D$19,0))),0)))</f>
        <v/>
      </c>
      <c r="L90" s="15" t="str">
        <f aca="false">IF($B90="","",$K90*IF($D90="",1,$D90)+$E90)</f>
        <v/>
      </c>
      <c r="M90" s="15" t="str">
        <f aca="false">IF($B90="","",ROUND($L90*Settings!$B$9,2))</f>
        <v/>
      </c>
      <c r="N90" s="15" t="str">
        <f aca="false">IF($B90="","",$L90+$M90)</f>
        <v/>
      </c>
      <c r="O90" s="19" t="str">
        <f aca="false">IF($Q90="","",Settings!$B$13&amp;TEXT(ROWS($A$5:$A90),"0000"))</f>
        <v/>
      </c>
      <c r="P90" s="19" t="str">
        <f aca="false">IF($O90="","",IFERROR(INDEX(Invoices!$I$5:$I$504,MATCH($O90,Invoices!$A$5:$A$504,0)),""))</f>
        <v/>
      </c>
      <c r="Q90" s="2" t="str">
        <f aca="false">IF(AND($A90&lt;&gt;"",$B90&lt;&gt;"",$G90="Completed"),COUNTIFS($A$5:$A90,"&lt;&gt;",$B$5:$B90,"&lt;&gt;",$G$5:$G90,"Completed"),"")</f>
        <v/>
      </c>
    </row>
    <row r="91" customFormat="false" ht="15" hidden="false" customHeight="false" outlineLevel="0" collapsed="false">
      <c r="A91" s="16"/>
      <c r="B91" s="12"/>
      <c r="C91" s="17"/>
      <c r="D91" s="18"/>
      <c r="E91" s="13"/>
      <c r="F91" s="13"/>
      <c r="G91" s="12"/>
      <c r="H91" s="12"/>
      <c r="I91" s="19" t="str">
        <f aca="false">IF($B91="","",IFERROR(INDEX(Clients!$D$5:$D$204,MATCH($B91,Clients!$A$5:$A$204,0))&amp;"",""))</f>
        <v/>
      </c>
      <c r="J91" s="19" t="str">
        <f aca="false">IF($B91="","",IF($C91&lt;&gt;"",$C91,IFERROR(INDEX(Clients!$E$5:$E$204,MATCH($B91,Clients!$A$5:$A$204,0))&amp;"","")))</f>
        <v/>
      </c>
      <c r="K91" s="15" t="str">
        <f aca="false">IF($B91="","",IF($F91&lt;&gt;"",$F91,IFERROR(IF(AND(INDEX(Clients!$F$5:$F$204,MATCH($B91,Clients!$A$5:$A$204,0))&amp;""&lt;&gt;"",OR($C91="",$C91=INDEX(Clients!$E$5:$E$204,MATCH($B91,Clients!$A$5:$A$204,0)))),INDEX(Clients!$F$5:$F$204,MATCH($B91,Clients!$A$5:$A$204,0)),INDEX(Settings!$E$5:$E$19,MATCH($J91,Settings!$D$5:$D$19,0))),0)))</f>
        <v/>
      </c>
      <c r="L91" s="15" t="str">
        <f aca="false">IF($B91="","",$K91*IF($D91="",1,$D91)+$E91)</f>
        <v/>
      </c>
      <c r="M91" s="15" t="str">
        <f aca="false">IF($B91="","",ROUND($L91*Settings!$B$9,2))</f>
        <v/>
      </c>
      <c r="N91" s="15" t="str">
        <f aca="false">IF($B91="","",$L91+$M91)</f>
        <v/>
      </c>
      <c r="O91" s="19" t="str">
        <f aca="false">IF($Q91="","",Settings!$B$13&amp;TEXT(ROWS($A$5:$A91),"0000"))</f>
        <v/>
      </c>
      <c r="P91" s="19" t="str">
        <f aca="false">IF($O91="","",IFERROR(INDEX(Invoices!$I$5:$I$504,MATCH($O91,Invoices!$A$5:$A$504,0)),""))</f>
        <v/>
      </c>
      <c r="Q91" s="2" t="str">
        <f aca="false">IF(AND($A91&lt;&gt;"",$B91&lt;&gt;"",$G91="Completed"),COUNTIFS($A$5:$A91,"&lt;&gt;",$B$5:$B91,"&lt;&gt;",$G$5:$G91,"Completed"),"")</f>
        <v/>
      </c>
    </row>
    <row r="92" customFormat="false" ht="15" hidden="false" customHeight="false" outlineLevel="0" collapsed="false">
      <c r="A92" s="16"/>
      <c r="B92" s="12"/>
      <c r="C92" s="17"/>
      <c r="D92" s="18"/>
      <c r="E92" s="13"/>
      <c r="F92" s="13"/>
      <c r="G92" s="12"/>
      <c r="H92" s="12"/>
      <c r="I92" s="19" t="str">
        <f aca="false">IF($B92="","",IFERROR(INDEX(Clients!$D$5:$D$204,MATCH($B92,Clients!$A$5:$A$204,0))&amp;"",""))</f>
        <v/>
      </c>
      <c r="J92" s="19" t="str">
        <f aca="false">IF($B92="","",IF($C92&lt;&gt;"",$C92,IFERROR(INDEX(Clients!$E$5:$E$204,MATCH($B92,Clients!$A$5:$A$204,0))&amp;"","")))</f>
        <v/>
      </c>
      <c r="K92" s="15" t="str">
        <f aca="false">IF($B92="","",IF($F92&lt;&gt;"",$F92,IFERROR(IF(AND(INDEX(Clients!$F$5:$F$204,MATCH($B92,Clients!$A$5:$A$204,0))&amp;""&lt;&gt;"",OR($C92="",$C92=INDEX(Clients!$E$5:$E$204,MATCH($B92,Clients!$A$5:$A$204,0)))),INDEX(Clients!$F$5:$F$204,MATCH($B92,Clients!$A$5:$A$204,0)),INDEX(Settings!$E$5:$E$19,MATCH($J92,Settings!$D$5:$D$19,0))),0)))</f>
        <v/>
      </c>
      <c r="L92" s="15" t="str">
        <f aca="false">IF($B92="","",$K92*IF($D92="",1,$D92)+$E92)</f>
        <v/>
      </c>
      <c r="M92" s="15" t="str">
        <f aca="false">IF($B92="","",ROUND($L92*Settings!$B$9,2))</f>
        <v/>
      </c>
      <c r="N92" s="15" t="str">
        <f aca="false">IF($B92="","",$L92+$M92)</f>
        <v/>
      </c>
      <c r="O92" s="19" t="str">
        <f aca="false">IF($Q92="","",Settings!$B$13&amp;TEXT(ROWS($A$5:$A92),"0000"))</f>
        <v/>
      </c>
      <c r="P92" s="19" t="str">
        <f aca="false">IF($O92="","",IFERROR(INDEX(Invoices!$I$5:$I$504,MATCH($O92,Invoices!$A$5:$A$504,0)),""))</f>
        <v/>
      </c>
      <c r="Q92" s="2" t="str">
        <f aca="false">IF(AND($A92&lt;&gt;"",$B92&lt;&gt;"",$G92="Completed"),COUNTIFS($A$5:$A92,"&lt;&gt;",$B$5:$B92,"&lt;&gt;",$G$5:$G92,"Completed"),"")</f>
        <v/>
      </c>
    </row>
    <row r="93" customFormat="false" ht="15" hidden="false" customHeight="false" outlineLevel="0" collapsed="false">
      <c r="A93" s="16"/>
      <c r="B93" s="12"/>
      <c r="C93" s="17"/>
      <c r="D93" s="18"/>
      <c r="E93" s="13"/>
      <c r="F93" s="13"/>
      <c r="G93" s="12"/>
      <c r="H93" s="12"/>
      <c r="I93" s="19" t="str">
        <f aca="false">IF($B93="","",IFERROR(INDEX(Clients!$D$5:$D$204,MATCH($B93,Clients!$A$5:$A$204,0))&amp;"",""))</f>
        <v/>
      </c>
      <c r="J93" s="19" t="str">
        <f aca="false">IF($B93="","",IF($C93&lt;&gt;"",$C93,IFERROR(INDEX(Clients!$E$5:$E$204,MATCH($B93,Clients!$A$5:$A$204,0))&amp;"","")))</f>
        <v/>
      </c>
      <c r="K93" s="15" t="str">
        <f aca="false">IF($B93="","",IF($F93&lt;&gt;"",$F93,IFERROR(IF(AND(INDEX(Clients!$F$5:$F$204,MATCH($B93,Clients!$A$5:$A$204,0))&amp;""&lt;&gt;"",OR($C93="",$C93=INDEX(Clients!$E$5:$E$204,MATCH($B93,Clients!$A$5:$A$204,0)))),INDEX(Clients!$F$5:$F$204,MATCH($B93,Clients!$A$5:$A$204,0)),INDEX(Settings!$E$5:$E$19,MATCH($J93,Settings!$D$5:$D$19,0))),0)))</f>
        <v/>
      </c>
      <c r="L93" s="15" t="str">
        <f aca="false">IF($B93="","",$K93*IF($D93="",1,$D93)+$E93)</f>
        <v/>
      </c>
      <c r="M93" s="15" t="str">
        <f aca="false">IF($B93="","",ROUND($L93*Settings!$B$9,2))</f>
        <v/>
      </c>
      <c r="N93" s="15" t="str">
        <f aca="false">IF($B93="","",$L93+$M93)</f>
        <v/>
      </c>
      <c r="O93" s="19" t="str">
        <f aca="false">IF($Q93="","",Settings!$B$13&amp;TEXT(ROWS($A$5:$A93),"0000"))</f>
        <v/>
      </c>
      <c r="P93" s="19" t="str">
        <f aca="false">IF($O93="","",IFERROR(INDEX(Invoices!$I$5:$I$504,MATCH($O93,Invoices!$A$5:$A$504,0)),""))</f>
        <v/>
      </c>
      <c r="Q93" s="2" t="str">
        <f aca="false">IF(AND($A93&lt;&gt;"",$B93&lt;&gt;"",$G93="Completed"),COUNTIFS($A$5:$A93,"&lt;&gt;",$B$5:$B93,"&lt;&gt;",$G$5:$G93,"Completed"),"")</f>
        <v/>
      </c>
    </row>
    <row r="94" customFormat="false" ht="15" hidden="false" customHeight="false" outlineLevel="0" collapsed="false">
      <c r="A94" s="16"/>
      <c r="B94" s="12"/>
      <c r="C94" s="17"/>
      <c r="D94" s="18"/>
      <c r="E94" s="13"/>
      <c r="F94" s="13"/>
      <c r="G94" s="12"/>
      <c r="H94" s="12"/>
      <c r="I94" s="19" t="str">
        <f aca="false">IF($B94="","",IFERROR(INDEX(Clients!$D$5:$D$204,MATCH($B94,Clients!$A$5:$A$204,0))&amp;"",""))</f>
        <v/>
      </c>
      <c r="J94" s="19" t="str">
        <f aca="false">IF($B94="","",IF($C94&lt;&gt;"",$C94,IFERROR(INDEX(Clients!$E$5:$E$204,MATCH($B94,Clients!$A$5:$A$204,0))&amp;"","")))</f>
        <v/>
      </c>
      <c r="K94" s="15" t="str">
        <f aca="false">IF($B94="","",IF($F94&lt;&gt;"",$F94,IFERROR(IF(AND(INDEX(Clients!$F$5:$F$204,MATCH($B94,Clients!$A$5:$A$204,0))&amp;""&lt;&gt;"",OR($C94="",$C94=INDEX(Clients!$E$5:$E$204,MATCH($B94,Clients!$A$5:$A$204,0)))),INDEX(Clients!$F$5:$F$204,MATCH($B94,Clients!$A$5:$A$204,0)),INDEX(Settings!$E$5:$E$19,MATCH($J94,Settings!$D$5:$D$19,0))),0)))</f>
        <v/>
      </c>
      <c r="L94" s="15" t="str">
        <f aca="false">IF($B94="","",$K94*IF($D94="",1,$D94)+$E94)</f>
        <v/>
      </c>
      <c r="M94" s="15" t="str">
        <f aca="false">IF($B94="","",ROUND($L94*Settings!$B$9,2))</f>
        <v/>
      </c>
      <c r="N94" s="15" t="str">
        <f aca="false">IF($B94="","",$L94+$M94)</f>
        <v/>
      </c>
      <c r="O94" s="19" t="str">
        <f aca="false">IF($Q94="","",Settings!$B$13&amp;TEXT(ROWS($A$5:$A94),"0000"))</f>
        <v/>
      </c>
      <c r="P94" s="19" t="str">
        <f aca="false">IF($O94="","",IFERROR(INDEX(Invoices!$I$5:$I$504,MATCH($O94,Invoices!$A$5:$A$504,0)),""))</f>
        <v/>
      </c>
      <c r="Q94" s="2" t="str">
        <f aca="false">IF(AND($A94&lt;&gt;"",$B94&lt;&gt;"",$G94="Completed"),COUNTIFS($A$5:$A94,"&lt;&gt;",$B$5:$B94,"&lt;&gt;",$G$5:$G94,"Completed"),"")</f>
        <v/>
      </c>
    </row>
    <row r="95" customFormat="false" ht="15" hidden="false" customHeight="false" outlineLevel="0" collapsed="false">
      <c r="A95" s="16"/>
      <c r="B95" s="12"/>
      <c r="C95" s="17"/>
      <c r="D95" s="18"/>
      <c r="E95" s="13"/>
      <c r="F95" s="13"/>
      <c r="G95" s="12"/>
      <c r="H95" s="12"/>
      <c r="I95" s="19" t="str">
        <f aca="false">IF($B95="","",IFERROR(INDEX(Clients!$D$5:$D$204,MATCH($B95,Clients!$A$5:$A$204,0))&amp;"",""))</f>
        <v/>
      </c>
      <c r="J95" s="19" t="str">
        <f aca="false">IF($B95="","",IF($C95&lt;&gt;"",$C95,IFERROR(INDEX(Clients!$E$5:$E$204,MATCH($B95,Clients!$A$5:$A$204,0))&amp;"","")))</f>
        <v/>
      </c>
      <c r="K95" s="15" t="str">
        <f aca="false">IF($B95="","",IF($F95&lt;&gt;"",$F95,IFERROR(IF(AND(INDEX(Clients!$F$5:$F$204,MATCH($B95,Clients!$A$5:$A$204,0))&amp;""&lt;&gt;"",OR($C95="",$C95=INDEX(Clients!$E$5:$E$204,MATCH($B95,Clients!$A$5:$A$204,0)))),INDEX(Clients!$F$5:$F$204,MATCH($B95,Clients!$A$5:$A$204,0)),INDEX(Settings!$E$5:$E$19,MATCH($J95,Settings!$D$5:$D$19,0))),0)))</f>
        <v/>
      </c>
      <c r="L95" s="15" t="str">
        <f aca="false">IF($B95="","",$K95*IF($D95="",1,$D95)+$E95)</f>
        <v/>
      </c>
      <c r="M95" s="15" t="str">
        <f aca="false">IF($B95="","",ROUND($L95*Settings!$B$9,2))</f>
        <v/>
      </c>
      <c r="N95" s="15" t="str">
        <f aca="false">IF($B95="","",$L95+$M95)</f>
        <v/>
      </c>
      <c r="O95" s="19" t="str">
        <f aca="false">IF($Q95="","",Settings!$B$13&amp;TEXT(ROWS($A$5:$A95),"0000"))</f>
        <v/>
      </c>
      <c r="P95" s="19" t="str">
        <f aca="false">IF($O95="","",IFERROR(INDEX(Invoices!$I$5:$I$504,MATCH($O95,Invoices!$A$5:$A$504,0)),""))</f>
        <v/>
      </c>
      <c r="Q95" s="2" t="str">
        <f aca="false">IF(AND($A95&lt;&gt;"",$B95&lt;&gt;"",$G95="Completed"),COUNTIFS($A$5:$A95,"&lt;&gt;",$B$5:$B95,"&lt;&gt;",$G$5:$G95,"Completed"),"")</f>
        <v/>
      </c>
    </row>
    <row r="96" customFormat="false" ht="15" hidden="false" customHeight="false" outlineLevel="0" collapsed="false">
      <c r="A96" s="16"/>
      <c r="B96" s="12"/>
      <c r="C96" s="17"/>
      <c r="D96" s="18"/>
      <c r="E96" s="13"/>
      <c r="F96" s="13"/>
      <c r="G96" s="12"/>
      <c r="H96" s="12"/>
      <c r="I96" s="19" t="str">
        <f aca="false">IF($B96="","",IFERROR(INDEX(Clients!$D$5:$D$204,MATCH($B96,Clients!$A$5:$A$204,0))&amp;"",""))</f>
        <v/>
      </c>
      <c r="J96" s="19" t="str">
        <f aca="false">IF($B96="","",IF($C96&lt;&gt;"",$C96,IFERROR(INDEX(Clients!$E$5:$E$204,MATCH($B96,Clients!$A$5:$A$204,0))&amp;"","")))</f>
        <v/>
      </c>
      <c r="K96" s="15" t="str">
        <f aca="false">IF($B96="","",IF($F96&lt;&gt;"",$F96,IFERROR(IF(AND(INDEX(Clients!$F$5:$F$204,MATCH($B96,Clients!$A$5:$A$204,0))&amp;""&lt;&gt;"",OR($C96="",$C96=INDEX(Clients!$E$5:$E$204,MATCH($B96,Clients!$A$5:$A$204,0)))),INDEX(Clients!$F$5:$F$204,MATCH($B96,Clients!$A$5:$A$204,0)),INDEX(Settings!$E$5:$E$19,MATCH($J96,Settings!$D$5:$D$19,0))),0)))</f>
        <v/>
      </c>
      <c r="L96" s="15" t="str">
        <f aca="false">IF($B96="","",$K96*IF($D96="",1,$D96)+$E96)</f>
        <v/>
      </c>
      <c r="M96" s="15" t="str">
        <f aca="false">IF($B96="","",ROUND($L96*Settings!$B$9,2))</f>
        <v/>
      </c>
      <c r="N96" s="15" t="str">
        <f aca="false">IF($B96="","",$L96+$M96)</f>
        <v/>
      </c>
      <c r="O96" s="19" t="str">
        <f aca="false">IF($Q96="","",Settings!$B$13&amp;TEXT(ROWS($A$5:$A96),"0000"))</f>
        <v/>
      </c>
      <c r="P96" s="19" t="str">
        <f aca="false">IF($O96="","",IFERROR(INDEX(Invoices!$I$5:$I$504,MATCH($O96,Invoices!$A$5:$A$504,0)),""))</f>
        <v/>
      </c>
      <c r="Q96" s="2" t="str">
        <f aca="false">IF(AND($A96&lt;&gt;"",$B96&lt;&gt;"",$G96="Completed"),COUNTIFS($A$5:$A96,"&lt;&gt;",$B$5:$B96,"&lt;&gt;",$G$5:$G96,"Completed"),"")</f>
        <v/>
      </c>
    </row>
    <row r="97" customFormat="false" ht="15" hidden="false" customHeight="false" outlineLevel="0" collapsed="false">
      <c r="A97" s="16"/>
      <c r="B97" s="12"/>
      <c r="C97" s="17"/>
      <c r="D97" s="18"/>
      <c r="E97" s="13"/>
      <c r="F97" s="13"/>
      <c r="G97" s="12"/>
      <c r="H97" s="12"/>
      <c r="I97" s="19" t="str">
        <f aca="false">IF($B97="","",IFERROR(INDEX(Clients!$D$5:$D$204,MATCH($B97,Clients!$A$5:$A$204,0))&amp;"",""))</f>
        <v/>
      </c>
      <c r="J97" s="19" t="str">
        <f aca="false">IF($B97="","",IF($C97&lt;&gt;"",$C97,IFERROR(INDEX(Clients!$E$5:$E$204,MATCH($B97,Clients!$A$5:$A$204,0))&amp;"","")))</f>
        <v/>
      </c>
      <c r="K97" s="15" t="str">
        <f aca="false">IF($B97="","",IF($F97&lt;&gt;"",$F97,IFERROR(IF(AND(INDEX(Clients!$F$5:$F$204,MATCH($B97,Clients!$A$5:$A$204,0))&amp;""&lt;&gt;"",OR($C97="",$C97=INDEX(Clients!$E$5:$E$204,MATCH($B97,Clients!$A$5:$A$204,0)))),INDEX(Clients!$F$5:$F$204,MATCH($B97,Clients!$A$5:$A$204,0)),INDEX(Settings!$E$5:$E$19,MATCH($J97,Settings!$D$5:$D$19,0))),0)))</f>
        <v/>
      </c>
      <c r="L97" s="15" t="str">
        <f aca="false">IF($B97="","",$K97*IF($D97="",1,$D97)+$E97)</f>
        <v/>
      </c>
      <c r="M97" s="15" t="str">
        <f aca="false">IF($B97="","",ROUND($L97*Settings!$B$9,2))</f>
        <v/>
      </c>
      <c r="N97" s="15" t="str">
        <f aca="false">IF($B97="","",$L97+$M97)</f>
        <v/>
      </c>
      <c r="O97" s="19" t="str">
        <f aca="false">IF($Q97="","",Settings!$B$13&amp;TEXT(ROWS($A$5:$A97),"0000"))</f>
        <v/>
      </c>
      <c r="P97" s="19" t="str">
        <f aca="false">IF($O97="","",IFERROR(INDEX(Invoices!$I$5:$I$504,MATCH($O97,Invoices!$A$5:$A$504,0)),""))</f>
        <v/>
      </c>
      <c r="Q97" s="2" t="str">
        <f aca="false">IF(AND($A97&lt;&gt;"",$B97&lt;&gt;"",$G97="Completed"),COUNTIFS($A$5:$A97,"&lt;&gt;",$B$5:$B97,"&lt;&gt;",$G$5:$G97,"Completed"),"")</f>
        <v/>
      </c>
    </row>
    <row r="98" customFormat="false" ht="15" hidden="false" customHeight="false" outlineLevel="0" collapsed="false">
      <c r="A98" s="16"/>
      <c r="B98" s="12"/>
      <c r="C98" s="17"/>
      <c r="D98" s="18"/>
      <c r="E98" s="13"/>
      <c r="F98" s="13"/>
      <c r="G98" s="12"/>
      <c r="H98" s="12"/>
      <c r="I98" s="19" t="str">
        <f aca="false">IF($B98="","",IFERROR(INDEX(Clients!$D$5:$D$204,MATCH($B98,Clients!$A$5:$A$204,0))&amp;"",""))</f>
        <v/>
      </c>
      <c r="J98" s="19" t="str">
        <f aca="false">IF($B98="","",IF($C98&lt;&gt;"",$C98,IFERROR(INDEX(Clients!$E$5:$E$204,MATCH($B98,Clients!$A$5:$A$204,0))&amp;"","")))</f>
        <v/>
      </c>
      <c r="K98" s="15" t="str">
        <f aca="false">IF($B98="","",IF($F98&lt;&gt;"",$F98,IFERROR(IF(AND(INDEX(Clients!$F$5:$F$204,MATCH($B98,Clients!$A$5:$A$204,0))&amp;""&lt;&gt;"",OR($C98="",$C98=INDEX(Clients!$E$5:$E$204,MATCH($B98,Clients!$A$5:$A$204,0)))),INDEX(Clients!$F$5:$F$204,MATCH($B98,Clients!$A$5:$A$204,0)),INDEX(Settings!$E$5:$E$19,MATCH($J98,Settings!$D$5:$D$19,0))),0)))</f>
        <v/>
      </c>
      <c r="L98" s="15" t="str">
        <f aca="false">IF($B98="","",$K98*IF($D98="",1,$D98)+$E98)</f>
        <v/>
      </c>
      <c r="M98" s="15" t="str">
        <f aca="false">IF($B98="","",ROUND($L98*Settings!$B$9,2))</f>
        <v/>
      </c>
      <c r="N98" s="15" t="str">
        <f aca="false">IF($B98="","",$L98+$M98)</f>
        <v/>
      </c>
      <c r="O98" s="19" t="str">
        <f aca="false">IF($Q98="","",Settings!$B$13&amp;TEXT(ROWS($A$5:$A98),"0000"))</f>
        <v/>
      </c>
      <c r="P98" s="19" t="str">
        <f aca="false">IF($O98="","",IFERROR(INDEX(Invoices!$I$5:$I$504,MATCH($O98,Invoices!$A$5:$A$504,0)),""))</f>
        <v/>
      </c>
      <c r="Q98" s="2" t="str">
        <f aca="false">IF(AND($A98&lt;&gt;"",$B98&lt;&gt;"",$G98="Completed"),COUNTIFS($A$5:$A98,"&lt;&gt;",$B$5:$B98,"&lt;&gt;",$G$5:$G98,"Completed"),"")</f>
        <v/>
      </c>
    </row>
    <row r="99" customFormat="false" ht="15" hidden="false" customHeight="false" outlineLevel="0" collapsed="false">
      <c r="A99" s="16"/>
      <c r="B99" s="12"/>
      <c r="C99" s="17"/>
      <c r="D99" s="18"/>
      <c r="E99" s="13"/>
      <c r="F99" s="13"/>
      <c r="G99" s="12"/>
      <c r="H99" s="12"/>
      <c r="I99" s="19" t="str">
        <f aca="false">IF($B99="","",IFERROR(INDEX(Clients!$D$5:$D$204,MATCH($B99,Clients!$A$5:$A$204,0))&amp;"",""))</f>
        <v/>
      </c>
      <c r="J99" s="19" t="str">
        <f aca="false">IF($B99="","",IF($C99&lt;&gt;"",$C99,IFERROR(INDEX(Clients!$E$5:$E$204,MATCH($B99,Clients!$A$5:$A$204,0))&amp;"","")))</f>
        <v/>
      </c>
      <c r="K99" s="15" t="str">
        <f aca="false">IF($B99="","",IF($F99&lt;&gt;"",$F99,IFERROR(IF(AND(INDEX(Clients!$F$5:$F$204,MATCH($B99,Clients!$A$5:$A$204,0))&amp;""&lt;&gt;"",OR($C99="",$C99=INDEX(Clients!$E$5:$E$204,MATCH($B99,Clients!$A$5:$A$204,0)))),INDEX(Clients!$F$5:$F$204,MATCH($B99,Clients!$A$5:$A$204,0)),INDEX(Settings!$E$5:$E$19,MATCH($J99,Settings!$D$5:$D$19,0))),0)))</f>
        <v/>
      </c>
      <c r="L99" s="15" t="str">
        <f aca="false">IF($B99="","",$K99*IF($D99="",1,$D99)+$E99)</f>
        <v/>
      </c>
      <c r="M99" s="15" t="str">
        <f aca="false">IF($B99="","",ROUND($L99*Settings!$B$9,2))</f>
        <v/>
      </c>
      <c r="N99" s="15" t="str">
        <f aca="false">IF($B99="","",$L99+$M99)</f>
        <v/>
      </c>
      <c r="O99" s="19" t="str">
        <f aca="false">IF($Q99="","",Settings!$B$13&amp;TEXT(ROWS($A$5:$A99),"0000"))</f>
        <v/>
      </c>
      <c r="P99" s="19" t="str">
        <f aca="false">IF($O99="","",IFERROR(INDEX(Invoices!$I$5:$I$504,MATCH($O99,Invoices!$A$5:$A$504,0)),""))</f>
        <v/>
      </c>
      <c r="Q99" s="2" t="str">
        <f aca="false">IF(AND($A99&lt;&gt;"",$B99&lt;&gt;"",$G99="Completed"),COUNTIFS($A$5:$A99,"&lt;&gt;",$B$5:$B99,"&lt;&gt;",$G$5:$G99,"Completed"),"")</f>
        <v/>
      </c>
    </row>
    <row r="100" customFormat="false" ht="15" hidden="false" customHeight="false" outlineLevel="0" collapsed="false">
      <c r="A100" s="16"/>
      <c r="B100" s="12"/>
      <c r="C100" s="17"/>
      <c r="D100" s="18"/>
      <c r="E100" s="13"/>
      <c r="F100" s="13"/>
      <c r="G100" s="12"/>
      <c r="H100" s="12"/>
      <c r="I100" s="19" t="str">
        <f aca="false">IF($B100="","",IFERROR(INDEX(Clients!$D$5:$D$204,MATCH($B100,Clients!$A$5:$A$204,0))&amp;"",""))</f>
        <v/>
      </c>
      <c r="J100" s="19" t="str">
        <f aca="false">IF($B100="","",IF($C100&lt;&gt;"",$C100,IFERROR(INDEX(Clients!$E$5:$E$204,MATCH($B100,Clients!$A$5:$A$204,0))&amp;"","")))</f>
        <v/>
      </c>
      <c r="K100" s="15" t="str">
        <f aca="false">IF($B100="","",IF($F100&lt;&gt;"",$F100,IFERROR(IF(AND(INDEX(Clients!$F$5:$F$204,MATCH($B100,Clients!$A$5:$A$204,0))&amp;""&lt;&gt;"",OR($C100="",$C100=INDEX(Clients!$E$5:$E$204,MATCH($B100,Clients!$A$5:$A$204,0)))),INDEX(Clients!$F$5:$F$204,MATCH($B100,Clients!$A$5:$A$204,0)),INDEX(Settings!$E$5:$E$19,MATCH($J100,Settings!$D$5:$D$19,0))),0)))</f>
        <v/>
      </c>
      <c r="L100" s="15" t="str">
        <f aca="false">IF($B100="","",$K100*IF($D100="",1,$D100)+$E100)</f>
        <v/>
      </c>
      <c r="M100" s="15" t="str">
        <f aca="false">IF($B100="","",ROUND($L100*Settings!$B$9,2))</f>
        <v/>
      </c>
      <c r="N100" s="15" t="str">
        <f aca="false">IF($B100="","",$L100+$M100)</f>
        <v/>
      </c>
      <c r="O100" s="19" t="str">
        <f aca="false">IF($Q100="","",Settings!$B$13&amp;TEXT(ROWS($A$5:$A100),"0000"))</f>
        <v/>
      </c>
      <c r="P100" s="19" t="str">
        <f aca="false">IF($O100="","",IFERROR(INDEX(Invoices!$I$5:$I$504,MATCH($O100,Invoices!$A$5:$A$504,0)),""))</f>
        <v/>
      </c>
      <c r="Q100" s="2" t="str">
        <f aca="false">IF(AND($A100&lt;&gt;"",$B100&lt;&gt;"",$G100="Completed"),COUNTIFS($A$5:$A100,"&lt;&gt;",$B$5:$B100,"&lt;&gt;",$G$5:$G100,"Completed"),"")</f>
        <v/>
      </c>
    </row>
    <row r="101" customFormat="false" ht="15" hidden="false" customHeight="false" outlineLevel="0" collapsed="false">
      <c r="A101" s="16"/>
      <c r="B101" s="12"/>
      <c r="C101" s="17"/>
      <c r="D101" s="18"/>
      <c r="E101" s="13"/>
      <c r="F101" s="13"/>
      <c r="G101" s="12"/>
      <c r="H101" s="12"/>
      <c r="I101" s="19" t="str">
        <f aca="false">IF($B101="","",IFERROR(INDEX(Clients!$D$5:$D$204,MATCH($B101,Clients!$A$5:$A$204,0))&amp;"",""))</f>
        <v/>
      </c>
      <c r="J101" s="19" t="str">
        <f aca="false">IF($B101="","",IF($C101&lt;&gt;"",$C101,IFERROR(INDEX(Clients!$E$5:$E$204,MATCH($B101,Clients!$A$5:$A$204,0))&amp;"","")))</f>
        <v/>
      </c>
      <c r="K101" s="15" t="str">
        <f aca="false">IF($B101="","",IF($F101&lt;&gt;"",$F101,IFERROR(IF(AND(INDEX(Clients!$F$5:$F$204,MATCH($B101,Clients!$A$5:$A$204,0))&amp;""&lt;&gt;"",OR($C101="",$C101=INDEX(Clients!$E$5:$E$204,MATCH($B101,Clients!$A$5:$A$204,0)))),INDEX(Clients!$F$5:$F$204,MATCH($B101,Clients!$A$5:$A$204,0)),INDEX(Settings!$E$5:$E$19,MATCH($J101,Settings!$D$5:$D$19,0))),0)))</f>
        <v/>
      </c>
      <c r="L101" s="15" t="str">
        <f aca="false">IF($B101="","",$K101*IF($D101="",1,$D101)+$E101)</f>
        <v/>
      </c>
      <c r="M101" s="15" t="str">
        <f aca="false">IF($B101="","",ROUND($L101*Settings!$B$9,2))</f>
        <v/>
      </c>
      <c r="N101" s="15" t="str">
        <f aca="false">IF($B101="","",$L101+$M101)</f>
        <v/>
      </c>
      <c r="O101" s="19" t="str">
        <f aca="false">IF($Q101="","",Settings!$B$13&amp;TEXT(ROWS($A$5:$A101),"0000"))</f>
        <v/>
      </c>
      <c r="P101" s="19" t="str">
        <f aca="false">IF($O101="","",IFERROR(INDEX(Invoices!$I$5:$I$504,MATCH($O101,Invoices!$A$5:$A$504,0)),""))</f>
        <v/>
      </c>
      <c r="Q101" s="2" t="str">
        <f aca="false">IF(AND($A101&lt;&gt;"",$B101&lt;&gt;"",$G101="Completed"),COUNTIFS($A$5:$A101,"&lt;&gt;",$B$5:$B101,"&lt;&gt;",$G$5:$G101,"Completed"),"")</f>
        <v/>
      </c>
    </row>
    <row r="102" customFormat="false" ht="15" hidden="false" customHeight="false" outlineLevel="0" collapsed="false">
      <c r="A102" s="16"/>
      <c r="B102" s="12"/>
      <c r="C102" s="17"/>
      <c r="D102" s="18"/>
      <c r="E102" s="13"/>
      <c r="F102" s="13"/>
      <c r="G102" s="12"/>
      <c r="H102" s="12"/>
      <c r="I102" s="19" t="str">
        <f aca="false">IF($B102="","",IFERROR(INDEX(Clients!$D$5:$D$204,MATCH($B102,Clients!$A$5:$A$204,0))&amp;"",""))</f>
        <v/>
      </c>
      <c r="J102" s="19" t="str">
        <f aca="false">IF($B102="","",IF($C102&lt;&gt;"",$C102,IFERROR(INDEX(Clients!$E$5:$E$204,MATCH($B102,Clients!$A$5:$A$204,0))&amp;"","")))</f>
        <v/>
      </c>
      <c r="K102" s="15" t="str">
        <f aca="false">IF($B102="","",IF($F102&lt;&gt;"",$F102,IFERROR(IF(AND(INDEX(Clients!$F$5:$F$204,MATCH($B102,Clients!$A$5:$A$204,0))&amp;""&lt;&gt;"",OR($C102="",$C102=INDEX(Clients!$E$5:$E$204,MATCH($B102,Clients!$A$5:$A$204,0)))),INDEX(Clients!$F$5:$F$204,MATCH($B102,Clients!$A$5:$A$204,0)),INDEX(Settings!$E$5:$E$19,MATCH($J102,Settings!$D$5:$D$19,0))),0)))</f>
        <v/>
      </c>
      <c r="L102" s="15" t="str">
        <f aca="false">IF($B102="","",$K102*IF($D102="",1,$D102)+$E102)</f>
        <v/>
      </c>
      <c r="M102" s="15" t="str">
        <f aca="false">IF($B102="","",ROUND($L102*Settings!$B$9,2))</f>
        <v/>
      </c>
      <c r="N102" s="15" t="str">
        <f aca="false">IF($B102="","",$L102+$M102)</f>
        <v/>
      </c>
      <c r="O102" s="19" t="str">
        <f aca="false">IF($Q102="","",Settings!$B$13&amp;TEXT(ROWS($A$5:$A102),"0000"))</f>
        <v/>
      </c>
      <c r="P102" s="19" t="str">
        <f aca="false">IF($O102="","",IFERROR(INDEX(Invoices!$I$5:$I$504,MATCH($O102,Invoices!$A$5:$A$504,0)),""))</f>
        <v/>
      </c>
      <c r="Q102" s="2" t="str">
        <f aca="false">IF(AND($A102&lt;&gt;"",$B102&lt;&gt;"",$G102="Completed"),COUNTIFS($A$5:$A102,"&lt;&gt;",$B$5:$B102,"&lt;&gt;",$G$5:$G102,"Completed"),"")</f>
        <v/>
      </c>
    </row>
    <row r="103" customFormat="false" ht="15" hidden="false" customHeight="false" outlineLevel="0" collapsed="false">
      <c r="A103" s="16"/>
      <c r="B103" s="12"/>
      <c r="C103" s="17"/>
      <c r="D103" s="18"/>
      <c r="E103" s="13"/>
      <c r="F103" s="13"/>
      <c r="G103" s="12"/>
      <c r="H103" s="12"/>
      <c r="I103" s="19" t="str">
        <f aca="false">IF($B103="","",IFERROR(INDEX(Clients!$D$5:$D$204,MATCH($B103,Clients!$A$5:$A$204,0))&amp;"",""))</f>
        <v/>
      </c>
      <c r="J103" s="19" t="str">
        <f aca="false">IF($B103="","",IF($C103&lt;&gt;"",$C103,IFERROR(INDEX(Clients!$E$5:$E$204,MATCH($B103,Clients!$A$5:$A$204,0))&amp;"","")))</f>
        <v/>
      </c>
      <c r="K103" s="15" t="str">
        <f aca="false">IF($B103="","",IF($F103&lt;&gt;"",$F103,IFERROR(IF(AND(INDEX(Clients!$F$5:$F$204,MATCH($B103,Clients!$A$5:$A$204,0))&amp;""&lt;&gt;"",OR($C103="",$C103=INDEX(Clients!$E$5:$E$204,MATCH($B103,Clients!$A$5:$A$204,0)))),INDEX(Clients!$F$5:$F$204,MATCH($B103,Clients!$A$5:$A$204,0)),INDEX(Settings!$E$5:$E$19,MATCH($J103,Settings!$D$5:$D$19,0))),0)))</f>
        <v/>
      </c>
      <c r="L103" s="15" t="str">
        <f aca="false">IF($B103="","",$K103*IF($D103="",1,$D103)+$E103)</f>
        <v/>
      </c>
      <c r="M103" s="15" t="str">
        <f aca="false">IF($B103="","",ROUND($L103*Settings!$B$9,2))</f>
        <v/>
      </c>
      <c r="N103" s="15" t="str">
        <f aca="false">IF($B103="","",$L103+$M103)</f>
        <v/>
      </c>
      <c r="O103" s="19" t="str">
        <f aca="false">IF($Q103="","",Settings!$B$13&amp;TEXT(ROWS($A$5:$A103),"0000"))</f>
        <v/>
      </c>
      <c r="P103" s="19" t="str">
        <f aca="false">IF($O103="","",IFERROR(INDEX(Invoices!$I$5:$I$504,MATCH($O103,Invoices!$A$5:$A$504,0)),""))</f>
        <v/>
      </c>
      <c r="Q103" s="2" t="str">
        <f aca="false">IF(AND($A103&lt;&gt;"",$B103&lt;&gt;"",$G103="Completed"),COUNTIFS($A$5:$A103,"&lt;&gt;",$B$5:$B103,"&lt;&gt;",$G$5:$G103,"Completed"),"")</f>
        <v/>
      </c>
    </row>
    <row r="104" customFormat="false" ht="15" hidden="false" customHeight="false" outlineLevel="0" collapsed="false">
      <c r="A104" s="16"/>
      <c r="B104" s="12"/>
      <c r="C104" s="17"/>
      <c r="D104" s="18"/>
      <c r="E104" s="13"/>
      <c r="F104" s="13"/>
      <c r="G104" s="12"/>
      <c r="H104" s="12"/>
      <c r="I104" s="19" t="str">
        <f aca="false">IF($B104="","",IFERROR(INDEX(Clients!$D$5:$D$204,MATCH($B104,Clients!$A$5:$A$204,0))&amp;"",""))</f>
        <v/>
      </c>
      <c r="J104" s="19" t="str">
        <f aca="false">IF($B104="","",IF($C104&lt;&gt;"",$C104,IFERROR(INDEX(Clients!$E$5:$E$204,MATCH($B104,Clients!$A$5:$A$204,0))&amp;"","")))</f>
        <v/>
      </c>
      <c r="K104" s="15" t="str">
        <f aca="false">IF($B104="","",IF($F104&lt;&gt;"",$F104,IFERROR(IF(AND(INDEX(Clients!$F$5:$F$204,MATCH($B104,Clients!$A$5:$A$204,0))&amp;""&lt;&gt;"",OR($C104="",$C104=INDEX(Clients!$E$5:$E$204,MATCH($B104,Clients!$A$5:$A$204,0)))),INDEX(Clients!$F$5:$F$204,MATCH($B104,Clients!$A$5:$A$204,0)),INDEX(Settings!$E$5:$E$19,MATCH($J104,Settings!$D$5:$D$19,0))),0)))</f>
        <v/>
      </c>
      <c r="L104" s="15" t="str">
        <f aca="false">IF($B104="","",$K104*IF($D104="",1,$D104)+$E104)</f>
        <v/>
      </c>
      <c r="M104" s="15" t="str">
        <f aca="false">IF($B104="","",ROUND($L104*Settings!$B$9,2))</f>
        <v/>
      </c>
      <c r="N104" s="15" t="str">
        <f aca="false">IF($B104="","",$L104+$M104)</f>
        <v/>
      </c>
      <c r="O104" s="19" t="str">
        <f aca="false">IF($Q104="","",Settings!$B$13&amp;TEXT(ROWS($A$5:$A104),"0000"))</f>
        <v/>
      </c>
      <c r="P104" s="19" t="str">
        <f aca="false">IF($O104="","",IFERROR(INDEX(Invoices!$I$5:$I$504,MATCH($O104,Invoices!$A$5:$A$504,0)),""))</f>
        <v/>
      </c>
      <c r="Q104" s="2" t="str">
        <f aca="false">IF(AND($A104&lt;&gt;"",$B104&lt;&gt;"",$G104="Completed"),COUNTIFS($A$5:$A104,"&lt;&gt;",$B$5:$B104,"&lt;&gt;",$G$5:$G104,"Completed"),"")</f>
        <v/>
      </c>
    </row>
    <row r="105" customFormat="false" ht="15" hidden="false" customHeight="false" outlineLevel="0" collapsed="false">
      <c r="A105" s="16"/>
      <c r="B105" s="12"/>
      <c r="C105" s="17"/>
      <c r="D105" s="18"/>
      <c r="E105" s="13"/>
      <c r="F105" s="13"/>
      <c r="G105" s="12"/>
      <c r="H105" s="12"/>
      <c r="I105" s="19" t="str">
        <f aca="false">IF($B105="","",IFERROR(INDEX(Clients!$D$5:$D$204,MATCH($B105,Clients!$A$5:$A$204,0))&amp;"",""))</f>
        <v/>
      </c>
      <c r="J105" s="19" t="str">
        <f aca="false">IF($B105="","",IF($C105&lt;&gt;"",$C105,IFERROR(INDEX(Clients!$E$5:$E$204,MATCH($B105,Clients!$A$5:$A$204,0))&amp;"","")))</f>
        <v/>
      </c>
      <c r="K105" s="15" t="str">
        <f aca="false">IF($B105="","",IF($F105&lt;&gt;"",$F105,IFERROR(IF(AND(INDEX(Clients!$F$5:$F$204,MATCH($B105,Clients!$A$5:$A$204,0))&amp;""&lt;&gt;"",OR($C105="",$C105=INDEX(Clients!$E$5:$E$204,MATCH($B105,Clients!$A$5:$A$204,0)))),INDEX(Clients!$F$5:$F$204,MATCH($B105,Clients!$A$5:$A$204,0)),INDEX(Settings!$E$5:$E$19,MATCH($J105,Settings!$D$5:$D$19,0))),0)))</f>
        <v/>
      </c>
      <c r="L105" s="15" t="str">
        <f aca="false">IF($B105="","",$K105*IF($D105="",1,$D105)+$E105)</f>
        <v/>
      </c>
      <c r="M105" s="15" t="str">
        <f aca="false">IF($B105="","",ROUND($L105*Settings!$B$9,2))</f>
        <v/>
      </c>
      <c r="N105" s="15" t="str">
        <f aca="false">IF($B105="","",$L105+$M105)</f>
        <v/>
      </c>
      <c r="O105" s="19" t="str">
        <f aca="false">IF($Q105="","",Settings!$B$13&amp;TEXT(ROWS($A$5:$A105),"0000"))</f>
        <v/>
      </c>
      <c r="P105" s="19" t="str">
        <f aca="false">IF($O105="","",IFERROR(INDEX(Invoices!$I$5:$I$504,MATCH($O105,Invoices!$A$5:$A$504,0)),""))</f>
        <v/>
      </c>
      <c r="Q105" s="2" t="str">
        <f aca="false">IF(AND($A105&lt;&gt;"",$B105&lt;&gt;"",$G105="Completed"),COUNTIFS($A$5:$A105,"&lt;&gt;",$B$5:$B105,"&lt;&gt;",$G$5:$G105,"Completed"),"")</f>
        <v/>
      </c>
    </row>
    <row r="106" customFormat="false" ht="15" hidden="false" customHeight="false" outlineLevel="0" collapsed="false">
      <c r="A106" s="16"/>
      <c r="B106" s="12"/>
      <c r="C106" s="17"/>
      <c r="D106" s="18"/>
      <c r="E106" s="13"/>
      <c r="F106" s="13"/>
      <c r="G106" s="12"/>
      <c r="H106" s="12"/>
      <c r="I106" s="19" t="str">
        <f aca="false">IF($B106="","",IFERROR(INDEX(Clients!$D$5:$D$204,MATCH($B106,Clients!$A$5:$A$204,0))&amp;"",""))</f>
        <v/>
      </c>
      <c r="J106" s="19" t="str">
        <f aca="false">IF($B106="","",IF($C106&lt;&gt;"",$C106,IFERROR(INDEX(Clients!$E$5:$E$204,MATCH($B106,Clients!$A$5:$A$204,0))&amp;"","")))</f>
        <v/>
      </c>
      <c r="K106" s="15" t="str">
        <f aca="false">IF($B106="","",IF($F106&lt;&gt;"",$F106,IFERROR(IF(AND(INDEX(Clients!$F$5:$F$204,MATCH($B106,Clients!$A$5:$A$204,0))&amp;""&lt;&gt;"",OR($C106="",$C106=INDEX(Clients!$E$5:$E$204,MATCH($B106,Clients!$A$5:$A$204,0)))),INDEX(Clients!$F$5:$F$204,MATCH($B106,Clients!$A$5:$A$204,0)),INDEX(Settings!$E$5:$E$19,MATCH($J106,Settings!$D$5:$D$19,0))),0)))</f>
        <v/>
      </c>
      <c r="L106" s="15" t="str">
        <f aca="false">IF($B106="","",$K106*IF($D106="",1,$D106)+$E106)</f>
        <v/>
      </c>
      <c r="M106" s="15" t="str">
        <f aca="false">IF($B106="","",ROUND($L106*Settings!$B$9,2))</f>
        <v/>
      </c>
      <c r="N106" s="15" t="str">
        <f aca="false">IF($B106="","",$L106+$M106)</f>
        <v/>
      </c>
      <c r="O106" s="19" t="str">
        <f aca="false">IF($Q106="","",Settings!$B$13&amp;TEXT(ROWS($A$5:$A106),"0000"))</f>
        <v/>
      </c>
      <c r="P106" s="19" t="str">
        <f aca="false">IF($O106="","",IFERROR(INDEX(Invoices!$I$5:$I$504,MATCH($O106,Invoices!$A$5:$A$504,0)),""))</f>
        <v/>
      </c>
      <c r="Q106" s="2" t="str">
        <f aca="false">IF(AND($A106&lt;&gt;"",$B106&lt;&gt;"",$G106="Completed"),COUNTIFS($A$5:$A106,"&lt;&gt;",$B$5:$B106,"&lt;&gt;",$G$5:$G106,"Completed"),"")</f>
        <v/>
      </c>
    </row>
    <row r="107" customFormat="false" ht="15" hidden="false" customHeight="false" outlineLevel="0" collapsed="false">
      <c r="A107" s="16"/>
      <c r="B107" s="12"/>
      <c r="C107" s="17"/>
      <c r="D107" s="18"/>
      <c r="E107" s="13"/>
      <c r="F107" s="13"/>
      <c r="G107" s="12"/>
      <c r="H107" s="12"/>
      <c r="I107" s="19" t="str">
        <f aca="false">IF($B107="","",IFERROR(INDEX(Clients!$D$5:$D$204,MATCH($B107,Clients!$A$5:$A$204,0))&amp;"",""))</f>
        <v/>
      </c>
      <c r="J107" s="19" t="str">
        <f aca="false">IF($B107="","",IF($C107&lt;&gt;"",$C107,IFERROR(INDEX(Clients!$E$5:$E$204,MATCH($B107,Clients!$A$5:$A$204,0))&amp;"","")))</f>
        <v/>
      </c>
      <c r="K107" s="15" t="str">
        <f aca="false">IF($B107="","",IF($F107&lt;&gt;"",$F107,IFERROR(IF(AND(INDEX(Clients!$F$5:$F$204,MATCH($B107,Clients!$A$5:$A$204,0))&amp;""&lt;&gt;"",OR($C107="",$C107=INDEX(Clients!$E$5:$E$204,MATCH($B107,Clients!$A$5:$A$204,0)))),INDEX(Clients!$F$5:$F$204,MATCH($B107,Clients!$A$5:$A$204,0)),INDEX(Settings!$E$5:$E$19,MATCH($J107,Settings!$D$5:$D$19,0))),0)))</f>
        <v/>
      </c>
      <c r="L107" s="15" t="str">
        <f aca="false">IF($B107="","",$K107*IF($D107="",1,$D107)+$E107)</f>
        <v/>
      </c>
      <c r="M107" s="15" t="str">
        <f aca="false">IF($B107="","",ROUND($L107*Settings!$B$9,2))</f>
        <v/>
      </c>
      <c r="N107" s="15" t="str">
        <f aca="false">IF($B107="","",$L107+$M107)</f>
        <v/>
      </c>
      <c r="O107" s="19" t="str">
        <f aca="false">IF($Q107="","",Settings!$B$13&amp;TEXT(ROWS($A$5:$A107),"0000"))</f>
        <v/>
      </c>
      <c r="P107" s="19" t="str">
        <f aca="false">IF($O107="","",IFERROR(INDEX(Invoices!$I$5:$I$504,MATCH($O107,Invoices!$A$5:$A$504,0)),""))</f>
        <v/>
      </c>
      <c r="Q107" s="2" t="str">
        <f aca="false">IF(AND($A107&lt;&gt;"",$B107&lt;&gt;"",$G107="Completed"),COUNTIFS($A$5:$A107,"&lt;&gt;",$B$5:$B107,"&lt;&gt;",$G$5:$G107,"Completed"),"")</f>
        <v/>
      </c>
    </row>
    <row r="108" customFormat="false" ht="15" hidden="false" customHeight="false" outlineLevel="0" collapsed="false">
      <c r="A108" s="16"/>
      <c r="B108" s="12"/>
      <c r="C108" s="17"/>
      <c r="D108" s="18"/>
      <c r="E108" s="13"/>
      <c r="F108" s="13"/>
      <c r="G108" s="12"/>
      <c r="H108" s="12"/>
      <c r="I108" s="19" t="str">
        <f aca="false">IF($B108="","",IFERROR(INDEX(Clients!$D$5:$D$204,MATCH($B108,Clients!$A$5:$A$204,0))&amp;"",""))</f>
        <v/>
      </c>
      <c r="J108" s="19" t="str">
        <f aca="false">IF($B108="","",IF($C108&lt;&gt;"",$C108,IFERROR(INDEX(Clients!$E$5:$E$204,MATCH($B108,Clients!$A$5:$A$204,0))&amp;"","")))</f>
        <v/>
      </c>
      <c r="K108" s="15" t="str">
        <f aca="false">IF($B108="","",IF($F108&lt;&gt;"",$F108,IFERROR(IF(AND(INDEX(Clients!$F$5:$F$204,MATCH($B108,Clients!$A$5:$A$204,0))&amp;""&lt;&gt;"",OR($C108="",$C108=INDEX(Clients!$E$5:$E$204,MATCH($B108,Clients!$A$5:$A$204,0)))),INDEX(Clients!$F$5:$F$204,MATCH($B108,Clients!$A$5:$A$204,0)),INDEX(Settings!$E$5:$E$19,MATCH($J108,Settings!$D$5:$D$19,0))),0)))</f>
        <v/>
      </c>
      <c r="L108" s="15" t="str">
        <f aca="false">IF($B108="","",$K108*IF($D108="",1,$D108)+$E108)</f>
        <v/>
      </c>
      <c r="M108" s="15" t="str">
        <f aca="false">IF($B108="","",ROUND($L108*Settings!$B$9,2))</f>
        <v/>
      </c>
      <c r="N108" s="15" t="str">
        <f aca="false">IF($B108="","",$L108+$M108)</f>
        <v/>
      </c>
      <c r="O108" s="19" t="str">
        <f aca="false">IF($Q108="","",Settings!$B$13&amp;TEXT(ROWS($A$5:$A108),"0000"))</f>
        <v/>
      </c>
      <c r="P108" s="19" t="str">
        <f aca="false">IF($O108="","",IFERROR(INDEX(Invoices!$I$5:$I$504,MATCH($O108,Invoices!$A$5:$A$504,0)),""))</f>
        <v/>
      </c>
      <c r="Q108" s="2" t="str">
        <f aca="false">IF(AND($A108&lt;&gt;"",$B108&lt;&gt;"",$G108="Completed"),COUNTIFS($A$5:$A108,"&lt;&gt;",$B$5:$B108,"&lt;&gt;",$G$5:$G108,"Completed"),"")</f>
        <v/>
      </c>
    </row>
    <row r="109" customFormat="false" ht="15" hidden="false" customHeight="false" outlineLevel="0" collapsed="false">
      <c r="A109" s="16"/>
      <c r="B109" s="12"/>
      <c r="C109" s="17"/>
      <c r="D109" s="18"/>
      <c r="E109" s="13"/>
      <c r="F109" s="13"/>
      <c r="G109" s="12"/>
      <c r="H109" s="12"/>
      <c r="I109" s="19" t="str">
        <f aca="false">IF($B109="","",IFERROR(INDEX(Clients!$D$5:$D$204,MATCH($B109,Clients!$A$5:$A$204,0))&amp;"",""))</f>
        <v/>
      </c>
      <c r="J109" s="19" t="str">
        <f aca="false">IF($B109="","",IF($C109&lt;&gt;"",$C109,IFERROR(INDEX(Clients!$E$5:$E$204,MATCH($B109,Clients!$A$5:$A$204,0))&amp;"","")))</f>
        <v/>
      </c>
      <c r="K109" s="15" t="str">
        <f aca="false">IF($B109="","",IF($F109&lt;&gt;"",$F109,IFERROR(IF(AND(INDEX(Clients!$F$5:$F$204,MATCH($B109,Clients!$A$5:$A$204,0))&amp;""&lt;&gt;"",OR($C109="",$C109=INDEX(Clients!$E$5:$E$204,MATCH($B109,Clients!$A$5:$A$204,0)))),INDEX(Clients!$F$5:$F$204,MATCH($B109,Clients!$A$5:$A$204,0)),INDEX(Settings!$E$5:$E$19,MATCH($J109,Settings!$D$5:$D$19,0))),0)))</f>
        <v/>
      </c>
      <c r="L109" s="15" t="str">
        <f aca="false">IF($B109="","",$K109*IF($D109="",1,$D109)+$E109)</f>
        <v/>
      </c>
      <c r="M109" s="15" t="str">
        <f aca="false">IF($B109="","",ROUND($L109*Settings!$B$9,2))</f>
        <v/>
      </c>
      <c r="N109" s="15" t="str">
        <f aca="false">IF($B109="","",$L109+$M109)</f>
        <v/>
      </c>
      <c r="O109" s="19" t="str">
        <f aca="false">IF($Q109="","",Settings!$B$13&amp;TEXT(ROWS($A$5:$A109),"0000"))</f>
        <v/>
      </c>
      <c r="P109" s="19" t="str">
        <f aca="false">IF($O109="","",IFERROR(INDEX(Invoices!$I$5:$I$504,MATCH($O109,Invoices!$A$5:$A$504,0)),""))</f>
        <v/>
      </c>
      <c r="Q109" s="2" t="str">
        <f aca="false">IF(AND($A109&lt;&gt;"",$B109&lt;&gt;"",$G109="Completed"),COUNTIFS($A$5:$A109,"&lt;&gt;",$B$5:$B109,"&lt;&gt;",$G$5:$G109,"Completed"),"")</f>
        <v/>
      </c>
    </row>
    <row r="110" customFormat="false" ht="15" hidden="false" customHeight="false" outlineLevel="0" collapsed="false">
      <c r="A110" s="16"/>
      <c r="B110" s="12"/>
      <c r="C110" s="17"/>
      <c r="D110" s="18"/>
      <c r="E110" s="13"/>
      <c r="F110" s="13"/>
      <c r="G110" s="12"/>
      <c r="H110" s="12"/>
      <c r="I110" s="19" t="str">
        <f aca="false">IF($B110="","",IFERROR(INDEX(Clients!$D$5:$D$204,MATCH($B110,Clients!$A$5:$A$204,0))&amp;"",""))</f>
        <v/>
      </c>
      <c r="J110" s="19" t="str">
        <f aca="false">IF($B110="","",IF($C110&lt;&gt;"",$C110,IFERROR(INDEX(Clients!$E$5:$E$204,MATCH($B110,Clients!$A$5:$A$204,0))&amp;"","")))</f>
        <v/>
      </c>
      <c r="K110" s="15" t="str">
        <f aca="false">IF($B110="","",IF($F110&lt;&gt;"",$F110,IFERROR(IF(AND(INDEX(Clients!$F$5:$F$204,MATCH($B110,Clients!$A$5:$A$204,0))&amp;""&lt;&gt;"",OR($C110="",$C110=INDEX(Clients!$E$5:$E$204,MATCH($B110,Clients!$A$5:$A$204,0)))),INDEX(Clients!$F$5:$F$204,MATCH($B110,Clients!$A$5:$A$204,0)),INDEX(Settings!$E$5:$E$19,MATCH($J110,Settings!$D$5:$D$19,0))),0)))</f>
        <v/>
      </c>
      <c r="L110" s="15" t="str">
        <f aca="false">IF($B110="","",$K110*IF($D110="",1,$D110)+$E110)</f>
        <v/>
      </c>
      <c r="M110" s="15" t="str">
        <f aca="false">IF($B110="","",ROUND($L110*Settings!$B$9,2))</f>
        <v/>
      </c>
      <c r="N110" s="15" t="str">
        <f aca="false">IF($B110="","",$L110+$M110)</f>
        <v/>
      </c>
      <c r="O110" s="19" t="str">
        <f aca="false">IF($Q110="","",Settings!$B$13&amp;TEXT(ROWS($A$5:$A110),"0000"))</f>
        <v/>
      </c>
      <c r="P110" s="19" t="str">
        <f aca="false">IF($O110="","",IFERROR(INDEX(Invoices!$I$5:$I$504,MATCH($O110,Invoices!$A$5:$A$504,0)),""))</f>
        <v/>
      </c>
      <c r="Q110" s="2" t="str">
        <f aca="false">IF(AND($A110&lt;&gt;"",$B110&lt;&gt;"",$G110="Completed"),COUNTIFS($A$5:$A110,"&lt;&gt;",$B$5:$B110,"&lt;&gt;",$G$5:$G110,"Completed"),"")</f>
        <v/>
      </c>
    </row>
    <row r="111" customFormat="false" ht="15" hidden="false" customHeight="false" outlineLevel="0" collapsed="false">
      <c r="A111" s="16"/>
      <c r="B111" s="12"/>
      <c r="C111" s="17"/>
      <c r="D111" s="18"/>
      <c r="E111" s="13"/>
      <c r="F111" s="13"/>
      <c r="G111" s="12"/>
      <c r="H111" s="12"/>
      <c r="I111" s="19" t="str">
        <f aca="false">IF($B111="","",IFERROR(INDEX(Clients!$D$5:$D$204,MATCH($B111,Clients!$A$5:$A$204,0))&amp;"",""))</f>
        <v/>
      </c>
      <c r="J111" s="19" t="str">
        <f aca="false">IF($B111="","",IF($C111&lt;&gt;"",$C111,IFERROR(INDEX(Clients!$E$5:$E$204,MATCH($B111,Clients!$A$5:$A$204,0))&amp;"","")))</f>
        <v/>
      </c>
      <c r="K111" s="15" t="str">
        <f aca="false">IF($B111="","",IF($F111&lt;&gt;"",$F111,IFERROR(IF(AND(INDEX(Clients!$F$5:$F$204,MATCH($B111,Clients!$A$5:$A$204,0))&amp;""&lt;&gt;"",OR($C111="",$C111=INDEX(Clients!$E$5:$E$204,MATCH($B111,Clients!$A$5:$A$204,0)))),INDEX(Clients!$F$5:$F$204,MATCH($B111,Clients!$A$5:$A$204,0)),INDEX(Settings!$E$5:$E$19,MATCH($J111,Settings!$D$5:$D$19,0))),0)))</f>
        <v/>
      </c>
      <c r="L111" s="15" t="str">
        <f aca="false">IF($B111="","",$K111*IF($D111="",1,$D111)+$E111)</f>
        <v/>
      </c>
      <c r="M111" s="15" t="str">
        <f aca="false">IF($B111="","",ROUND($L111*Settings!$B$9,2))</f>
        <v/>
      </c>
      <c r="N111" s="15" t="str">
        <f aca="false">IF($B111="","",$L111+$M111)</f>
        <v/>
      </c>
      <c r="O111" s="19" t="str">
        <f aca="false">IF($Q111="","",Settings!$B$13&amp;TEXT(ROWS($A$5:$A111),"0000"))</f>
        <v/>
      </c>
      <c r="P111" s="19" t="str">
        <f aca="false">IF($O111="","",IFERROR(INDEX(Invoices!$I$5:$I$504,MATCH($O111,Invoices!$A$5:$A$504,0)),""))</f>
        <v/>
      </c>
      <c r="Q111" s="2" t="str">
        <f aca="false">IF(AND($A111&lt;&gt;"",$B111&lt;&gt;"",$G111="Completed"),COUNTIFS($A$5:$A111,"&lt;&gt;",$B$5:$B111,"&lt;&gt;",$G$5:$G111,"Completed"),"")</f>
        <v/>
      </c>
    </row>
    <row r="112" customFormat="false" ht="15" hidden="false" customHeight="false" outlineLevel="0" collapsed="false">
      <c r="A112" s="16"/>
      <c r="B112" s="12"/>
      <c r="C112" s="17"/>
      <c r="D112" s="18"/>
      <c r="E112" s="13"/>
      <c r="F112" s="13"/>
      <c r="G112" s="12"/>
      <c r="H112" s="12"/>
      <c r="I112" s="19" t="str">
        <f aca="false">IF($B112="","",IFERROR(INDEX(Clients!$D$5:$D$204,MATCH($B112,Clients!$A$5:$A$204,0))&amp;"",""))</f>
        <v/>
      </c>
      <c r="J112" s="19" t="str">
        <f aca="false">IF($B112="","",IF($C112&lt;&gt;"",$C112,IFERROR(INDEX(Clients!$E$5:$E$204,MATCH($B112,Clients!$A$5:$A$204,0))&amp;"","")))</f>
        <v/>
      </c>
      <c r="K112" s="15" t="str">
        <f aca="false">IF($B112="","",IF($F112&lt;&gt;"",$F112,IFERROR(IF(AND(INDEX(Clients!$F$5:$F$204,MATCH($B112,Clients!$A$5:$A$204,0))&amp;""&lt;&gt;"",OR($C112="",$C112=INDEX(Clients!$E$5:$E$204,MATCH($B112,Clients!$A$5:$A$204,0)))),INDEX(Clients!$F$5:$F$204,MATCH($B112,Clients!$A$5:$A$204,0)),INDEX(Settings!$E$5:$E$19,MATCH($J112,Settings!$D$5:$D$19,0))),0)))</f>
        <v/>
      </c>
      <c r="L112" s="15" t="str">
        <f aca="false">IF($B112="","",$K112*IF($D112="",1,$D112)+$E112)</f>
        <v/>
      </c>
      <c r="M112" s="15" t="str">
        <f aca="false">IF($B112="","",ROUND($L112*Settings!$B$9,2))</f>
        <v/>
      </c>
      <c r="N112" s="15" t="str">
        <f aca="false">IF($B112="","",$L112+$M112)</f>
        <v/>
      </c>
      <c r="O112" s="19" t="str">
        <f aca="false">IF($Q112="","",Settings!$B$13&amp;TEXT(ROWS($A$5:$A112),"0000"))</f>
        <v/>
      </c>
      <c r="P112" s="19" t="str">
        <f aca="false">IF($O112="","",IFERROR(INDEX(Invoices!$I$5:$I$504,MATCH($O112,Invoices!$A$5:$A$504,0)),""))</f>
        <v/>
      </c>
      <c r="Q112" s="2" t="str">
        <f aca="false">IF(AND($A112&lt;&gt;"",$B112&lt;&gt;"",$G112="Completed"),COUNTIFS($A$5:$A112,"&lt;&gt;",$B$5:$B112,"&lt;&gt;",$G$5:$G112,"Completed"),"")</f>
        <v/>
      </c>
    </row>
    <row r="113" customFormat="false" ht="15" hidden="false" customHeight="false" outlineLevel="0" collapsed="false">
      <c r="A113" s="16"/>
      <c r="B113" s="12"/>
      <c r="C113" s="17"/>
      <c r="D113" s="18"/>
      <c r="E113" s="13"/>
      <c r="F113" s="13"/>
      <c r="G113" s="12"/>
      <c r="H113" s="12"/>
      <c r="I113" s="19" t="str">
        <f aca="false">IF($B113="","",IFERROR(INDEX(Clients!$D$5:$D$204,MATCH($B113,Clients!$A$5:$A$204,0))&amp;"",""))</f>
        <v/>
      </c>
      <c r="J113" s="19" t="str">
        <f aca="false">IF($B113="","",IF($C113&lt;&gt;"",$C113,IFERROR(INDEX(Clients!$E$5:$E$204,MATCH($B113,Clients!$A$5:$A$204,0))&amp;"","")))</f>
        <v/>
      </c>
      <c r="K113" s="15" t="str">
        <f aca="false">IF($B113="","",IF($F113&lt;&gt;"",$F113,IFERROR(IF(AND(INDEX(Clients!$F$5:$F$204,MATCH($B113,Clients!$A$5:$A$204,0))&amp;""&lt;&gt;"",OR($C113="",$C113=INDEX(Clients!$E$5:$E$204,MATCH($B113,Clients!$A$5:$A$204,0)))),INDEX(Clients!$F$5:$F$204,MATCH($B113,Clients!$A$5:$A$204,0)),INDEX(Settings!$E$5:$E$19,MATCH($J113,Settings!$D$5:$D$19,0))),0)))</f>
        <v/>
      </c>
      <c r="L113" s="15" t="str">
        <f aca="false">IF($B113="","",$K113*IF($D113="",1,$D113)+$E113)</f>
        <v/>
      </c>
      <c r="M113" s="15" t="str">
        <f aca="false">IF($B113="","",ROUND($L113*Settings!$B$9,2))</f>
        <v/>
      </c>
      <c r="N113" s="15" t="str">
        <f aca="false">IF($B113="","",$L113+$M113)</f>
        <v/>
      </c>
      <c r="O113" s="19" t="str">
        <f aca="false">IF($Q113="","",Settings!$B$13&amp;TEXT(ROWS($A$5:$A113),"0000"))</f>
        <v/>
      </c>
      <c r="P113" s="19" t="str">
        <f aca="false">IF($O113="","",IFERROR(INDEX(Invoices!$I$5:$I$504,MATCH($O113,Invoices!$A$5:$A$504,0)),""))</f>
        <v/>
      </c>
      <c r="Q113" s="2" t="str">
        <f aca="false">IF(AND($A113&lt;&gt;"",$B113&lt;&gt;"",$G113="Completed"),COUNTIFS($A$5:$A113,"&lt;&gt;",$B$5:$B113,"&lt;&gt;",$G$5:$G113,"Completed"),"")</f>
        <v/>
      </c>
    </row>
    <row r="114" customFormat="false" ht="15" hidden="false" customHeight="false" outlineLevel="0" collapsed="false">
      <c r="A114" s="16"/>
      <c r="B114" s="12"/>
      <c r="C114" s="17"/>
      <c r="D114" s="18"/>
      <c r="E114" s="13"/>
      <c r="F114" s="13"/>
      <c r="G114" s="12"/>
      <c r="H114" s="12"/>
      <c r="I114" s="19" t="str">
        <f aca="false">IF($B114="","",IFERROR(INDEX(Clients!$D$5:$D$204,MATCH($B114,Clients!$A$5:$A$204,0))&amp;"",""))</f>
        <v/>
      </c>
      <c r="J114" s="19" t="str">
        <f aca="false">IF($B114="","",IF($C114&lt;&gt;"",$C114,IFERROR(INDEX(Clients!$E$5:$E$204,MATCH($B114,Clients!$A$5:$A$204,0))&amp;"","")))</f>
        <v/>
      </c>
      <c r="K114" s="15" t="str">
        <f aca="false">IF($B114="","",IF($F114&lt;&gt;"",$F114,IFERROR(IF(AND(INDEX(Clients!$F$5:$F$204,MATCH($B114,Clients!$A$5:$A$204,0))&amp;""&lt;&gt;"",OR($C114="",$C114=INDEX(Clients!$E$5:$E$204,MATCH($B114,Clients!$A$5:$A$204,0)))),INDEX(Clients!$F$5:$F$204,MATCH($B114,Clients!$A$5:$A$204,0)),INDEX(Settings!$E$5:$E$19,MATCH($J114,Settings!$D$5:$D$19,0))),0)))</f>
        <v/>
      </c>
      <c r="L114" s="15" t="str">
        <f aca="false">IF($B114="","",$K114*IF($D114="",1,$D114)+$E114)</f>
        <v/>
      </c>
      <c r="M114" s="15" t="str">
        <f aca="false">IF($B114="","",ROUND($L114*Settings!$B$9,2))</f>
        <v/>
      </c>
      <c r="N114" s="15" t="str">
        <f aca="false">IF($B114="","",$L114+$M114)</f>
        <v/>
      </c>
      <c r="O114" s="19" t="str">
        <f aca="false">IF($Q114="","",Settings!$B$13&amp;TEXT(ROWS($A$5:$A114),"0000"))</f>
        <v/>
      </c>
      <c r="P114" s="19" t="str">
        <f aca="false">IF($O114="","",IFERROR(INDEX(Invoices!$I$5:$I$504,MATCH($O114,Invoices!$A$5:$A$504,0)),""))</f>
        <v/>
      </c>
      <c r="Q114" s="2" t="str">
        <f aca="false">IF(AND($A114&lt;&gt;"",$B114&lt;&gt;"",$G114="Completed"),COUNTIFS($A$5:$A114,"&lt;&gt;",$B$5:$B114,"&lt;&gt;",$G$5:$G114,"Completed"),"")</f>
        <v/>
      </c>
    </row>
    <row r="115" customFormat="false" ht="15" hidden="false" customHeight="false" outlineLevel="0" collapsed="false">
      <c r="A115" s="16"/>
      <c r="B115" s="12"/>
      <c r="C115" s="17"/>
      <c r="D115" s="18"/>
      <c r="E115" s="13"/>
      <c r="F115" s="13"/>
      <c r="G115" s="12"/>
      <c r="H115" s="12"/>
      <c r="I115" s="19" t="str">
        <f aca="false">IF($B115="","",IFERROR(INDEX(Clients!$D$5:$D$204,MATCH($B115,Clients!$A$5:$A$204,0))&amp;"",""))</f>
        <v/>
      </c>
      <c r="J115" s="19" t="str">
        <f aca="false">IF($B115="","",IF($C115&lt;&gt;"",$C115,IFERROR(INDEX(Clients!$E$5:$E$204,MATCH($B115,Clients!$A$5:$A$204,0))&amp;"","")))</f>
        <v/>
      </c>
      <c r="K115" s="15" t="str">
        <f aca="false">IF($B115="","",IF($F115&lt;&gt;"",$F115,IFERROR(IF(AND(INDEX(Clients!$F$5:$F$204,MATCH($B115,Clients!$A$5:$A$204,0))&amp;""&lt;&gt;"",OR($C115="",$C115=INDEX(Clients!$E$5:$E$204,MATCH($B115,Clients!$A$5:$A$204,0)))),INDEX(Clients!$F$5:$F$204,MATCH($B115,Clients!$A$5:$A$204,0)),INDEX(Settings!$E$5:$E$19,MATCH($J115,Settings!$D$5:$D$19,0))),0)))</f>
        <v/>
      </c>
      <c r="L115" s="15" t="str">
        <f aca="false">IF($B115="","",$K115*IF($D115="",1,$D115)+$E115)</f>
        <v/>
      </c>
      <c r="M115" s="15" t="str">
        <f aca="false">IF($B115="","",ROUND($L115*Settings!$B$9,2))</f>
        <v/>
      </c>
      <c r="N115" s="15" t="str">
        <f aca="false">IF($B115="","",$L115+$M115)</f>
        <v/>
      </c>
      <c r="O115" s="19" t="str">
        <f aca="false">IF($Q115="","",Settings!$B$13&amp;TEXT(ROWS($A$5:$A115),"0000"))</f>
        <v/>
      </c>
      <c r="P115" s="19" t="str">
        <f aca="false">IF($O115="","",IFERROR(INDEX(Invoices!$I$5:$I$504,MATCH($O115,Invoices!$A$5:$A$504,0)),""))</f>
        <v/>
      </c>
      <c r="Q115" s="2" t="str">
        <f aca="false">IF(AND($A115&lt;&gt;"",$B115&lt;&gt;"",$G115="Completed"),COUNTIFS($A$5:$A115,"&lt;&gt;",$B$5:$B115,"&lt;&gt;",$G$5:$G115,"Completed"),"")</f>
        <v/>
      </c>
    </row>
    <row r="116" customFormat="false" ht="15" hidden="false" customHeight="false" outlineLevel="0" collapsed="false">
      <c r="A116" s="16"/>
      <c r="B116" s="12"/>
      <c r="C116" s="17"/>
      <c r="D116" s="18"/>
      <c r="E116" s="13"/>
      <c r="F116" s="13"/>
      <c r="G116" s="12"/>
      <c r="H116" s="12"/>
      <c r="I116" s="19" t="str">
        <f aca="false">IF($B116="","",IFERROR(INDEX(Clients!$D$5:$D$204,MATCH($B116,Clients!$A$5:$A$204,0))&amp;"",""))</f>
        <v/>
      </c>
      <c r="J116" s="19" t="str">
        <f aca="false">IF($B116="","",IF($C116&lt;&gt;"",$C116,IFERROR(INDEX(Clients!$E$5:$E$204,MATCH($B116,Clients!$A$5:$A$204,0))&amp;"","")))</f>
        <v/>
      </c>
      <c r="K116" s="15" t="str">
        <f aca="false">IF($B116="","",IF($F116&lt;&gt;"",$F116,IFERROR(IF(AND(INDEX(Clients!$F$5:$F$204,MATCH($B116,Clients!$A$5:$A$204,0))&amp;""&lt;&gt;"",OR($C116="",$C116=INDEX(Clients!$E$5:$E$204,MATCH($B116,Clients!$A$5:$A$204,0)))),INDEX(Clients!$F$5:$F$204,MATCH($B116,Clients!$A$5:$A$204,0)),INDEX(Settings!$E$5:$E$19,MATCH($J116,Settings!$D$5:$D$19,0))),0)))</f>
        <v/>
      </c>
      <c r="L116" s="15" t="str">
        <f aca="false">IF($B116="","",$K116*IF($D116="",1,$D116)+$E116)</f>
        <v/>
      </c>
      <c r="M116" s="15" t="str">
        <f aca="false">IF($B116="","",ROUND($L116*Settings!$B$9,2))</f>
        <v/>
      </c>
      <c r="N116" s="15" t="str">
        <f aca="false">IF($B116="","",$L116+$M116)</f>
        <v/>
      </c>
      <c r="O116" s="19" t="str">
        <f aca="false">IF($Q116="","",Settings!$B$13&amp;TEXT(ROWS($A$5:$A116),"0000"))</f>
        <v/>
      </c>
      <c r="P116" s="19" t="str">
        <f aca="false">IF($O116="","",IFERROR(INDEX(Invoices!$I$5:$I$504,MATCH($O116,Invoices!$A$5:$A$504,0)),""))</f>
        <v/>
      </c>
      <c r="Q116" s="2" t="str">
        <f aca="false">IF(AND($A116&lt;&gt;"",$B116&lt;&gt;"",$G116="Completed"),COUNTIFS($A$5:$A116,"&lt;&gt;",$B$5:$B116,"&lt;&gt;",$G$5:$G116,"Completed"),"")</f>
        <v/>
      </c>
    </row>
    <row r="117" customFormat="false" ht="15" hidden="false" customHeight="false" outlineLevel="0" collapsed="false">
      <c r="A117" s="16"/>
      <c r="B117" s="12"/>
      <c r="C117" s="17"/>
      <c r="D117" s="18"/>
      <c r="E117" s="13"/>
      <c r="F117" s="13"/>
      <c r="G117" s="12"/>
      <c r="H117" s="12"/>
      <c r="I117" s="19" t="str">
        <f aca="false">IF($B117="","",IFERROR(INDEX(Clients!$D$5:$D$204,MATCH($B117,Clients!$A$5:$A$204,0))&amp;"",""))</f>
        <v/>
      </c>
      <c r="J117" s="19" t="str">
        <f aca="false">IF($B117="","",IF($C117&lt;&gt;"",$C117,IFERROR(INDEX(Clients!$E$5:$E$204,MATCH($B117,Clients!$A$5:$A$204,0))&amp;"","")))</f>
        <v/>
      </c>
      <c r="K117" s="15" t="str">
        <f aca="false">IF($B117="","",IF($F117&lt;&gt;"",$F117,IFERROR(IF(AND(INDEX(Clients!$F$5:$F$204,MATCH($B117,Clients!$A$5:$A$204,0))&amp;""&lt;&gt;"",OR($C117="",$C117=INDEX(Clients!$E$5:$E$204,MATCH($B117,Clients!$A$5:$A$204,0)))),INDEX(Clients!$F$5:$F$204,MATCH($B117,Clients!$A$5:$A$204,0)),INDEX(Settings!$E$5:$E$19,MATCH($J117,Settings!$D$5:$D$19,0))),0)))</f>
        <v/>
      </c>
      <c r="L117" s="15" t="str">
        <f aca="false">IF($B117="","",$K117*IF($D117="",1,$D117)+$E117)</f>
        <v/>
      </c>
      <c r="M117" s="15" t="str">
        <f aca="false">IF($B117="","",ROUND($L117*Settings!$B$9,2))</f>
        <v/>
      </c>
      <c r="N117" s="15" t="str">
        <f aca="false">IF($B117="","",$L117+$M117)</f>
        <v/>
      </c>
      <c r="O117" s="19" t="str">
        <f aca="false">IF($Q117="","",Settings!$B$13&amp;TEXT(ROWS($A$5:$A117),"0000"))</f>
        <v/>
      </c>
      <c r="P117" s="19" t="str">
        <f aca="false">IF($O117="","",IFERROR(INDEX(Invoices!$I$5:$I$504,MATCH($O117,Invoices!$A$5:$A$504,0)),""))</f>
        <v/>
      </c>
      <c r="Q117" s="2" t="str">
        <f aca="false">IF(AND($A117&lt;&gt;"",$B117&lt;&gt;"",$G117="Completed"),COUNTIFS($A$5:$A117,"&lt;&gt;",$B$5:$B117,"&lt;&gt;",$G$5:$G117,"Completed"),"")</f>
        <v/>
      </c>
    </row>
    <row r="118" customFormat="false" ht="15" hidden="false" customHeight="false" outlineLevel="0" collapsed="false">
      <c r="A118" s="16"/>
      <c r="B118" s="12"/>
      <c r="C118" s="17"/>
      <c r="D118" s="18"/>
      <c r="E118" s="13"/>
      <c r="F118" s="13"/>
      <c r="G118" s="12"/>
      <c r="H118" s="12"/>
      <c r="I118" s="19" t="str">
        <f aca="false">IF($B118="","",IFERROR(INDEX(Clients!$D$5:$D$204,MATCH($B118,Clients!$A$5:$A$204,0))&amp;"",""))</f>
        <v/>
      </c>
      <c r="J118" s="19" t="str">
        <f aca="false">IF($B118="","",IF($C118&lt;&gt;"",$C118,IFERROR(INDEX(Clients!$E$5:$E$204,MATCH($B118,Clients!$A$5:$A$204,0))&amp;"","")))</f>
        <v/>
      </c>
      <c r="K118" s="15" t="str">
        <f aca="false">IF($B118="","",IF($F118&lt;&gt;"",$F118,IFERROR(IF(AND(INDEX(Clients!$F$5:$F$204,MATCH($B118,Clients!$A$5:$A$204,0))&amp;""&lt;&gt;"",OR($C118="",$C118=INDEX(Clients!$E$5:$E$204,MATCH($B118,Clients!$A$5:$A$204,0)))),INDEX(Clients!$F$5:$F$204,MATCH($B118,Clients!$A$5:$A$204,0)),INDEX(Settings!$E$5:$E$19,MATCH($J118,Settings!$D$5:$D$19,0))),0)))</f>
        <v/>
      </c>
      <c r="L118" s="15" t="str">
        <f aca="false">IF($B118="","",$K118*IF($D118="",1,$D118)+$E118)</f>
        <v/>
      </c>
      <c r="M118" s="15" t="str">
        <f aca="false">IF($B118="","",ROUND($L118*Settings!$B$9,2))</f>
        <v/>
      </c>
      <c r="N118" s="15" t="str">
        <f aca="false">IF($B118="","",$L118+$M118)</f>
        <v/>
      </c>
      <c r="O118" s="19" t="str">
        <f aca="false">IF($Q118="","",Settings!$B$13&amp;TEXT(ROWS($A$5:$A118),"0000"))</f>
        <v/>
      </c>
      <c r="P118" s="19" t="str">
        <f aca="false">IF($O118="","",IFERROR(INDEX(Invoices!$I$5:$I$504,MATCH($O118,Invoices!$A$5:$A$504,0)),""))</f>
        <v/>
      </c>
      <c r="Q118" s="2" t="str">
        <f aca="false">IF(AND($A118&lt;&gt;"",$B118&lt;&gt;"",$G118="Completed"),COUNTIFS($A$5:$A118,"&lt;&gt;",$B$5:$B118,"&lt;&gt;",$G$5:$G118,"Completed"),"")</f>
        <v/>
      </c>
    </row>
    <row r="119" customFormat="false" ht="15" hidden="false" customHeight="false" outlineLevel="0" collapsed="false">
      <c r="A119" s="16"/>
      <c r="B119" s="12"/>
      <c r="C119" s="17"/>
      <c r="D119" s="18"/>
      <c r="E119" s="13"/>
      <c r="F119" s="13"/>
      <c r="G119" s="12"/>
      <c r="H119" s="12"/>
      <c r="I119" s="19" t="str">
        <f aca="false">IF($B119="","",IFERROR(INDEX(Clients!$D$5:$D$204,MATCH($B119,Clients!$A$5:$A$204,0))&amp;"",""))</f>
        <v/>
      </c>
      <c r="J119" s="19" t="str">
        <f aca="false">IF($B119="","",IF($C119&lt;&gt;"",$C119,IFERROR(INDEX(Clients!$E$5:$E$204,MATCH($B119,Clients!$A$5:$A$204,0))&amp;"","")))</f>
        <v/>
      </c>
      <c r="K119" s="15" t="str">
        <f aca="false">IF($B119="","",IF($F119&lt;&gt;"",$F119,IFERROR(IF(AND(INDEX(Clients!$F$5:$F$204,MATCH($B119,Clients!$A$5:$A$204,0))&amp;""&lt;&gt;"",OR($C119="",$C119=INDEX(Clients!$E$5:$E$204,MATCH($B119,Clients!$A$5:$A$204,0)))),INDEX(Clients!$F$5:$F$204,MATCH($B119,Clients!$A$5:$A$204,0)),INDEX(Settings!$E$5:$E$19,MATCH($J119,Settings!$D$5:$D$19,0))),0)))</f>
        <v/>
      </c>
      <c r="L119" s="15" t="str">
        <f aca="false">IF($B119="","",$K119*IF($D119="",1,$D119)+$E119)</f>
        <v/>
      </c>
      <c r="M119" s="15" t="str">
        <f aca="false">IF($B119="","",ROUND($L119*Settings!$B$9,2))</f>
        <v/>
      </c>
      <c r="N119" s="15" t="str">
        <f aca="false">IF($B119="","",$L119+$M119)</f>
        <v/>
      </c>
      <c r="O119" s="19" t="str">
        <f aca="false">IF($Q119="","",Settings!$B$13&amp;TEXT(ROWS($A$5:$A119),"0000"))</f>
        <v/>
      </c>
      <c r="P119" s="19" t="str">
        <f aca="false">IF($O119="","",IFERROR(INDEX(Invoices!$I$5:$I$504,MATCH($O119,Invoices!$A$5:$A$504,0)),""))</f>
        <v/>
      </c>
      <c r="Q119" s="2" t="str">
        <f aca="false">IF(AND($A119&lt;&gt;"",$B119&lt;&gt;"",$G119="Completed"),COUNTIFS($A$5:$A119,"&lt;&gt;",$B$5:$B119,"&lt;&gt;",$G$5:$G119,"Completed"),"")</f>
        <v/>
      </c>
    </row>
    <row r="120" customFormat="false" ht="15" hidden="false" customHeight="false" outlineLevel="0" collapsed="false">
      <c r="A120" s="16"/>
      <c r="B120" s="12"/>
      <c r="C120" s="17"/>
      <c r="D120" s="18"/>
      <c r="E120" s="13"/>
      <c r="F120" s="13"/>
      <c r="G120" s="12"/>
      <c r="H120" s="12"/>
      <c r="I120" s="19" t="str">
        <f aca="false">IF($B120="","",IFERROR(INDEX(Clients!$D$5:$D$204,MATCH($B120,Clients!$A$5:$A$204,0))&amp;"",""))</f>
        <v/>
      </c>
      <c r="J120" s="19" t="str">
        <f aca="false">IF($B120="","",IF($C120&lt;&gt;"",$C120,IFERROR(INDEX(Clients!$E$5:$E$204,MATCH($B120,Clients!$A$5:$A$204,0))&amp;"","")))</f>
        <v/>
      </c>
      <c r="K120" s="15" t="str">
        <f aca="false">IF($B120="","",IF($F120&lt;&gt;"",$F120,IFERROR(IF(AND(INDEX(Clients!$F$5:$F$204,MATCH($B120,Clients!$A$5:$A$204,0))&amp;""&lt;&gt;"",OR($C120="",$C120=INDEX(Clients!$E$5:$E$204,MATCH($B120,Clients!$A$5:$A$204,0)))),INDEX(Clients!$F$5:$F$204,MATCH($B120,Clients!$A$5:$A$204,0)),INDEX(Settings!$E$5:$E$19,MATCH($J120,Settings!$D$5:$D$19,0))),0)))</f>
        <v/>
      </c>
      <c r="L120" s="15" t="str">
        <f aca="false">IF($B120="","",$K120*IF($D120="",1,$D120)+$E120)</f>
        <v/>
      </c>
      <c r="M120" s="15" t="str">
        <f aca="false">IF($B120="","",ROUND($L120*Settings!$B$9,2))</f>
        <v/>
      </c>
      <c r="N120" s="15" t="str">
        <f aca="false">IF($B120="","",$L120+$M120)</f>
        <v/>
      </c>
      <c r="O120" s="19" t="str">
        <f aca="false">IF($Q120="","",Settings!$B$13&amp;TEXT(ROWS($A$5:$A120),"0000"))</f>
        <v/>
      </c>
      <c r="P120" s="19" t="str">
        <f aca="false">IF($O120="","",IFERROR(INDEX(Invoices!$I$5:$I$504,MATCH($O120,Invoices!$A$5:$A$504,0)),""))</f>
        <v/>
      </c>
      <c r="Q120" s="2" t="str">
        <f aca="false">IF(AND($A120&lt;&gt;"",$B120&lt;&gt;"",$G120="Completed"),COUNTIFS($A$5:$A120,"&lt;&gt;",$B$5:$B120,"&lt;&gt;",$G$5:$G120,"Completed"),"")</f>
        <v/>
      </c>
    </row>
    <row r="121" customFormat="false" ht="15" hidden="false" customHeight="false" outlineLevel="0" collapsed="false">
      <c r="A121" s="16"/>
      <c r="B121" s="12"/>
      <c r="C121" s="17"/>
      <c r="D121" s="18"/>
      <c r="E121" s="13"/>
      <c r="F121" s="13"/>
      <c r="G121" s="12"/>
      <c r="H121" s="12"/>
      <c r="I121" s="19" t="str">
        <f aca="false">IF($B121="","",IFERROR(INDEX(Clients!$D$5:$D$204,MATCH($B121,Clients!$A$5:$A$204,0))&amp;"",""))</f>
        <v/>
      </c>
      <c r="J121" s="19" t="str">
        <f aca="false">IF($B121="","",IF($C121&lt;&gt;"",$C121,IFERROR(INDEX(Clients!$E$5:$E$204,MATCH($B121,Clients!$A$5:$A$204,0))&amp;"","")))</f>
        <v/>
      </c>
      <c r="K121" s="15" t="str">
        <f aca="false">IF($B121="","",IF($F121&lt;&gt;"",$F121,IFERROR(IF(AND(INDEX(Clients!$F$5:$F$204,MATCH($B121,Clients!$A$5:$A$204,0))&amp;""&lt;&gt;"",OR($C121="",$C121=INDEX(Clients!$E$5:$E$204,MATCH($B121,Clients!$A$5:$A$204,0)))),INDEX(Clients!$F$5:$F$204,MATCH($B121,Clients!$A$5:$A$204,0)),INDEX(Settings!$E$5:$E$19,MATCH($J121,Settings!$D$5:$D$19,0))),0)))</f>
        <v/>
      </c>
      <c r="L121" s="15" t="str">
        <f aca="false">IF($B121="","",$K121*IF($D121="",1,$D121)+$E121)</f>
        <v/>
      </c>
      <c r="M121" s="15" t="str">
        <f aca="false">IF($B121="","",ROUND($L121*Settings!$B$9,2))</f>
        <v/>
      </c>
      <c r="N121" s="15" t="str">
        <f aca="false">IF($B121="","",$L121+$M121)</f>
        <v/>
      </c>
      <c r="O121" s="19" t="str">
        <f aca="false">IF($Q121="","",Settings!$B$13&amp;TEXT(ROWS($A$5:$A121),"0000"))</f>
        <v/>
      </c>
      <c r="P121" s="19" t="str">
        <f aca="false">IF($O121="","",IFERROR(INDEX(Invoices!$I$5:$I$504,MATCH($O121,Invoices!$A$5:$A$504,0)),""))</f>
        <v/>
      </c>
      <c r="Q121" s="2" t="str">
        <f aca="false">IF(AND($A121&lt;&gt;"",$B121&lt;&gt;"",$G121="Completed"),COUNTIFS($A$5:$A121,"&lt;&gt;",$B$5:$B121,"&lt;&gt;",$G$5:$G121,"Completed"),"")</f>
        <v/>
      </c>
    </row>
    <row r="122" customFormat="false" ht="15" hidden="false" customHeight="false" outlineLevel="0" collapsed="false">
      <c r="A122" s="16"/>
      <c r="B122" s="12"/>
      <c r="C122" s="17"/>
      <c r="D122" s="18"/>
      <c r="E122" s="13"/>
      <c r="F122" s="13"/>
      <c r="G122" s="12"/>
      <c r="H122" s="12"/>
      <c r="I122" s="19" t="str">
        <f aca="false">IF($B122="","",IFERROR(INDEX(Clients!$D$5:$D$204,MATCH($B122,Clients!$A$5:$A$204,0))&amp;"",""))</f>
        <v/>
      </c>
      <c r="J122" s="19" t="str">
        <f aca="false">IF($B122="","",IF($C122&lt;&gt;"",$C122,IFERROR(INDEX(Clients!$E$5:$E$204,MATCH($B122,Clients!$A$5:$A$204,0))&amp;"","")))</f>
        <v/>
      </c>
      <c r="K122" s="15" t="str">
        <f aca="false">IF($B122="","",IF($F122&lt;&gt;"",$F122,IFERROR(IF(AND(INDEX(Clients!$F$5:$F$204,MATCH($B122,Clients!$A$5:$A$204,0))&amp;""&lt;&gt;"",OR($C122="",$C122=INDEX(Clients!$E$5:$E$204,MATCH($B122,Clients!$A$5:$A$204,0)))),INDEX(Clients!$F$5:$F$204,MATCH($B122,Clients!$A$5:$A$204,0)),INDEX(Settings!$E$5:$E$19,MATCH($J122,Settings!$D$5:$D$19,0))),0)))</f>
        <v/>
      </c>
      <c r="L122" s="15" t="str">
        <f aca="false">IF($B122="","",$K122*IF($D122="",1,$D122)+$E122)</f>
        <v/>
      </c>
      <c r="M122" s="15" t="str">
        <f aca="false">IF($B122="","",ROUND($L122*Settings!$B$9,2))</f>
        <v/>
      </c>
      <c r="N122" s="15" t="str">
        <f aca="false">IF($B122="","",$L122+$M122)</f>
        <v/>
      </c>
      <c r="O122" s="19" t="str">
        <f aca="false">IF($Q122="","",Settings!$B$13&amp;TEXT(ROWS($A$5:$A122),"0000"))</f>
        <v/>
      </c>
      <c r="P122" s="19" t="str">
        <f aca="false">IF($O122="","",IFERROR(INDEX(Invoices!$I$5:$I$504,MATCH($O122,Invoices!$A$5:$A$504,0)),""))</f>
        <v/>
      </c>
      <c r="Q122" s="2" t="str">
        <f aca="false">IF(AND($A122&lt;&gt;"",$B122&lt;&gt;"",$G122="Completed"),COUNTIFS($A$5:$A122,"&lt;&gt;",$B$5:$B122,"&lt;&gt;",$G$5:$G122,"Completed"),"")</f>
        <v/>
      </c>
    </row>
    <row r="123" customFormat="false" ht="15" hidden="false" customHeight="false" outlineLevel="0" collapsed="false">
      <c r="A123" s="16"/>
      <c r="B123" s="12"/>
      <c r="C123" s="17"/>
      <c r="D123" s="18"/>
      <c r="E123" s="13"/>
      <c r="F123" s="13"/>
      <c r="G123" s="12"/>
      <c r="H123" s="12"/>
      <c r="I123" s="19" t="str">
        <f aca="false">IF($B123="","",IFERROR(INDEX(Clients!$D$5:$D$204,MATCH($B123,Clients!$A$5:$A$204,0))&amp;"",""))</f>
        <v/>
      </c>
      <c r="J123" s="19" t="str">
        <f aca="false">IF($B123="","",IF($C123&lt;&gt;"",$C123,IFERROR(INDEX(Clients!$E$5:$E$204,MATCH($B123,Clients!$A$5:$A$204,0))&amp;"","")))</f>
        <v/>
      </c>
      <c r="K123" s="15" t="str">
        <f aca="false">IF($B123="","",IF($F123&lt;&gt;"",$F123,IFERROR(IF(AND(INDEX(Clients!$F$5:$F$204,MATCH($B123,Clients!$A$5:$A$204,0))&amp;""&lt;&gt;"",OR($C123="",$C123=INDEX(Clients!$E$5:$E$204,MATCH($B123,Clients!$A$5:$A$204,0)))),INDEX(Clients!$F$5:$F$204,MATCH($B123,Clients!$A$5:$A$204,0)),INDEX(Settings!$E$5:$E$19,MATCH($J123,Settings!$D$5:$D$19,0))),0)))</f>
        <v/>
      </c>
      <c r="L123" s="15" t="str">
        <f aca="false">IF($B123="","",$K123*IF($D123="",1,$D123)+$E123)</f>
        <v/>
      </c>
      <c r="M123" s="15" t="str">
        <f aca="false">IF($B123="","",ROUND($L123*Settings!$B$9,2))</f>
        <v/>
      </c>
      <c r="N123" s="15" t="str">
        <f aca="false">IF($B123="","",$L123+$M123)</f>
        <v/>
      </c>
      <c r="O123" s="19" t="str">
        <f aca="false">IF($Q123="","",Settings!$B$13&amp;TEXT(ROWS($A$5:$A123),"0000"))</f>
        <v/>
      </c>
      <c r="P123" s="19" t="str">
        <f aca="false">IF($O123="","",IFERROR(INDEX(Invoices!$I$5:$I$504,MATCH($O123,Invoices!$A$5:$A$504,0)),""))</f>
        <v/>
      </c>
      <c r="Q123" s="2" t="str">
        <f aca="false">IF(AND($A123&lt;&gt;"",$B123&lt;&gt;"",$G123="Completed"),COUNTIFS($A$5:$A123,"&lt;&gt;",$B$5:$B123,"&lt;&gt;",$G$5:$G123,"Completed"),"")</f>
        <v/>
      </c>
    </row>
    <row r="124" customFormat="false" ht="15" hidden="false" customHeight="false" outlineLevel="0" collapsed="false">
      <c r="A124" s="16"/>
      <c r="B124" s="12"/>
      <c r="C124" s="17"/>
      <c r="D124" s="18"/>
      <c r="E124" s="13"/>
      <c r="F124" s="13"/>
      <c r="G124" s="12"/>
      <c r="H124" s="12"/>
      <c r="I124" s="19" t="str">
        <f aca="false">IF($B124="","",IFERROR(INDEX(Clients!$D$5:$D$204,MATCH($B124,Clients!$A$5:$A$204,0))&amp;"",""))</f>
        <v/>
      </c>
      <c r="J124" s="19" t="str">
        <f aca="false">IF($B124="","",IF($C124&lt;&gt;"",$C124,IFERROR(INDEX(Clients!$E$5:$E$204,MATCH($B124,Clients!$A$5:$A$204,0))&amp;"","")))</f>
        <v/>
      </c>
      <c r="K124" s="15" t="str">
        <f aca="false">IF($B124="","",IF($F124&lt;&gt;"",$F124,IFERROR(IF(AND(INDEX(Clients!$F$5:$F$204,MATCH($B124,Clients!$A$5:$A$204,0))&amp;""&lt;&gt;"",OR($C124="",$C124=INDEX(Clients!$E$5:$E$204,MATCH($B124,Clients!$A$5:$A$204,0)))),INDEX(Clients!$F$5:$F$204,MATCH($B124,Clients!$A$5:$A$204,0)),INDEX(Settings!$E$5:$E$19,MATCH($J124,Settings!$D$5:$D$19,0))),0)))</f>
        <v/>
      </c>
      <c r="L124" s="15" t="str">
        <f aca="false">IF($B124="","",$K124*IF($D124="",1,$D124)+$E124)</f>
        <v/>
      </c>
      <c r="M124" s="15" t="str">
        <f aca="false">IF($B124="","",ROUND($L124*Settings!$B$9,2))</f>
        <v/>
      </c>
      <c r="N124" s="15" t="str">
        <f aca="false">IF($B124="","",$L124+$M124)</f>
        <v/>
      </c>
      <c r="O124" s="19" t="str">
        <f aca="false">IF($Q124="","",Settings!$B$13&amp;TEXT(ROWS($A$5:$A124),"0000"))</f>
        <v/>
      </c>
      <c r="P124" s="19" t="str">
        <f aca="false">IF($O124="","",IFERROR(INDEX(Invoices!$I$5:$I$504,MATCH($O124,Invoices!$A$5:$A$504,0)),""))</f>
        <v/>
      </c>
      <c r="Q124" s="2" t="str">
        <f aca="false">IF(AND($A124&lt;&gt;"",$B124&lt;&gt;"",$G124="Completed"),COUNTIFS($A$5:$A124,"&lt;&gt;",$B$5:$B124,"&lt;&gt;",$G$5:$G124,"Completed"),"")</f>
        <v/>
      </c>
    </row>
    <row r="125" customFormat="false" ht="15" hidden="false" customHeight="false" outlineLevel="0" collapsed="false">
      <c r="A125" s="16"/>
      <c r="B125" s="12"/>
      <c r="C125" s="17"/>
      <c r="D125" s="18"/>
      <c r="E125" s="13"/>
      <c r="F125" s="13"/>
      <c r="G125" s="12"/>
      <c r="H125" s="12"/>
      <c r="I125" s="19" t="str">
        <f aca="false">IF($B125="","",IFERROR(INDEX(Clients!$D$5:$D$204,MATCH($B125,Clients!$A$5:$A$204,0))&amp;"",""))</f>
        <v/>
      </c>
      <c r="J125" s="19" t="str">
        <f aca="false">IF($B125="","",IF($C125&lt;&gt;"",$C125,IFERROR(INDEX(Clients!$E$5:$E$204,MATCH($B125,Clients!$A$5:$A$204,0))&amp;"","")))</f>
        <v/>
      </c>
      <c r="K125" s="15" t="str">
        <f aca="false">IF($B125="","",IF($F125&lt;&gt;"",$F125,IFERROR(IF(AND(INDEX(Clients!$F$5:$F$204,MATCH($B125,Clients!$A$5:$A$204,0))&amp;""&lt;&gt;"",OR($C125="",$C125=INDEX(Clients!$E$5:$E$204,MATCH($B125,Clients!$A$5:$A$204,0)))),INDEX(Clients!$F$5:$F$204,MATCH($B125,Clients!$A$5:$A$204,0)),INDEX(Settings!$E$5:$E$19,MATCH($J125,Settings!$D$5:$D$19,0))),0)))</f>
        <v/>
      </c>
      <c r="L125" s="15" t="str">
        <f aca="false">IF($B125="","",$K125*IF($D125="",1,$D125)+$E125)</f>
        <v/>
      </c>
      <c r="M125" s="15" t="str">
        <f aca="false">IF($B125="","",ROUND($L125*Settings!$B$9,2))</f>
        <v/>
      </c>
      <c r="N125" s="15" t="str">
        <f aca="false">IF($B125="","",$L125+$M125)</f>
        <v/>
      </c>
      <c r="O125" s="19" t="str">
        <f aca="false">IF($Q125="","",Settings!$B$13&amp;TEXT(ROWS($A$5:$A125),"0000"))</f>
        <v/>
      </c>
      <c r="P125" s="19" t="str">
        <f aca="false">IF($O125="","",IFERROR(INDEX(Invoices!$I$5:$I$504,MATCH($O125,Invoices!$A$5:$A$504,0)),""))</f>
        <v/>
      </c>
      <c r="Q125" s="2" t="str">
        <f aca="false">IF(AND($A125&lt;&gt;"",$B125&lt;&gt;"",$G125="Completed"),COUNTIFS($A$5:$A125,"&lt;&gt;",$B$5:$B125,"&lt;&gt;",$G$5:$G125,"Completed"),"")</f>
        <v/>
      </c>
    </row>
    <row r="126" customFormat="false" ht="15" hidden="false" customHeight="false" outlineLevel="0" collapsed="false">
      <c r="A126" s="16"/>
      <c r="B126" s="12"/>
      <c r="C126" s="17"/>
      <c r="D126" s="18"/>
      <c r="E126" s="13"/>
      <c r="F126" s="13"/>
      <c r="G126" s="12"/>
      <c r="H126" s="12"/>
      <c r="I126" s="19" t="str">
        <f aca="false">IF($B126="","",IFERROR(INDEX(Clients!$D$5:$D$204,MATCH($B126,Clients!$A$5:$A$204,0))&amp;"",""))</f>
        <v/>
      </c>
      <c r="J126" s="19" t="str">
        <f aca="false">IF($B126="","",IF($C126&lt;&gt;"",$C126,IFERROR(INDEX(Clients!$E$5:$E$204,MATCH($B126,Clients!$A$5:$A$204,0))&amp;"","")))</f>
        <v/>
      </c>
      <c r="K126" s="15" t="str">
        <f aca="false">IF($B126="","",IF($F126&lt;&gt;"",$F126,IFERROR(IF(AND(INDEX(Clients!$F$5:$F$204,MATCH($B126,Clients!$A$5:$A$204,0))&amp;""&lt;&gt;"",OR($C126="",$C126=INDEX(Clients!$E$5:$E$204,MATCH($B126,Clients!$A$5:$A$204,0)))),INDEX(Clients!$F$5:$F$204,MATCH($B126,Clients!$A$5:$A$204,0)),INDEX(Settings!$E$5:$E$19,MATCH($J126,Settings!$D$5:$D$19,0))),0)))</f>
        <v/>
      </c>
      <c r="L126" s="15" t="str">
        <f aca="false">IF($B126="","",$K126*IF($D126="",1,$D126)+$E126)</f>
        <v/>
      </c>
      <c r="M126" s="15" t="str">
        <f aca="false">IF($B126="","",ROUND($L126*Settings!$B$9,2))</f>
        <v/>
      </c>
      <c r="N126" s="15" t="str">
        <f aca="false">IF($B126="","",$L126+$M126)</f>
        <v/>
      </c>
      <c r="O126" s="19" t="str">
        <f aca="false">IF($Q126="","",Settings!$B$13&amp;TEXT(ROWS($A$5:$A126),"0000"))</f>
        <v/>
      </c>
      <c r="P126" s="19" t="str">
        <f aca="false">IF($O126="","",IFERROR(INDEX(Invoices!$I$5:$I$504,MATCH($O126,Invoices!$A$5:$A$504,0)),""))</f>
        <v/>
      </c>
      <c r="Q126" s="2" t="str">
        <f aca="false">IF(AND($A126&lt;&gt;"",$B126&lt;&gt;"",$G126="Completed"),COUNTIFS($A$5:$A126,"&lt;&gt;",$B$5:$B126,"&lt;&gt;",$G$5:$G126,"Completed"),"")</f>
        <v/>
      </c>
    </row>
    <row r="127" customFormat="false" ht="15" hidden="false" customHeight="false" outlineLevel="0" collapsed="false">
      <c r="A127" s="16"/>
      <c r="B127" s="12"/>
      <c r="C127" s="17"/>
      <c r="D127" s="18"/>
      <c r="E127" s="13"/>
      <c r="F127" s="13"/>
      <c r="G127" s="12"/>
      <c r="H127" s="12"/>
      <c r="I127" s="19" t="str">
        <f aca="false">IF($B127="","",IFERROR(INDEX(Clients!$D$5:$D$204,MATCH($B127,Clients!$A$5:$A$204,0))&amp;"",""))</f>
        <v/>
      </c>
      <c r="J127" s="19" t="str">
        <f aca="false">IF($B127="","",IF($C127&lt;&gt;"",$C127,IFERROR(INDEX(Clients!$E$5:$E$204,MATCH($B127,Clients!$A$5:$A$204,0))&amp;"","")))</f>
        <v/>
      </c>
      <c r="K127" s="15" t="str">
        <f aca="false">IF($B127="","",IF($F127&lt;&gt;"",$F127,IFERROR(IF(AND(INDEX(Clients!$F$5:$F$204,MATCH($B127,Clients!$A$5:$A$204,0))&amp;""&lt;&gt;"",OR($C127="",$C127=INDEX(Clients!$E$5:$E$204,MATCH($B127,Clients!$A$5:$A$204,0)))),INDEX(Clients!$F$5:$F$204,MATCH($B127,Clients!$A$5:$A$204,0)),INDEX(Settings!$E$5:$E$19,MATCH($J127,Settings!$D$5:$D$19,0))),0)))</f>
        <v/>
      </c>
      <c r="L127" s="15" t="str">
        <f aca="false">IF($B127="","",$K127*IF($D127="",1,$D127)+$E127)</f>
        <v/>
      </c>
      <c r="M127" s="15" t="str">
        <f aca="false">IF($B127="","",ROUND($L127*Settings!$B$9,2))</f>
        <v/>
      </c>
      <c r="N127" s="15" t="str">
        <f aca="false">IF($B127="","",$L127+$M127)</f>
        <v/>
      </c>
      <c r="O127" s="19" t="str">
        <f aca="false">IF($Q127="","",Settings!$B$13&amp;TEXT(ROWS($A$5:$A127),"0000"))</f>
        <v/>
      </c>
      <c r="P127" s="19" t="str">
        <f aca="false">IF($O127="","",IFERROR(INDEX(Invoices!$I$5:$I$504,MATCH($O127,Invoices!$A$5:$A$504,0)),""))</f>
        <v/>
      </c>
      <c r="Q127" s="2" t="str">
        <f aca="false">IF(AND($A127&lt;&gt;"",$B127&lt;&gt;"",$G127="Completed"),COUNTIFS($A$5:$A127,"&lt;&gt;",$B$5:$B127,"&lt;&gt;",$G$5:$G127,"Completed"),"")</f>
        <v/>
      </c>
    </row>
    <row r="128" customFormat="false" ht="15" hidden="false" customHeight="false" outlineLevel="0" collapsed="false">
      <c r="A128" s="16"/>
      <c r="B128" s="12"/>
      <c r="C128" s="17"/>
      <c r="D128" s="18"/>
      <c r="E128" s="13"/>
      <c r="F128" s="13"/>
      <c r="G128" s="12"/>
      <c r="H128" s="12"/>
      <c r="I128" s="19" t="str">
        <f aca="false">IF($B128="","",IFERROR(INDEX(Clients!$D$5:$D$204,MATCH($B128,Clients!$A$5:$A$204,0))&amp;"",""))</f>
        <v/>
      </c>
      <c r="J128" s="19" t="str">
        <f aca="false">IF($B128="","",IF($C128&lt;&gt;"",$C128,IFERROR(INDEX(Clients!$E$5:$E$204,MATCH($B128,Clients!$A$5:$A$204,0))&amp;"","")))</f>
        <v/>
      </c>
      <c r="K128" s="15" t="str">
        <f aca="false">IF($B128="","",IF($F128&lt;&gt;"",$F128,IFERROR(IF(AND(INDEX(Clients!$F$5:$F$204,MATCH($B128,Clients!$A$5:$A$204,0))&amp;""&lt;&gt;"",OR($C128="",$C128=INDEX(Clients!$E$5:$E$204,MATCH($B128,Clients!$A$5:$A$204,0)))),INDEX(Clients!$F$5:$F$204,MATCH($B128,Clients!$A$5:$A$204,0)),INDEX(Settings!$E$5:$E$19,MATCH($J128,Settings!$D$5:$D$19,0))),0)))</f>
        <v/>
      </c>
      <c r="L128" s="15" t="str">
        <f aca="false">IF($B128="","",$K128*IF($D128="",1,$D128)+$E128)</f>
        <v/>
      </c>
      <c r="M128" s="15" t="str">
        <f aca="false">IF($B128="","",ROUND($L128*Settings!$B$9,2))</f>
        <v/>
      </c>
      <c r="N128" s="15" t="str">
        <f aca="false">IF($B128="","",$L128+$M128)</f>
        <v/>
      </c>
      <c r="O128" s="19" t="str">
        <f aca="false">IF($Q128="","",Settings!$B$13&amp;TEXT(ROWS($A$5:$A128),"0000"))</f>
        <v/>
      </c>
      <c r="P128" s="19" t="str">
        <f aca="false">IF($O128="","",IFERROR(INDEX(Invoices!$I$5:$I$504,MATCH($O128,Invoices!$A$5:$A$504,0)),""))</f>
        <v/>
      </c>
      <c r="Q128" s="2" t="str">
        <f aca="false">IF(AND($A128&lt;&gt;"",$B128&lt;&gt;"",$G128="Completed"),COUNTIFS($A$5:$A128,"&lt;&gt;",$B$5:$B128,"&lt;&gt;",$G$5:$G128,"Completed"),"")</f>
        <v/>
      </c>
    </row>
    <row r="129" customFormat="false" ht="15" hidden="false" customHeight="false" outlineLevel="0" collapsed="false">
      <c r="A129" s="16"/>
      <c r="B129" s="12"/>
      <c r="C129" s="17"/>
      <c r="D129" s="18"/>
      <c r="E129" s="13"/>
      <c r="F129" s="13"/>
      <c r="G129" s="12"/>
      <c r="H129" s="12"/>
      <c r="I129" s="19" t="str">
        <f aca="false">IF($B129="","",IFERROR(INDEX(Clients!$D$5:$D$204,MATCH($B129,Clients!$A$5:$A$204,0))&amp;"",""))</f>
        <v/>
      </c>
      <c r="J129" s="19" t="str">
        <f aca="false">IF($B129="","",IF($C129&lt;&gt;"",$C129,IFERROR(INDEX(Clients!$E$5:$E$204,MATCH($B129,Clients!$A$5:$A$204,0))&amp;"","")))</f>
        <v/>
      </c>
      <c r="K129" s="15" t="str">
        <f aca="false">IF($B129="","",IF($F129&lt;&gt;"",$F129,IFERROR(IF(AND(INDEX(Clients!$F$5:$F$204,MATCH($B129,Clients!$A$5:$A$204,0))&amp;""&lt;&gt;"",OR($C129="",$C129=INDEX(Clients!$E$5:$E$204,MATCH($B129,Clients!$A$5:$A$204,0)))),INDEX(Clients!$F$5:$F$204,MATCH($B129,Clients!$A$5:$A$204,0)),INDEX(Settings!$E$5:$E$19,MATCH($J129,Settings!$D$5:$D$19,0))),0)))</f>
        <v/>
      </c>
      <c r="L129" s="15" t="str">
        <f aca="false">IF($B129="","",$K129*IF($D129="",1,$D129)+$E129)</f>
        <v/>
      </c>
      <c r="M129" s="15" t="str">
        <f aca="false">IF($B129="","",ROUND($L129*Settings!$B$9,2))</f>
        <v/>
      </c>
      <c r="N129" s="15" t="str">
        <f aca="false">IF($B129="","",$L129+$M129)</f>
        <v/>
      </c>
      <c r="O129" s="19" t="str">
        <f aca="false">IF($Q129="","",Settings!$B$13&amp;TEXT(ROWS($A$5:$A129),"0000"))</f>
        <v/>
      </c>
      <c r="P129" s="19" t="str">
        <f aca="false">IF($O129="","",IFERROR(INDEX(Invoices!$I$5:$I$504,MATCH($O129,Invoices!$A$5:$A$504,0)),""))</f>
        <v/>
      </c>
      <c r="Q129" s="2" t="str">
        <f aca="false">IF(AND($A129&lt;&gt;"",$B129&lt;&gt;"",$G129="Completed"),COUNTIFS($A$5:$A129,"&lt;&gt;",$B$5:$B129,"&lt;&gt;",$G$5:$G129,"Completed"),"")</f>
        <v/>
      </c>
    </row>
    <row r="130" customFormat="false" ht="15" hidden="false" customHeight="false" outlineLevel="0" collapsed="false">
      <c r="A130" s="16"/>
      <c r="B130" s="12"/>
      <c r="C130" s="17"/>
      <c r="D130" s="18"/>
      <c r="E130" s="13"/>
      <c r="F130" s="13"/>
      <c r="G130" s="12"/>
      <c r="H130" s="12"/>
      <c r="I130" s="19" t="str">
        <f aca="false">IF($B130="","",IFERROR(INDEX(Clients!$D$5:$D$204,MATCH($B130,Clients!$A$5:$A$204,0))&amp;"",""))</f>
        <v/>
      </c>
      <c r="J130" s="19" t="str">
        <f aca="false">IF($B130="","",IF($C130&lt;&gt;"",$C130,IFERROR(INDEX(Clients!$E$5:$E$204,MATCH($B130,Clients!$A$5:$A$204,0))&amp;"","")))</f>
        <v/>
      </c>
      <c r="K130" s="15" t="str">
        <f aca="false">IF($B130="","",IF($F130&lt;&gt;"",$F130,IFERROR(IF(AND(INDEX(Clients!$F$5:$F$204,MATCH($B130,Clients!$A$5:$A$204,0))&amp;""&lt;&gt;"",OR($C130="",$C130=INDEX(Clients!$E$5:$E$204,MATCH($B130,Clients!$A$5:$A$204,0)))),INDEX(Clients!$F$5:$F$204,MATCH($B130,Clients!$A$5:$A$204,0)),INDEX(Settings!$E$5:$E$19,MATCH($J130,Settings!$D$5:$D$19,0))),0)))</f>
        <v/>
      </c>
      <c r="L130" s="15" t="str">
        <f aca="false">IF($B130="","",$K130*IF($D130="",1,$D130)+$E130)</f>
        <v/>
      </c>
      <c r="M130" s="15" t="str">
        <f aca="false">IF($B130="","",ROUND($L130*Settings!$B$9,2))</f>
        <v/>
      </c>
      <c r="N130" s="15" t="str">
        <f aca="false">IF($B130="","",$L130+$M130)</f>
        <v/>
      </c>
      <c r="O130" s="19" t="str">
        <f aca="false">IF($Q130="","",Settings!$B$13&amp;TEXT(ROWS($A$5:$A130),"0000"))</f>
        <v/>
      </c>
      <c r="P130" s="19" t="str">
        <f aca="false">IF($O130="","",IFERROR(INDEX(Invoices!$I$5:$I$504,MATCH($O130,Invoices!$A$5:$A$504,0)),""))</f>
        <v/>
      </c>
      <c r="Q130" s="2" t="str">
        <f aca="false">IF(AND($A130&lt;&gt;"",$B130&lt;&gt;"",$G130="Completed"),COUNTIFS($A$5:$A130,"&lt;&gt;",$B$5:$B130,"&lt;&gt;",$G$5:$G130,"Completed"),"")</f>
        <v/>
      </c>
    </row>
    <row r="131" customFormat="false" ht="15" hidden="false" customHeight="false" outlineLevel="0" collapsed="false">
      <c r="A131" s="16"/>
      <c r="B131" s="12"/>
      <c r="C131" s="17"/>
      <c r="D131" s="18"/>
      <c r="E131" s="13"/>
      <c r="F131" s="13"/>
      <c r="G131" s="12"/>
      <c r="H131" s="12"/>
      <c r="I131" s="19" t="str">
        <f aca="false">IF($B131="","",IFERROR(INDEX(Clients!$D$5:$D$204,MATCH($B131,Clients!$A$5:$A$204,0))&amp;"",""))</f>
        <v/>
      </c>
      <c r="J131" s="19" t="str">
        <f aca="false">IF($B131="","",IF($C131&lt;&gt;"",$C131,IFERROR(INDEX(Clients!$E$5:$E$204,MATCH($B131,Clients!$A$5:$A$204,0))&amp;"","")))</f>
        <v/>
      </c>
      <c r="K131" s="15" t="str">
        <f aca="false">IF($B131="","",IF($F131&lt;&gt;"",$F131,IFERROR(IF(AND(INDEX(Clients!$F$5:$F$204,MATCH($B131,Clients!$A$5:$A$204,0))&amp;""&lt;&gt;"",OR($C131="",$C131=INDEX(Clients!$E$5:$E$204,MATCH($B131,Clients!$A$5:$A$204,0)))),INDEX(Clients!$F$5:$F$204,MATCH($B131,Clients!$A$5:$A$204,0)),INDEX(Settings!$E$5:$E$19,MATCH($J131,Settings!$D$5:$D$19,0))),0)))</f>
        <v/>
      </c>
      <c r="L131" s="15" t="str">
        <f aca="false">IF($B131="","",$K131*IF($D131="",1,$D131)+$E131)</f>
        <v/>
      </c>
      <c r="M131" s="15" t="str">
        <f aca="false">IF($B131="","",ROUND($L131*Settings!$B$9,2))</f>
        <v/>
      </c>
      <c r="N131" s="15" t="str">
        <f aca="false">IF($B131="","",$L131+$M131)</f>
        <v/>
      </c>
      <c r="O131" s="19" t="str">
        <f aca="false">IF($Q131="","",Settings!$B$13&amp;TEXT(ROWS($A$5:$A131),"0000"))</f>
        <v/>
      </c>
      <c r="P131" s="19" t="str">
        <f aca="false">IF($O131="","",IFERROR(INDEX(Invoices!$I$5:$I$504,MATCH($O131,Invoices!$A$5:$A$504,0)),""))</f>
        <v/>
      </c>
      <c r="Q131" s="2" t="str">
        <f aca="false">IF(AND($A131&lt;&gt;"",$B131&lt;&gt;"",$G131="Completed"),COUNTIFS($A$5:$A131,"&lt;&gt;",$B$5:$B131,"&lt;&gt;",$G$5:$G131,"Completed"),"")</f>
        <v/>
      </c>
    </row>
    <row r="132" customFormat="false" ht="15" hidden="false" customHeight="false" outlineLevel="0" collapsed="false">
      <c r="A132" s="16"/>
      <c r="B132" s="12"/>
      <c r="C132" s="17"/>
      <c r="D132" s="18"/>
      <c r="E132" s="13"/>
      <c r="F132" s="13"/>
      <c r="G132" s="12"/>
      <c r="H132" s="12"/>
      <c r="I132" s="19" t="str">
        <f aca="false">IF($B132="","",IFERROR(INDEX(Clients!$D$5:$D$204,MATCH($B132,Clients!$A$5:$A$204,0))&amp;"",""))</f>
        <v/>
      </c>
      <c r="J132" s="19" t="str">
        <f aca="false">IF($B132="","",IF($C132&lt;&gt;"",$C132,IFERROR(INDEX(Clients!$E$5:$E$204,MATCH($B132,Clients!$A$5:$A$204,0))&amp;"","")))</f>
        <v/>
      </c>
      <c r="K132" s="15" t="str">
        <f aca="false">IF($B132="","",IF($F132&lt;&gt;"",$F132,IFERROR(IF(AND(INDEX(Clients!$F$5:$F$204,MATCH($B132,Clients!$A$5:$A$204,0))&amp;""&lt;&gt;"",OR($C132="",$C132=INDEX(Clients!$E$5:$E$204,MATCH($B132,Clients!$A$5:$A$204,0)))),INDEX(Clients!$F$5:$F$204,MATCH($B132,Clients!$A$5:$A$204,0)),INDEX(Settings!$E$5:$E$19,MATCH($J132,Settings!$D$5:$D$19,0))),0)))</f>
        <v/>
      </c>
      <c r="L132" s="15" t="str">
        <f aca="false">IF($B132="","",$K132*IF($D132="",1,$D132)+$E132)</f>
        <v/>
      </c>
      <c r="M132" s="15" t="str">
        <f aca="false">IF($B132="","",ROUND($L132*Settings!$B$9,2))</f>
        <v/>
      </c>
      <c r="N132" s="15" t="str">
        <f aca="false">IF($B132="","",$L132+$M132)</f>
        <v/>
      </c>
      <c r="O132" s="19" t="str">
        <f aca="false">IF($Q132="","",Settings!$B$13&amp;TEXT(ROWS($A$5:$A132),"0000"))</f>
        <v/>
      </c>
      <c r="P132" s="19" t="str">
        <f aca="false">IF($O132="","",IFERROR(INDEX(Invoices!$I$5:$I$504,MATCH($O132,Invoices!$A$5:$A$504,0)),""))</f>
        <v/>
      </c>
      <c r="Q132" s="2" t="str">
        <f aca="false">IF(AND($A132&lt;&gt;"",$B132&lt;&gt;"",$G132="Completed"),COUNTIFS($A$5:$A132,"&lt;&gt;",$B$5:$B132,"&lt;&gt;",$G$5:$G132,"Completed"),"")</f>
        <v/>
      </c>
    </row>
    <row r="133" customFormat="false" ht="15" hidden="false" customHeight="false" outlineLevel="0" collapsed="false">
      <c r="A133" s="16"/>
      <c r="B133" s="12"/>
      <c r="C133" s="17"/>
      <c r="D133" s="18"/>
      <c r="E133" s="13"/>
      <c r="F133" s="13"/>
      <c r="G133" s="12"/>
      <c r="H133" s="12"/>
      <c r="I133" s="19" t="str">
        <f aca="false">IF($B133="","",IFERROR(INDEX(Clients!$D$5:$D$204,MATCH($B133,Clients!$A$5:$A$204,0))&amp;"",""))</f>
        <v/>
      </c>
      <c r="J133" s="19" t="str">
        <f aca="false">IF($B133="","",IF($C133&lt;&gt;"",$C133,IFERROR(INDEX(Clients!$E$5:$E$204,MATCH($B133,Clients!$A$5:$A$204,0))&amp;"","")))</f>
        <v/>
      </c>
      <c r="K133" s="15" t="str">
        <f aca="false">IF($B133="","",IF($F133&lt;&gt;"",$F133,IFERROR(IF(AND(INDEX(Clients!$F$5:$F$204,MATCH($B133,Clients!$A$5:$A$204,0))&amp;""&lt;&gt;"",OR($C133="",$C133=INDEX(Clients!$E$5:$E$204,MATCH($B133,Clients!$A$5:$A$204,0)))),INDEX(Clients!$F$5:$F$204,MATCH($B133,Clients!$A$5:$A$204,0)),INDEX(Settings!$E$5:$E$19,MATCH($J133,Settings!$D$5:$D$19,0))),0)))</f>
        <v/>
      </c>
      <c r="L133" s="15" t="str">
        <f aca="false">IF($B133="","",$K133*IF($D133="",1,$D133)+$E133)</f>
        <v/>
      </c>
      <c r="M133" s="15" t="str">
        <f aca="false">IF($B133="","",ROUND($L133*Settings!$B$9,2))</f>
        <v/>
      </c>
      <c r="N133" s="15" t="str">
        <f aca="false">IF($B133="","",$L133+$M133)</f>
        <v/>
      </c>
      <c r="O133" s="19" t="str">
        <f aca="false">IF($Q133="","",Settings!$B$13&amp;TEXT(ROWS($A$5:$A133),"0000"))</f>
        <v/>
      </c>
      <c r="P133" s="19" t="str">
        <f aca="false">IF($O133="","",IFERROR(INDEX(Invoices!$I$5:$I$504,MATCH($O133,Invoices!$A$5:$A$504,0)),""))</f>
        <v/>
      </c>
      <c r="Q133" s="2" t="str">
        <f aca="false">IF(AND($A133&lt;&gt;"",$B133&lt;&gt;"",$G133="Completed"),COUNTIFS($A$5:$A133,"&lt;&gt;",$B$5:$B133,"&lt;&gt;",$G$5:$G133,"Completed"),"")</f>
        <v/>
      </c>
    </row>
    <row r="134" customFormat="false" ht="15" hidden="false" customHeight="false" outlineLevel="0" collapsed="false">
      <c r="A134" s="16"/>
      <c r="B134" s="12"/>
      <c r="C134" s="17"/>
      <c r="D134" s="18"/>
      <c r="E134" s="13"/>
      <c r="F134" s="13"/>
      <c r="G134" s="12"/>
      <c r="H134" s="12"/>
      <c r="I134" s="19" t="str">
        <f aca="false">IF($B134="","",IFERROR(INDEX(Clients!$D$5:$D$204,MATCH($B134,Clients!$A$5:$A$204,0))&amp;"",""))</f>
        <v/>
      </c>
      <c r="J134" s="19" t="str">
        <f aca="false">IF($B134="","",IF($C134&lt;&gt;"",$C134,IFERROR(INDEX(Clients!$E$5:$E$204,MATCH($B134,Clients!$A$5:$A$204,0))&amp;"","")))</f>
        <v/>
      </c>
      <c r="K134" s="15" t="str">
        <f aca="false">IF($B134="","",IF($F134&lt;&gt;"",$F134,IFERROR(IF(AND(INDEX(Clients!$F$5:$F$204,MATCH($B134,Clients!$A$5:$A$204,0))&amp;""&lt;&gt;"",OR($C134="",$C134=INDEX(Clients!$E$5:$E$204,MATCH($B134,Clients!$A$5:$A$204,0)))),INDEX(Clients!$F$5:$F$204,MATCH($B134,Clients!$A$5:$A$204,0)),INDEX(Settings!$E$5:$E$19,MATCH($J134,Settings!$D$5:$D$19,0))),0)))</f>
        <v/>
      </c>
      <c r="L134" s="15" t="str">
        <f aca="false">IF($B134="","",$K134*IF($D134="",1,$D134)+$E134)</f>
        <v/>
      </c>
      <c r="M134" s="15" t="str">
        <f aca="false">IF($B134="","",ROUND($L134*Settings!$B$9,2))</f>
        <v/>
      </c>
      <c r="N134" s="15" t="str">
        <f aca="false">IF($B134="","",$L134+$M134)</f>
        <v/>
      </c>
      <c r="O134" s="19" t="str">
        <f aca="false">IF($Q134="","",Settings!$B$13&amp;TEXT(ROWS($A$5:$A134),"0000"))</f>
        <v/>
      </c>
      <c r="P134" s="19" t="str">
        <f aca="false">IF($O134="","",IFERROR(INDEX(Invoices!$I$5:$I$504,MATCH($O134,Invoices!$A$5:$A$504,0)),""))</f>
        <v/>
      </c>
      <c r="Q134" s="2" t="str">
        <f aca="false">IF(AND($A134&lt;&gt;"",$B134&lt;&gt;"",$G134="Completed"),COUNTIFS($A$5:$A134,"&lt;&gt;",$B$5:$B134,"&lt;&gt;",$G$5:$G134,"Completed"),"")</f>
        <v/>
      </c>
    </row>
    <row r="135" customFormat="false" ht="15" hidden="false" customHeight="false" outlineLevel="0" collapsed="false">
      <c r="A135" s="16"/>
      <c r="B135" s="12"/>
      <c r="C135" s="17"/>
      <c r="D135" s="18"/>
      <c r="E135" s="13"/>
      <c r="F135" s="13"/>
      <c r="G135" s="12"/>
      <c r="H135" s="12"/>
      <c r="I135" s="19" t="str">
        <f aca="false">IF($B135="","",IFERROR(INDEX(Clients!$D$5:$D$204,MATCH($B135,Clients!$A$5:$A$204,0))&amp;"",""))</f>
        <v/>
      </c>
      <c r="J135" s="19" t="str">
        <f aca="false">IF($B135="","",IF($C135&lt;&gt;"",$C135,IFERROR(INDEX(Clients!$E$5:$E$204,MATCH($B135,Clients!$A$5:$A$204,0))&amp;"","")))</f>
        <v/>
      </c>
      <c r="K135" s="15" t="str">
        <f aca="false">IF($B135="","",IF($F135&lt;&gt;"",$F135,IFERROR(IF(AND(INDEX(Clients!$F$5:$F$204,MATCH($B135,Clients!$A$5:$A$204,0))&amp;""&lt;&gt;"",OR($C135="",$C135=INDEX(Clients!$E$5:$E$204,MATCH($B135,Clients!$A$5:$A$204,0)))),INDEX(Clients!$F$5:$F$204,MATCH($B135,Clients!$A$5:$A$204,0)),INDEX(Settings!$E$5:$E$19,MATCH($J135,Settings!$D$5:$D$19,0))),0)))</f>
        <v/>
      </c>
      <c r="L135" s="15" t="str">
        <f aca="false">IF($B135="","",$K135*IF($D135="",1,$D135)+$E135)</f>
        <v/>
      </c>
      <c r="M135" s="15" t="str">
        <f aca="false">IF($B135="","",ROUND($L135*Settings!$B$9,2))</f>
        <v/>
      </c>
      <c r="N135" s="15" t="str">
        <f aca="false">IF($B135="","",$L135+$M135)</f>
        <v/>
      </c>
      <c r="O135" s="19" t="str">
        <f aca="false">IF($Q135="","",Settings!$B$13&amp;TEXT(ROWS($A$5:$A135),"0000"))</f>
        <v/>
      </c>
      <c r="P135" s="19" t="str">
        <f aca="false">IF($O135="","",IFERROR(INDEX(Invoices!$I$5:$I$504,MATCH($O135,Invoices!$A$5:$A$504,0)),""))</f>
        <v/>
      </c>
      <c r="Q135" s="2" t="str">
        <f aca="false">IF(AND($A135&lt;&gt;"",$B135&lt;&gt;"",$G135="Completed"),COUNTIFS($A$5:$A135,"&lt;&gt;",$B$5:$B135,"&lt;&gt;",$G$5:$G135,"Completed"),"")</f>
        <v/>
      </c>
    </row>
    <row r="136" customFormat="false" ht="15" hidden="false" customHeight="false" outlineLevel="0" collapsed="false">
      <c r="A136" s="16"/>
      <c r="B136" s="12"/>
      <c r="C136" s="17"/>
      <c r="D136" s="18"/>
      <c r="E136" s="13"/>
      <c r="F136" s="13"/>
      <c r="G136" s="12"/>
      <c r="H136" s="12"/>
      <c r="I136" s="19" t="str">
        <f aca="false">IF($B136="","",IFERROR(INDEX(Clients!$D$5:$D$204,MATCH($B136,Clients!$A$5:$A$204,0))&amp;"",""))</f>
        <v/>
      </c>
      <c r="J136" s="19" t="str">
        <f aca="false">IF($B136="","",IF($C136&lt;&gt;"",$C136,IFERROR(INDEX(Clients!$E$5:$E$204,MATCH($B136,Clients!$A$5:$A$204,0))&amp;"","")))</f>
        <v/>
      </c>
      <c r="K136" s="15" t="str">
        <f aca="false">IF($B136="","",IF($F136&lt;&gt;"",$F136,IFERROR(IF(AND(INDEX(Clients!$F$5:$F$204,MATCH($B136,Clients!$A$5:$A$204,0))&amp;""&lt;&gt;"",OR($C136="",$C136=INDEX(Clients!$E$5:$E$204,MATCH($B136,Clients!$A$5:$A$204,0)))),INDEX(Clients!$F$5:$F$204,MATCH($B136,Clients!$A$5:$A$204,0)),INDEX(Settings!$E$5:$E$19,MATCH($J136,Settings!$D$5:$D$19,0))),0)))</f>
        <v/>
      </c>
      <c r="L136" s="15" t="str">
        <f aca="false">IF($B136="","",$K136*IF($D136="",1,$D136)+$E136)</f>
        <v/>
      </c>
      <c r="M136" s="15" t="str">
        <f aca="false">IF($B136="","",ROUND($L136*Settings!$B$9,2))</f>
        <v/>
      </c>
      <c r="N136" s="15" t="str">
        <f aca="false">IF($B136="","",$L136+$M136)</f>
        <v/>
      </c>
      <c r="O136" s="19" t="str">
        <f aca="false">IF($Q136="","",Settings!$B$13&amp;TEXT(ROWS($A$5:$A136),"0000"))</f>
        <v/>
      </c>
      <c r="P136" s="19" t="str">
        <f aca="false">IF($O136="","",IFERROR(INDEX(Invoices!$I$5:$I$504,MATCH($O136,Invoices!$A$5:$A$504,0)),""))</f>
        <v/>
      </c>
      <c r="Q136" s="2" t="str">
        <f aca="false">IF(AND($A136&lt;&gt;"",$B136&lt;&gt;"",$G136="Completed"),COUNTIFS($A$5:$A136,"&lt;&gt;",$B$5:$B136,"&lt;&gt;",$G$5:$G136,"Completed"),"")</f>
        <v/>
      </c>
    </row>
    <row r="137" customFormat="false" ht="15" hidden="false" customHeight="false" outlineLevel="0" collapsed="false">
      <c r="A137" s="16"/>
      <c r="B137" s="12"/>
      <c r="C137" s="17"/>
      <c r="D137" s="18"/>
      <c r="E137" s="13"/>
      <c r="F137" s="13"/>
      <c r="G137" s="12"/>
      <c r="H137" s="12"/>
      <c r="I137" s="19" t="str">
        <f aca="false">IF($B137="","",IFERROR(INDEX(Clients!$D$5:$D$204,MATCH($B137,Clients!$A$5:$A$204,0))&amp;"",""))</f>
        <v/>
      </c>
      <c r="J137" s="19" t="str">
        <f aca="false">IF($B137="","",IF($C137&lt;&gt;"",$C137,IFERROR(INDEX(Clients!$E$5:$E$204,MATCH($B137,Clients!$A$5:$A$204,0))&amp;"","")))</f>
        <v/>
      </c>
      <c r="K137" s="15" t="str">
        <f aca="false">IF($B137="","",IF($F137&lt;&gt;"",$F137,IFERROR(IF(AND(INDEX(Clients!$F$5:$F$204,MATCH($B137,Clients!$A$5:$A$204,0))&amp;""&lt;&gt;"",OR($C137="",$C137=INDEX(Clients!$E$5:$E$204,MATCH($B137,Clients!$A$5:$A$204,0)))),INDEX(Clients!$F$5:$F$204,MATCH($B137,Clients!$A$5:$A$204,0)),INDEX(Settings!$E$5:$E$19,MATCH($J137,Settings!$D$5:$D$19,0))),0)))</f>
        <v/>
      </c>
      <c r="L137" s="15" t="str">
        <f aca="false">IF($B137="","",$K137*IF($D137="",1,$D137)+$E137)</f>
        <v/>
      </c>
      <c r="M137" s="15" t="str">
        <f aca="false">IF($B137="","",ROUND($L137*Settings!$B$9,2))</f>
        <v/>
      </c>
      <c r="N137" s="15" t="str">
        <f aca="false">IF($B137="","",$L137+$M137)</f>
        <v/>
      </c>
      <c r="O137" s="19" t="str">
        <f aca="false">IF($Q137="","",Settings!$B$13&amp;TEXT(ROWS($A$5:$A137),"0000"))</f>
        <v/>
      </c>
      <c r="P137" s="19" t="str">
        <f aca="false">IF($O137="","",IFERROR(INDEX(Invoices!$I$5:$I$504,MATCH($O137,Invoices!$A$5:$A$504,0)),""))</f>
        <v/>
      </c>
      <c r="Q137" s="2" t="str">
        <f aca="false">IF(AND($A137&lt;&gt;"",$B137&lt;&gt;"",$G137="Completed"),COUNTIFS($A$5:$A137,"&lt;&gt;",$B$5:$B137,"&lt;&gt;",$G$5:$G137,"Completed"),"")</f>
        <v/>
      </c>
    </row>
    <row r="138" customFormat="false" ht="15" hidden="false" customHeight="false" outlineLevel="0" collapsed="false">
      <c r="A138" s="16"/>
      <c r="B138" s="12"/>
      <c r="C138" s="17"/>
      <c r="D138" s="18"/>
      <c r="E138" s="13"/>
      <c r="F138" s="13"/>
      <c r="G138" s="12"/>
      <c r="H138" s="12"/>
      <c r="I138" s="19" t="str">
        <f aca="false">IF($B138="","",IFERROR(INDEX(Clients!$D$5:$D$204,MATCH($B138,Clients!$A$5:$A$204,0))&amp;"",""))</f>
        <v/>
      </c>
      <c r="J138" s="19" t="str">
        <f aca="false">IF($B138="","",IF($C138&lt;&gt;"",$C138,IFERROR(INDEX(Clients!$E$5:$E$204,MATCH($B138,Clients!$A$5:$A$204,0))&amp;"","")))</f>
        <v/>
      </c>
      <c r="K138" s="15" t="str">
        <f aca="false">IF($B138="","",IF($F138&lt;&gt;"",$F138,IFERROR(IF(AND(INDEX(Clients!$F$5:$F$204,MATCH($B138,Clients!$A$5:$A$204,0))&amp;""&lt;&gt;"",OR($C138="",$C138=INDEX(Clients!$E$5:$E$204,MATCH($B138,Clients!$A$5:$A$204,0)))),INDEX(Clients!$F$5:$F$204,MATCH($B138,Clients!$A$5:$A$204,0)),INDEX(Settings!$E$5:$E$19,MATCH($J138,Settings!$D$5:$D$19,0))),0)))</f>
        <v/>
      </c>
      <c r="L138" s="15" t="str">
        <f aca="false">IF($B138="","",$K138*IF($D138="",1,$D138)+$E138)</f>
        <v/>
      </c>
      <c r="M138" s="15" t="str">
        <f aca="false">IF($B138="","",ROUND($L138*Settings!$B$9,2))</f>
        <v/>
      </c>
      <c r="N138" s="15" t="str">
        <f aca="false">IF($B138="","",$L138+$M138)</f>
        <v/>
      </c>
      <c r="O138" s="19" t="str">
        <f aca="false">IF($Q138="","",Settings!$B$13&amp;TEXT(ROWS($A$5:$A138),"0000"))</f>
        <v/>
      </c>
      <c r="P138" s="19" t="str">
        <f aca="false">IF($O138="","",IFERROR(INDEX(Invoices!$I$5:$I$504,MATCH($O138,Invoices!$A$5:$A$504,0)),""))</f>
        <v/>
      </c>
      <c r="Q138" s="2" t="str">
        <f aca="false">IF(AND($A138&lt;&gt;"",$B138&lt;&gt;"",$G138="Completed"),COUNTIFS($A$5:$A138,"&lt;&gt;",$B$5:$B138,"&lt;&gt;",$G$5:$G138,"Completed"),"")</f>
        <v/>
      </c>
    </row>
    <row r="139" customFormat="false" ht="15" hidden="false" customHeight="false" outlineLevel="0" collapsed="false">
      <c r="A139" s="16"/>
      <c r="B139" s="12"/>
      <c r="C139" s="17"/>
      <c r="D139" s="18"/>
      <c r="E139" s="13"/>
      <c r="F139" s="13"/>
      <c r="G139" s="12"/>
      <c r="H139" s="12"/>
      <c r="I139" s="19" t="str">
        <f aca="false">IF($B139="","",IFERROR(INDEX(Clients!$D$5:$D$204,MATCH($B139,Clients!$A$5:$A$204,0))&amp;"",""))</f>
        <v/>
      </c>
      <c r="J139" s="19" t="str">
        <f aca="false">IF($B139="","",IF($C139&lt;&gt;"",$C139,IFERROR(INDEX(Clients!$E$5:$E$204,MATCH($B139,Clients!$A$5:$A$204,0))&amp;"","")))</f>
        <v/>
      </c>
      <c r="K139" s="15" t="str">
        <f aca="false">IF($B139="","",IF($F139&lt;&gt;"",$F139,IFERROR(IF(AND(INDEX(Clients!$F$5:$F$204,MATCH($B139,Clients!$A$5:$A$204,0))&amp;""&lt;&gt;"",OR($C139="",$C139=INDEX(Clients!$E$5:$E$204,MATCH($B139,Clients!$A$5:$A$204,0)))),INDEX(Clients!$F$5:$F$204,MATCH($B139,Clients!$A$5:$A$204,0)),INDEX(Settings!$E$5:$E$19,MATCH($J139,Settings!$D$5:$D$19,0))),0)))</f>
        <v/>
      </c>
      <c r="L139" s="15" t="str">
        <f aca="false">IF($B139="","",$K139*IF($D139="",1,$D139)+$E139)</f>
        <v/>
      </c>
      <c r="M139" s="15" t="str">
        <f aca="false">IF($B139="","",ROUND($L139*Settings!$B$9,2))</f>
        <v/>
      </c>
      <c r="N139" s="15" t="str">
        <f aca="false">IF($B139="","",$L139+$M139)</f>
        <v/>
      </c>
      <c r="O139" s="19" t="str">
        <f aca="false">IF($Q139="","",Settings!$B$13&amp;TEXT(ROWS($A$5:$A139),"0000"))</f>
        <v/>
      </c>
      <c r="P139" s="19" t="str">
        <f aca="false">IF($O139="","",IFERROR(INDEX(Invoices!$I$5:$I$504,MATCH($O139,Invoices!$A$5:$A$504,0)),""))</f>
        <v/>
      </c>
      <c r="Q139" s="2" t="str">
        <f aca="false">IF(AND($A139&lt;&gt;"",$B139&lt;&gt;"",$G139="Completed"),COUNTIFS($A$5:$A139,"&lt;&gt;",$B$5:$B139,"&lt;&gt;",$G$5:$G139,"Completed"),"")</f>
        <v/>
      </c>
    </row>
    <row r="140" customFormat="false" ht="15" hidden="false" customHeight="false" outlineLevel="0" collapsed="false">
      <c r="A140" s="16"/>
      <c r="B140" s="12"/>
      <c r="C140" s="17"/>
      <c r="D140" s="18"/>
      <c r="E140" s="13"/>
      <c r="F140" s="13"/>
      <c r="G140" s="12"/>
      <c r="H140" s="12"/>
      <c r="I140" s="19" t="str">
        <f aca="false">IF($B140="","",IFERROR(INDEX(Clients!$D$5:$D$204,MATCH($B140,Clients!$A$5:$A$204,0))&amp;"",""))</f>
        <v/>
      </c>
      <c r="J140" s="19" t="str">
        <f aca="false">IF($B140="","",IF($C140&lt;&gt;"",$C140,IFERROR(INDEX(Clients!$E$5:$E$204,MATCH($B140,Clients!$A$5:$A$204,0))&amp;"","")))</f>
        <v/>
      </c>
      <c r="K140" s="15" t="str">
        <f aca="false">IF($B140="","",IF($F140&lt;&gt;"",$F140,IFERROR(IF(AND(INDEX(Clients!$F$5:$F$204,MATCH($B140,Clients!$A$5:$A$204,0))&amp;""&lt;&gt;"",OR($C140="",$C140=INDEX(Clients!$E$5:$E$204,MATCH($B140,Clients!$A$5:$A$204,0)))),INDEX(Clients!$F$5:$F$204,MATCH($B140,Clients!$A$5:$A$204,0)),INDEX(Settings!$E$5:$E$19,MATCH($J140,Settings!$D$5:$D$19,0))),0)))</f>
        <v/>
      </c>
      <c r="L140" s="15" t="str">
        <f aca="false">IF($B140="","",$K140*IF($D140="",1,$D140)+$E140)</f>
        <v/>
      </c>
      <c r="M140" s="15" t="str">
        <f aca="false">IF($B140="","",ROUND($L140*Settings!$B$9,2))</f>
        <v/>
      </c>
      <c r="N140" s="15" t="str">
        <f aca="false">IF($B140="","",$L140+$M140)</f>
        <v/>
      </c>
      <c r="O140" s="19" t="str">
        <f aca="false">IF($Q140="","",Settings!$B$13&amp;TEXT(ROWS($A$5:$A140),"0000"))</f>
        <v/>
      </c>
      <c r="P140" s="19" t="str">
        <f aca="false">IF($O140="","",IFERROR(INDEX(Invoices!$I$5:$I$504,MATCH($O140,Invoices!$A$5:$A$504,0)),""))</f>
        <v/>
      </c>
      <c r="Q140" s="2" t="str">
        <f aca="false">IF(AND($A140&lt;&gt;"",$B140&lt;&gt;"",$G140="Completed"),COUNTIFS($A$5:$A140,"&lt;&gt;",$B$5:$B140,"&lt;&gt;",$G$5:$G140,"Completed"),"")</f>
        <v/>
      </c>
    </row>
    <row r="141" customFormat="false" ht="15" hidden="false" customHeight="false" outlineLevel="0" collapsed="false">
      <c r="A141" s="16"/>
      <c r="B141" s="12"/>
      <c r="C141" s="17"/>
      <c r="D141" s="18"/>
      <c r="E141" s="13"/>
      <c r="F141" s="13"/>
      <c r="G141" s="12"/>
      <c r="H141" s="12"/>
      <c r="I141" s="19" t="str">
        <f aca="false">IF($B141="","",IFERROR(INDEX(Clients!$D$5:$D$204,MATCH($B141,Clients!$A$5:$A$204,0))&amp;"",""))</f>
        <v/>
      </c>
      <c r="J141" s="19" t="str">
        <f aca="false">IF($B141="","",IF($C141&lt;&gt;"",$C141,IFERROR(INDEX(Clients!$E$5:$E$204,MATCH($B141,Clients!$A$5:$A$204,0))&amp;"","")))</f>
        <v/>
      </c>
      <c r="K141" s="15" t="str">
        <f aca="false">IF($B141="","",IF($F141&lt;&gt;"",$F141,IFERROR(IF(AND(INDEX(Clients!$F$5:$F$204,MATCH($B141,Clients!$A$5:$A$204,0))&amp;""&lt;&gt;"",OR($C141="",$C141=INDEX(Clients!$E$5:$E$204,MATCH($B141,Clients!$A$5:$A$204,0)))),INDEX(Clients!$F$5:$F$204,MATCH($B141,Clients!$A$5:$A$204,0)),INDEX(Settings!$E$5:$E$19,MATCH($J141,Settings!$D$5:$D$19,0))),0)))</f>
        <v/>
      </c>
      <c r="L141" s="15" t="str">
        <f aca="false">IF($B141="","",$K141*IF($D141="",1,$D141)+$E141)</f>
        <v/>
      </c>
      <c r="M141" s="15" t="str">
        <f aca="false">IF($B141="","",ROUND($L141*Settings!$B$9,2))</f>
        <v/>
      </c>
      <c r="N141" s="15" t="str">
        <f aca="false">IF($B141="","",$L141+$M141)</f>
        <v/>
      </c>
      <c r="O141" s="19" t="str">
        <f aca="false">IF($Q141="","",Settings!$B$13&amp;TEXT(ROWS($A$5:$A141),"0000"))</f>
        <v/>
      </c>
      <c r="P141" s="19" t="str">
        <f aca="false">IF($O141="","",IFERROR(INDEX(Invoices!$I$5:$I$504,MATCH($O141,Invoices!$A$5:$A$504,0)),""))</f>
        <v/>
      </c>
      <c r="Q141" s="2" t="str">
        <f aca="false">IF(AND($A141&lt;&gt;"",$B141&lt;&gt;"",$G141="Completed"),COUNTIFS($A$5:$A141,"&lt;&gt;",$B$5:$B141,"&lt;&gt;",$G$5:$G141,"Completed"),"")</f>
        <v/>
      </c>
    </row>
    <row r="142" customFormat="false" ht="15" hidden="false" customHeight="false" outlineLevel="0" collapsed="false">
      <c r="A142" s="16"/>
      <c r="B142" s="12"/>
      <c r="C142" s="17"/>
      <c r="D142" s="18"/>
      <c r="E142" s="13"/>
      <c r="F142" s="13"/>
      <c r="G142" s="12"/>
      <c r="H142" s="12"/>
      <c r="I142" s="19" t="str">
        <f aca="false">IF($B142="","",IFERROR(INDEX(Clients!$D$5:$D$204,MATCH($B142,Clients!$A$5:$A$204,0))&amp;"",""))</f>
        <v/>
      </c>
      <c r="J142" s="19" t="str">
        <f aca="false">IF($B142="","",IF($C142&lt;&gt;"",$C142,IFERROR(INDEX(Clients!$E$5:$E$204,MATCH($B142,Clients!$A$5:$A$204,0))&amp;"","")))</f>
        <v/>
      </c>
      <c r="K142" s="15" t="str">
        <f aca="false">IF($B142="","",IF($F142&lt;&gt;"",$F142,IFERROR(IF(AND(INDEX(Clients!$F$5:$F$204,MATCH($B142,Clients!$A$5:$A$204,0))&amp;""&lt;&gt;"",OR($C142="",$C142=INDEX(Clients!$E$5:$E$204,MATCH($B142,Clients!$A$5:$A$204,0)))),INDEX(Clients!$F$5:$F$204,MATCH($B142,Clients!$A$5:$A$204,0)),INDEX(Settings!$E$5:$E$19,MATCH($J142,Settings!$D$5:$D$19,0))),0)))</f>
        <v/>
      </c>
      <c r="L142" s="15" t="str">
        <f aca="false">IF($B142="","",$K142*IF($D142="",1,$D142)+$E142)</f>
        <v/>
      </c>
      <c r="M142" s="15" t="str">
        <f aca="false">IF($B142="","",ROUND($L142*Settings!$B$9,2))</f>
        <v/>
      </c>
      <c r="N142" s="15" t="str">
        <f aca="false">IF($B142="","",$L142+$M142)</f>
        <v/>
      </c>
      <c r="O142" s="19" t="str">
        <f aca="false">IF($Q142="","",Settings!$B$13&amp;TEXT(ROWS($A$5:$A142),"0000"))</f>
        <v/>
      </c>
      <c r="P142" s="19" t="str">
        <f aca="false">IF($O142="","",IFERROR(INDEX(Invoices!$I$5:$I$504,MATCH($O142,Invoices!$A$5:$A$504,0)),""))</f>
        <v/>
      </c>
      <c r="Q142" s="2" t="str">
        <f aca="false">IF(AND($A142&lt;&gt;"",$B142&lt;&gt;"",$G142="Completed"),COUNTIFS($A$5:$A142,"&lt;&gt;",$B$5:$B142,"&lt;&gt;",$G$5:$G142,"Completed"),"")</f>
        <v/>
      </c>
    </row>
    <row r="143" customFormat="false" ht="15" hidden="false" customHeight="false" outlineLevel="0" collapsed="false">
      <c r="A143" s="16"/>
      <c r="B143" s="12"/>
      <c r="C143" s="17"/>
      <c r="D143" s="18"/>
      <c r="E143" s="13"/>
      <c r="F143" s="13"/>
      <c r="G143" s="12"/>
      <c r="H143" s="12"/>
      <c r="I143" s="19" t="str">
        <f aca="false">IF($B143="","",IFERROR(INDEX(Clients!$D$5:$D$204,MATCH($B143,Clients!$A$5:$A$204,0))&amp;"",""))</f>
        <v/>
      </c>
      <c r="J143" s="19" t="str">
        <f aca="false">IF($B143="","",IF($C143&lt;&gt;"",$C143,IFERROR(INDEX(Clients!$E$5:$E$204,MATCH($B143,Clients!$A$5:$A$204,0))&amp;"","")))</f>
        <v/>
      </c>
      <c r="K143" s="15" t="str">
        <f aca="false">IF($B143="","",IF($F143&lt;&gt;"",$F143,IFERROR(IF(AND(INDEX(Clients!$F$5:$F$204,MATCH($B143,Clients!$A$5:$A$204,0))&amp;""&lt;&gt;"",OR($C143="",$C143=INDEX(Clients!$E$5:$E$204,MATCH($B143,Clients!$A$5:$A$204,0)))),INDEX(Clients!$F$5:$F$204,MATCH($B143,Clients!$A$5:$A$204,0)),INDEX(Settings!$E$5:$E$19,MATCH($J143,Settings!$D$5:$D$19,0))),0)))</f>
        <v/>
      </c>
      <c r="L143" s="15" t="str">
        <f aca="false">IF($B143="","",$K143*IF($D143="",1,$D143)+$E143)</f>
        <v/>
      </c>
      <c r="M143" s="15" t="str">
        <f aca="false">IF($B143="","",ROUND($L143*Settings!$B$9,2))</f>
        <v/>
      </c>
      <c r="N143" s="15" t="str">
        <f aca="false">IF($B143="","",$L143+$M143)</f>
        <v/>
      </c>
      <c r="O143" s="19" t="str">
        <f aca="false">IF($Q143="","",Settings!$B$13&amp;TEXT(ROWS($A$5:$A143),"0000"))</f>
        <v/>
      </c>
      <c r="P143" s="19" t="str">
        <f aca="false">IF($O143="","",IFERROR(INDEX(Invoices!$I$5:$I$504,MATCH($O143,Invoices!$A$5:$A$504,0)),""))</f>
        <v/>
      </c>
      <c r="Q143" s="2" t="str">
        <f aca="false">IF(AND($A143&lt;&gt;"",$B143&lt;&gt;"",$G143="Completed"),COUNTIFS($A$5:$A143,"&lt;&gt;",$B$5:$B143,"&lt;&gt;",$G$5:$G143,"Completed"),"")</f>
        <v/>
      </c>
    </row>
    <row r="144" customFormat="false" ht="15" hidden="false" customHeight="false" outlineLevel="0" collapsed="false">
      <c r="A144" s="16"/>
      <c r="B144" s="12"/>
      <c r="C144" s="17"/>
      <c r="D144" s="18"/>
      <c r="E144" s="13"/>
      <c r="F144" s="13"/>
      <c r="G144" s="12"/>
      <c r="H144" s="12"/>
      <c r="I144" s="19" t="str">
        <f aca="false">IF($B144="","",IFERROR(INDEX(Clients!$D$5:$D$204,MATCH($B144,Clients!$A$5:$A$204,0))&amp;"",""))</f>
        <v/>
      </c>
      <c r="J144" s="19" t="str">
        <f aca="false">IF($B144="","",IF($C144&lt;&gt;"",$C144,IFERROR(INDEX(Clients!$E$5:$E$204,MATCH($B144,Clients!$A$5:$A$204,0))&amp;"","")))</f>
        <v/>
      </c>
      <c r="K144" s="15" t="str">
        <f aca="false">IF($B144="","",IF($F144&lt;&gt;"",$F144,IFERROR(IF(AND(INDEX(Clients!$F$5:$F$204,MATCH($B144,Clients!$A$5:$A$204,0))&amp;""&lt;&gt;"",OR($C144="",$C144=INDEX(Clients!$E$5:$E$204,MATCH($B144,Clients!$A$5:$A$204,0)))),INDEX(Clients!$F$5:$F$204,MATCH($B144,Clients!$A$5:$A$204,0)),INDEX(Settings!$E$5:$E$19,MATCH($J144,Settings!$D$5:$D$19,0))),0)))</f>
        <v/>
      </c>
      <c r="L144" s="15" t="str">
        <f aca="false">IF($B144="","",$K144*IF($D144="",1,$D144)+$E144)</f>
        <v/>
      </c>
      <c r="M144" s="15" t="str">
        <f aca="false">IF($B144="","",ROUND($L144*Settings!$B$9,2))</f>
        <v/>
      </c>
      <c r="N144" s="15" t="str">
        <f aca="false">IF($B144="","",$L144+$M144)</f>
        <v/>
      </c>
      <c r="O144" s="19" t="str">
        <f aca="false">IF($Q144="","",Settings!$B$13&amp;TEXT(ROWS($A$5:$A144),"0000"))</f>
        <v/>
      </c>
      <c r="P144" s="19" t="str">
        <f aca="false">IF($O144="","",IFERROR(INDEX(Invoices!$I$5:$I$504,MATCH($O144,Invoices!$A$5:$A$504,0)),""))</f>
        <v/>
      </c>
      <c r="Q144" s="2" t="str">
        <f aca="false">IF(AND($A144&lt;&gt;"",$B144&lt;&gt;"",$G144="Completed"),COUNTIFS($A$5:$A144,"&lt;&gt;",$B$5:$B144,"&lt;&gt;",$G$5:$G144,"Completed"),"")</f>
        <v/>
      </c>
    </row>
    <row r="145" customFormat="false" ht="15" hidden="false" customHeight="false" outlineLevel="0" collapsed="false">
      <c r="A145" s="16"/>
      <c r="B145" s="12"/>
      <c r="C145" s="17"/>
      <c r="D145" s="18"/>
      <c r="E145" s="13"/>
      <c r="F145" s="13"/>
      <c r="G145" s="12"/>
      <c r="H145" s="12"/>
      <c r="I145" s="19" t="str">
        <f aca="false">IF($B145="","",IFERROR(INDEX(Clients!$D$5:$D$204,MATCH($B145,Clients!$A$5:$A$204,0))&amp;"",""))</f>
        <v/>
      </c>
      <c r="J145" s="19" t="str">
        <f aca="false">IF($B145="","",IF($C145&lt;&gt;"",$C145,IFERROR(INDEX(Clients!$E$5:$E$204,MATCH($B145,Clients!$A$5:$A$204,0))&amp;"","")))</f>
        <v/>
      </c>
      <c r="K145" s="15" t="str">
        <f aca="false">IF($B145="","",IF($F145&lt;&gt;"",$F145,IFERROR(IF(AND(INDEX(Clients!$F$5:$F$204,MATCH($B145,Clients!$A$5:$A$204,0))&amp;""&lt;&gt;"",OR($C145="",$C145=INDEX(Clients!$E$5:$E$204,MATCH($B145,Clients!$A$5:$A$204,0)))),INDEX(Clients!$F$5:$F$204,MATCH($B145,Clients!$A$5:$A$204,0)),INDEX(Settings!$E$5:$E$19,MATCH($J145,Settings!$D$5:$D$19,0))),0)))</f>
        <v/>
      </c>
      <c r="L145" s="15" t="str">
        <f aca="false">IF($B145="","",$K145*IF($D145="",1,$D145)+$E145)</f>
        <v/>
      </c>
      <c r="M145" s="15" t="str">
        <f aca="false">IF($B145="","",ROUND($L145*Settings!$B$9,2))</f>
        <v/>
      </c>
      <c r="N145" s="15" t="str">
        <f aca="false">IF($B145="","",$L145+$M145)</f>
        <v/>
      </c>
      <c r="O145" s="19" t="str">
        <f aca="false">IF($Q145="","",Settings!$B$13&amp;TEXT(ROWS($A$5:$A145),"0000"))</f>
        <v/>
      </c>
      <c r="P145" s="19" t="str">
        <f aca="false">IF($O145="","",IFERROR(INDEX(Invoices!$I$5:$I$504,MATCH($O145,Invoices!$A$5:$A$504,0)),""))</f>
        <v/>
      </c>
      <c r="Q145" s="2" t="str">
        <f aca="false">IF(AND($A145&lt;&gt;"",$B145&lt;&gt;"",$G145="Completed"),COUNTIFS($A$5:$A145,"&lt;&gt;",$B$5:$B145,"&lt;&gt;",$G$5:$G145,"Completed"),"")</f>
        <v/>
      </c>
    </row>
    <row r="146" customFormat="false" ht="15" hidden="false" customHeight="false" outlineLevel="0" collapsed="false">
      <c r="A146" s="16"/>
      <c r="B146" s="12"/>
      <c r="C146" s="17"/>
      <c r="D146" s="18"/>
      <c r="E146" s="13"/>
      <c r="F146" s="13"/>
      <c r="G146" s="12"/>
      <c r="H146" s="12"/>
      <c r="I146" s="19" t="str">
        <f aca="false">IF($B146="","",IFERROR(INDEX(Clients!$D$5:$D$204,MATCH($B146,Clients!$A$5:$A$204,0))&amp;"",""))</f>
        <v/>
      </c>
      <c r="J146" s="19" t="str">
        <f aca="false">IF($B146="","",IF($C146&lt;&gt;"",$C146,IFERROR(INDEX(Clients!$E$5:$E$204,MATCH($B146,Clients!$A$5:$A$204,0))&amp;"","")))</f>
        <v/>
      </c>
      <c r="K146" s="15" t="str">
        <f aca="false">IF($B146="","",IF($F146&lt;&gt;"",$F146,IFERROR(IF(AND(INDEX(Clients!$F$5:$F$204,MATCH($B146,Clients!$A$5:$A$204,0))&amp;""&lt;&gt;"",OR($C146="",$C146=INDEX(Clients!$E$5:$E$204,MATCH($B146,Clients!$A$5:$A$204,0)))),INDEX(Clients!$F$5:$F$204,MATCH($B146,Clients!$A$5:$A$204,0)),INDEX(Settings!$E$5:$E$19,MATCH($J146,Settings!$D$5:$D$19,0))),0)))</f>
        <v/>
      </c>
      <c r="L146" s="15" t="str">
        <f aca="false">IF($B146="","",$K146*IF($D146="",1,$D146)+$E146)</f>
        <v/>
      </c>
      <c r="M146" s="15" t="str">
        <f aca="false">IF($B146="","",ROUND($L146*Settings!$B$9,2))</f>
        <v/>
      </c>
      <c r="N146" s="15" t="str">
        <f aca="false">IF($B146="","",$L146+$M146)</f>
        <v/>
      </c>
      <c r="O146" s="19" t="str">
        <f aca="false">IF($Q146="","",Settings!$B$13&amp;TEXT(ROWS($A$5:$A146),"0000"))</f>
        <v/>
      </c>
      <c r="P146" s="19" t="str">
        <f aca="false">IF($O146="","",IFERROR(INDEX(Invoices!$I$5:$I$504,MATCH($O146,Invoices!$A$5:$A$504,0)),""))</f>
        <v/>
      </c>
      <c r="Q146" s="2" t="str">
        <f aca="false">IF(AND($A146&lt;&gt;"",$B146&lt;&gt;"",$G146="Completed"),COUNTIFS($A$5:$A146,"&lt;&gt;",$B$5:$B146,"&lt;&gt;",$G$5:$G146,"Completed"),"")</f>
        <v/>
      </c>
    </row>
    <row r="147" customFormat="false" ht="15" hidden="false" customHeight="false" outlineLevel="0" collapsed="false">
      <c r="A147" s="16"/>
      <c r="B147" s="12"/>
      <c r="C147" s="17"/>
      <c r="D147" s="18"/>
      <c r="E147" s="13"/>
      <c r="F147" s="13"/>
      <c r="G147" s="12"/>
      <c r="H147" s="12"/>
      <c r="I147" s="19" t="str">
        <f aca="false">IF($B147="","",IFERROR(INDEX(Clients!$D$5:$D$204,MATCH($B147,Clients!$A$5:$A$204,0))&amp;"",""))</f>
        <v/>
      </c>
      <c r="J147" s="19" t="str">
        <f aca="false">IF($B147="","",IF($C147&lt;&gt;"",$C147,IFERROR(INDEX(Clients!$E$5:$E$204,MATCH($B147,Clients!$A$5:$A$204,0))&amp;"","")))</f>
        <v/>
      </c>
      <c r="K147" s="15" t="str">
        <f aca="false">IF($B147="","",IF($F147&lt;&gt;"",$F147,IFERROR(IF(AND(INDEX(Clients!$F$5:$F$204,MATCH($B147,Clients!$A$5:$A$204,0))&amp;""&lt;&gt;"",OR($C147="",$C147=INDEX(Clients!$E$5:$E$204,MATCH($B147,Clients!$A$5:$A$204,0)))),INDEX(Clients!$F$5:$F$204,MATCH($B147,Clients!$A$5:$A$204,0)),INDEX(Settings!$E$5:$E$19,MATCH($J147,Settings!$D$5:$D$19,0))),0)))</f>
        <v/>
      </c>
      <c r="L147" s="15" t="str">
        <f aca="false">IF($B147="","",$K147*IF($D147="",1,$D147)+$E147)</f>
        <v/>
      </c>
      <c r="M147" s="15" t="str">
        <f aca="false">IF($B147="","",ROUND($L147*Settings!$B$9,2))</f>
        <v/>
      </c>
      <c r="N147" s="15" t="str">
        <f aca="false">IF($B147="","",$L147+$M147)</f>
        <v/>
      </c>
      <c r="O147" s="19" t="str">
        <f aca="false">IF($Q147="","",Settings!$B$13&amp;TEXT(ROWS($A$5:$A147),"0000"))</f>
        <v/>
      </c>
      <c r="P147" s="19" t="str">
        <f aca="false">IF($O147="","",IFERROR(INDEX(Invoices!$I$5:$I$504,MATCH($O147,Invoices!$A$5:$A$504,0)),""))</f>
        <v/>
      </c>
      <c r="Q147" s="2" t="str">
        <f aca="false">IF(AND($A147&lt;&gt;"",$B147&lt;&gt;"",$G147="Completed"),COUNTIFS($A$5:$A147,"&lt;&gt;",$B$5:$B147,"&lt;&gt;",$G$5:$G147,"Completed"),"")</f>
        <v/>
      </c>
    </row>
    <row r="148" customFormat="false" ht="15" hidden="false" customHeight="false" outlineLevel="0" collapsed="false">
      <c r="A148" s="16"/>
      <c r="B148" s="12"/>
      <c r="C148" s="17"/>
      <c r="D148" s="18"/>
      <c r="E148" s="13"/>
      <c r="F148" s="13"/>
      <c r="G148" s="12"/>
      <c r="H148" s="12"/>
      <c r="I148" s="19" t="str">
        <f aca="false">IF($B148="","",IFERROR(INDEX(Clients!$D$5:$D$204,MATCH($B148,Clients!$A$5:$A$204,0))&amp;"",""))</f>
        <v/>
      </c>
      <c r="J148" s="19" t="str">
        <f aca="false">IF($B148="","",IF($C148&lt;&gt;"",$C148,IFERROR(INDEX(Clients!$E$5:$E$204,MATCH($B148,Clients!$A$5:$A$204,0))&amp;"","")))</f>
        <v/>
      </c>
      <c r="K148" s="15" t="str">
        <f aca="false">IF($B148="","",IF($F148&lt;&gt;"",$F148,IFERROR(IF(AND(INDEX(Clients!$F$5:$F$204,MATCH($B148,Clients!$A$5:$A$204,0))&amp;""&lt;&gt;"",OR($C148="",$C148=INDEX(Clients!$E$5:$E$204,MATCH($B148,Clients!$A$5:$A$204,0)))),INDEX(Clients!$F$5:$F$204,MATCH($B148,Clients!$A$5:$A$204,0)),INDEX(Settings!$E$5:$E$19,MATCH($J148,Settings!$D$5:$D$19,0))),0)))</f>
        <v/>
      </c>
      <c r="L148" s="15" t="str">
        <f aca="false">IF($B148="","",$K148*IF($D148="",1,$D148)+$E148)</f>
        <v/>
      </c>
      <c r="M148" s="15" t="str">
        <f aca="false">IF($B148="","",ROUND($L148*Settings!$B$9,2))</f>
        <v/>
      </c>
      <c r="N148" s="15" t="str">
        <f aca="false">IF($B148="","",$L148+$M148)</f>
        <v/>
      </c>
      <c r="O148" s="19" t="str">
        <f aca="false">IF($Q148="","",Settings!$B$13&amp;TEXT(ROWS($A$5:$A148),"0000"))</f>
        <v/>
      </c>
      <c r="P148" s="19" t="str">
        <f aca="false">IF($O148="","",IFERROR(INDEX(Invoices!$I$5:$I$504,MATCH($O148,Invoices!$A$5:$A$504,0)),""))</f>
        <v/>
      </c>
      <c r="Q148" s="2" t="str">
        <f aca="false">IF(AND($A148&lt;&gt;"",$B148&lt;&gt;"",$G148="Completed"),COUNTIFS($A$5:$A148,"&lt;&gt;",$B$5:$B148,"&lt;&gt;",$G$5:$G148,"Completed"),"")</f>
        <v/>
      </c>
    </row>
    <row r="149" customFormat="false" ht="15" hidden="false" customHeight="false" outlineLevel="0" collapsed="false">
      <c r="A149" s="16"/>
      <c r="B149" s="12"/>
      <c r="C149" s="17"/>
      <c r="D149" s="18"/>
      <c r="E149" s="13"/>
      <c r="F149" s="13"/>
      <c r="G149" s="12"/>
      <c r="H149" s="12"/>
      <c r="I149" s="19" t="str">
        <f aca="false">IF($B149="","",IFERROR(INDEX(Clients!$D$5:$D$204,MATCH($B149,Clients!$A$5:$A$204,0))&amp;"",""))</f>
        <v/>
      </c>
      <c r="J149" s="19" t="str">
        <f aca="false">IF($B149="","",IF($C149&lt;&gt;"",$C149,IFERROR(INDEX(Clients!$E$5:$E$204,MATCH($B149,Clients!$A$5:$A$204,0))&amp;"","")))</f>
        <v/>
      </c>
      <c r="K149" s="15" t="str">
        <f aca="false">IF($B149="","",IF($F149&lt;&gt;"",$F149,IFERROR(IF(AND(INDEX(Clients!$F$5:$F$204,MATCH($B149,Clients!$A$5:$A$204,0))&amp;""&lt;&gt;"",OR($C149="",$C149=INDEX(Clients!$E$5:$E$204,MATCH($B149,Clients!$A$5:$A$204,0)))),INDEX(Clients!$F$5:$F$204,MATCH($B149,Clients!$A$5:$A$204,0)),INDEX(Settings!$E$5:$E$19,MATCH($J149,Settings!$D$5:$D$19,0))),0)))</f>
        <v/>
      </c>
      <c r="L149" s="15" t="str">
        <f aca="false">IF($B149="","",$K149*IF($D149="",1,$D149)+$E149)</f>
        <v/>
      </c>
      <c r="M149" s="15" t="str">
        <f aca="false">IF($B149="","",ROUND($L149*Settings!$B$9,2))</f>
        <v/>
      </c>
      <c r="N149" s="15" t="str">
        <f aca="false">IF($B149="","",$L149+$M149)</f>
        <v/>
      </c>
      <c r="O149" s="19" t="str">
        <f aca="false">IF($Q149="","",Settings!$B$13&amp;TEXT(ROWS($A$5:$A149),"0000"))</f>
        <v/>
      </c>
      <c r="P149" s="19" t="str">
        <f aca="false">IF($O149="","",IFERROR(INDEX(Invoices!$I$5:$I$504,MATCH($O149,Invoices!$A$5:$A$504,0)),""))</f>
        <v/>
      </c>
      <c r="Q149" s="2" t="str">
        <f aca="false">IF(AND($A149&lt;&gt;"",$B149&lt;&gt;"",$G149="Completed"),COUNTIFS($A$5:$A149,"&lt;&gt;",$B$5:$B149,"&lt;&gt;",$G$5:$G149,"Completed"),"")</f>
        <v/>
      </c>
    </row>
    <row r="150" customFormat="false" ht="15" hidden="false" customHeight="false" outlineLevel="0" collapsed="false">
      <c r="A150" s="16"/>
      <c r="B150" s="12"/>
      <c r="C150" s="17"/>
      <c r="D150" s="18"/>
      <c r="E150" s="13"/>
      <c r="F150" s="13"/>
      <c r="G150" s="12"/>
      <c r="H150" s="12"/>
      <c r="I150" s="19" t="str">
        <f aca="false">IF($B150="","",IFERROR(INDEX(Clients!$D$5:$D$204,MATCH($B150,Clients!$A$5:$A$204,0))&amp;"",""))</f>
        <v/>
      </c>
      <c r="J150" s="19" t="str">
        <f aca="false">IF($B150="","",IF($C150&lt;&gt;"",$C150,IFERROR(INDEX(Clients!$E$5:$E$204,MATCH($B150,Clients!$A$5:$A$204,0))&amp;"","")))</f>
        <v/>
      </c>
      <c r="K150" s="15" t="str">
        <f aca="false">IF($B150="","",IF($F150&lt;&gt;"",$F150,IFERROR(IF(AND(INDEX(Clients!$F$5:$F$204,MATCH($B150,Clients!$A$5:$A$204,0))&amp;""&lt;&gt;"",OR($C150="",$C150=INDEX(Clients!$E$5:$E$204,MATCH($B150,Clients!$A$5:$A$204,0)))),INDEX(Clients!$F$5:$F$204,MATCH($B150,Clients!$A$5:$A$204,0)),INDEX(Settings!$E$5:$E$19,MATCH($J150,Settings!$D$5:$D$19,0))),0)))</f>
        <v/>
      </c>
      <c r="L150" s="15" t="str">
        <f aca="false">IF($B150="","",$K150*IF($D150="",1,$D150)+$E150)</f>
        <v/>
      </c>
      <c r="M150" s="15" t="str">
        <f aca="false">IF($B150="","",ROUND($L150*Settings!$B$9,2))</f>
        <v/>
      </c>
      <c r="N150" s="15" t="str">
        <f aca="false">IF($B150="","",$L150+$M150)</f>
        <v/>
      </c>
      <c r="O150" s="19" t="str">
        <f aca="false">IF($Q150="","",Settings!$B$13&amp;TEXT(ROWS($A$5:$A150),"0000"))</f>
        <v/>
      </c>
      <c r="P150" s="19" t="str">
        <f aca="false">IF($O150="","",IFERROR(INDEX(Invoices!$I$5:$I$504,MATCH($O150,Invoices!$A$5:$A$504,0)),""))</f>
        <v/>
      </c>
      <c r="Q150" s="2" t="str">
        <f aca="false">IF(AND($A150&lt;&gt;"",$B150&lt;&gt;"",$G150="Completed"),COUNTIFS($A$5:$A150,"&lt;&gt;",$B$5:$B150,"&lt;&gt;",$G$5:$G150,"Completed"),"")</f>
        <v/>
      </c>
    </row>
    <row r="151" customFormat="false" ht="15" hidden="false" customHeight="false" outlineLevel="0" collapsed="false">
      <c r="A151" s="16"/>
      <c r="B151" s="12"/>
      <c r="C151" s="17"/>
      <c r="D151" s="18"/>
      <c r="E151" s="13"/>
      <c r="F151" s="13"/>
      <c r="G151" s="12"/>
      <c r="H151" s="12"/>
      <c r="I151" s="19" t="str">
        <f aca="false">IF($B151="","",IFERROR(INDEX(Clients!$D$5:$D$204,MATCH($B151,Clients!$A$5:$A$204,0))&amp;"",""))</f>
        <v/>
      </c>
      <c r="J151" s="19" t="str">
        <f aca="false">IF($B151="","",IF($C151&lt;&gt;"",$C151,IFERROR(INDEX(Clients!$E$5:$E$204,MATCH($B151,Clients!$A$5:$A$204,0))&amp;"","")))</f>
        <v/>
      </c>
      <c r="K151" s="15" t="str">
        <f aca="false">IF($B151="","",IF($F151&lt;&gt;"",$F151,IFERROR(IF(AND(INDEX(Clients!$F$5:$F$204,MATCH($B151,Clients!$A$5:$A$204,0))&amp;""&lt;&gt;"",OR($C151="",$C151=INDEX(Clients!$E$5:$E$204,MATCH($B151,Clients!$A$5:$A$204,0)))),INDEX(Clients!$F$5:$F$204,MATCH($B151,Clients!$A$5:$A$204,0)),INDEX(Settings!$E$5:$E$19,MATCH($J151,Settings!$D$5:$D$19,0))),0)))</f>
        <v/>
      </c>
      <c r="L151" s="15" t="str">
        <f aca="false">IF($B151="","",$K151*IF($D151="",1,$D151)+$E151)</f>
        <v/>
      </c>
      <c r="M151" s="15" t="str">
        <f aca="false">IF($B151="","",ROUND($L151*Settings!$B$9,2))</f>
        <v/>
      </c>
      <c r="N151" s="15" t="str">
        <f aca="false">IF($B151="","",$L151+$M151)</f>
        <v/>
      </c>
      <c r="O151" s="19" t="str">
        <f aca="false">IF($Q151="","",Settings!$B$13&amp;TEXT(ROWS($A$5:$A151),"0000"))</f>
        <v/>
      </c>
      <c r="P151" s="19" t="str">
        <f aca="false">IF($O151="","",IFERROR(INDEX(Invoices!$I$5:$I$504,MATCH($O151,Invoices!$A$5:$A$504,0)),""))</f>
        <v/>
      </c>
      <c r="Q151" s="2" t="str">
        <f aca="false">IF(AND($A151&lt;&gt;"",$B151&lt;&gt;"",$G151="Completed"),COUNTIFS($A$5:$A151,"&lt;&gt;",$B$5:$B151,"&lt;&gt;",$G$5:$G151,"Completed"),"")</f>
        <v/>
      </c>
    </row>
    <row r="152" customFormat="false" ht="15" hidden="false" customHeight="false" outlineLevel="0" collapsed="false">
      <c r="A152" s="16"/>
      <c r="B152" s="12"/>
      <c r="C152" s="17"/>
      <c r="D152" s="18"/>
      <c r="E152" s="13"/>
      <c r="F152" s="13"/>
      <c r="G152" s="12"/>
      <c r="H152" s="12"/>
      <c r="I152" s="19" t="str">
        <f aca="false">IF($B152="","",IFERROR(INDEX(Clients!$D$5:$D$204,MATCH($B152,Clients!$A$5:$A$204,0))&amp;"",""))</f>
        <v/>
      </c>
      <c r="J152" s="19" t="str">
        <f aca="false">IF($B152="","",IF($C152&lt;&gt;"",$C152,IFERROR(INDEX(Clients!$E$5:$E$204,MATCH($B152,Clients!$A$5:$A$204,0))&amp;"","")))</f>
        <v/>
      </c>
      <c r="K152" s="15" t="str">
        <f aca="false">IF($B152="","",IF($F152&lt;&gt;"",$F152,IFERROR(IF(AND(INDEX(Clients!$F$5:$F$204,MATCH($B152,Clients!$A$5:$A$204,0))&amp;""&lt;&gt;"",OR($C152="",$C152=INDEX(Clients!$E$5:$E$204,MATCH($B152,Clients!$A$5:$A$204,0)))),INDEX(Clients!$F$5:$F$204,MATCH($B152,Clients!$A$5:$A$204,0)),INDEX(Settings!$E$5:$E$19,MATCH($J152,Settings!$D$5:$D$19,0))),0)))</f>
        <v/>
      </c>
      <c r="L152" s="15" t="str">
        <f aca="false">IF($B152="","",$K152*IF($D152="",1,$D152)+$E152)</f>
        <v/>
      </c>
      <c r="M152" s="15" t="str">
        <f aca="false">IF($B152="","",ROUND($L152*Settings!$B$9,2))</f>
        <v/>
      </c>
      <c r="N152" s="15" t="str">
        <f aca="false">IF($B152="","",$L152+$M152)</f>
        <v/>
      </c>
      <c r="O152" s="19" t="str">
        <f aca="false">IF($Q152="","",Settings!$B$13&amp;TEXT(ROWS($A$5:$A152),"0000"))</f>
        <v/>
      </c>
      <c r="P152" s="19" t="str">
        <f aca="false">IF($O152="","",IFERROR(INDEX(Invoices!$I$5:$I$504,MATCH($O152,Invoices!$A$5:$A$504,0)),""))</f>
        <v/>
      </c>
      <c r="Q152" s="2" t="str">
        <f aca="false">IF(AND($A152&lt;&gt;"",$B152&lt;&gt;"",$G152="Completed"),COUNTIFS($A$5:$A152,"&lt;&gt;",$B$5:$B152,"&lt;&gt;",$G$5:$G152,"Completed"),"")</f>
        <v/>
      </c>
    </row>
    <row r="153" customFormat="false" ht="15" hidden="false" customHeight="false" outlineLevel="0" collapsed="false">
      <c r="A153" s="16"/>
      <c r="B153" s="12"/>
      <c r="C153" s="17"/>
      <c r="D153" s="18"/>
      <c r="E153" s="13"/>
      <c r="F153" s="13"/>
      <c r="G153" s="12"/>
      <c r="H153" s="12"/>
      <c r="I153" s="19" t="str">
        <f aca="false">IF($B153="","",IFERROR(INDEX(Clients!$D$5:$D$204,MATCH($B153,Clients!$A$5:$A$204,0))&amp;"",""))</f>
        <v/>
      </c>
      <c r="J153" s="19" t="str">
        <f aca="false">IF($B153="","",IF($C153&lt;&gt;"",$C153,IFERROR(INDEX(Clients!$E$5:$E$204,MATCH($B153,Clients!$A$5:$A$204,0))&amp;"","")))</f>
        <v/>
      </c>
      <c r="K153" s="15" t="str">
        <f aca="false">IF($B153="","",IF($F153&lt;&gt;"",$F153,IFERROR(IF(AND(INDEX(Clients!$F$5:$F$204,MATCH($B153,Clients!$A$5:$A$204,0))&amp;""&lt;&gt;"",OR($C153="",$C153=INDEX(Clients!$E$5:$E$204,MATCH($B153,Clients!$A$5:$A$204,0)))),INDEX(Clients!$F$5:$F$204,MATCH($B153,Clients!$A$5:$A$204,0)),INDEX(Settings!$E$5:$E$19,MATCH($J153,Settings!$D$5:$D$19,0))),0)))</f>
        <v/>
      </c>
      <c r="L153" s="15" t="str">
        <f aca="false">IF($B153="","",$K153*IF($D153="",1,$D153)+$E153)</f>
        <v/>
      </c>
      <c r="M153" s="15" t="str">
        <f aca="false">IF($B153="","",ROUND($L153*Settings!$B$9,2))</f>
        <v/>
      </c>
      <c r="N153" s="15" t="str">
        <f aca="false">IF($B153="","",$L153+$M153)</f>
        <v/>
      </c>
      <c r="O153" s="19" t="str">
        <f aca="false">IF($Q153="","",Settings!$B$13&amp;TEXT(ROWS($A$5:$A153),"0000"))</f>
        <v/>
      </c>
      <c r="P153" s="19" t="str">
        <f aca="false">IF($O153="","",IFERROR(INDEX(Invoices!$I$5:$I$504,MATCH($O153,Invoices!$A$5:$A$504,0)),""))</f>
        <v/>
      </c>
      <c r="Q153" s="2" t="str">
        <f aca="false">IF(AND($A153&lt;&gt;"",$B153&lt;&gt;"",$G153="Completed"),COUNTIFS($A$5:$A153,"&lt;&gt;",$B$5:$B153,"&lt;&gt;",$G$5:$G153,"Completed"),"")</f>
        <v/>
      </c>
    </row>
    <row r="154" customFormat="false" ht="15" hidden="false" customHeight="false" outlineLevel="0" collapsed="false">
      <c r="A154" s="16"/>
      <c r="B154" s="12"/>
      <c r="C154" s="17"/>
      <c r="D154" s="18"/>
      <c r="E154" s="13"/>
      <c r="F154" s="13"/>
      <c r="G154" s="12"/>
      <c r="H154" s="12"/>
      <c r="I154" s="19" t="str">
        <f aca="false">IF($B154="","",IFERROR(INDEX(Clients!$D$5:$D$204,MATCH($B154,Clients!$A$5:$A$204,0))&amp;"",""))</f>
        <v/>
      </c>
      <c r="J154" s="19" t="str">
        <f aca="false">IF($B154="","",IF($C154&lt;&gt;"",$C154,IFERROR(INDEX(Clients!$E$5:$E$204,MATCH($B154,Clients!$A$5:$A$204,0))&amp;"","")))</f>
        <v/>
      </c>
      <c r="K154" s="15" t="str">
        <f aca="false">IF($B154="","",IF($F154&lt;&gt;"",$F154,IFERROR(IF(AND(INDEX(Clients!$F$5:$F$204,MATCH($B154,Clients!$A$5:$A$204,0))&amp;""&lt;&gt;"",OR($C154="",$C154=INDEX(Clients!$E$5:$E$204,MATCH($B154,Clients!$A$5:$A$204,0)))),INDEX(Clients!$F$5:$F$204,MATCH($B154,Clients!$A$5:$A$204,0)),INDEX(Settings!$E$5:$E$19,MATCH($J154,Settings!$D$5:$D$19,0))),0)))</f>
        <v/>
      </c>
      <c r="L154" s="15" t="str">
        <f aca="false">IF($B154="","",$K154*IF($D154="",1,$D154)+$E154)</f>
        <v/>
      </c>
      <c r="M154" s="15" t="str">
        <f aca="false">IF($B154="","",ROUND($L154*Settings!$B$9,2))</f>
        <v/>
      </c>
      <c r="N154" s="15" t="str">
        <f aca="false">IF($B154="","",$L154+$M154)</f>
        <v/>
      </c>
      <c r="O154" s="19" t="str">
        <f aca="false">IF($Q154="","",Settings!$B$13&amp;TEXT(ROWS($A$5:$A154),"0000"))</f>
        <v/>
      </c>
      <c r="P154" s="19" t="str">
        <f aca="false">IF($O154="","",IFERROR(INDEX(Invoices!$I$5:$I$504,MATCH($O154,Invoices!$A$5:$A$504,0)),""))</f>
        <v/>
      </c>
      <c r="Q154" s="2" t="str">
        <f aca="false">IF(AND($A154&lt;&gt;"",$B154&lt;&gt;"",$G154="Completed"),COUNTIFS($A$5:$A154,"&lt;&gt;",$B$5:$B154,"&lt;&gt;",$G$5:$G154,"Completed"),"")</f>
        <v/>
      </c>
    </row>
    <row r="155" customFormat="false" ht="15" hidden="false" customHeight="false" outlineLevel="0" collapsed="false">
      <c r="A155" s="16"/>
      <c r="B155" s="12"/>
      <c r="C155" s="17"/>
      <c r="D155" s="18"/>
      <c r="E155" s="13"/>
      <c r="F155" s="13"/>
      <c r="G155" s="12"/>
      <c r="H155" s="12"/>
      <c r="I155" s="19" t="str">
        <f aca="false">IF($B155="","",IFERROR(INDEX(Clients!$D$5:$D$204,MATCH($B155,Clients!$A$5:$A$204,0))&amp;"",""))</f>
        <v/>
      </c>
      <c r="J155" s="19" t="str">
        <f aca="false">IF($B155="","",IF($C155&lt;&gt;"",$C155,IFERROR(INDEX(Clients!$E$5:$E$204,MATCH($B155,Clients!$A$5:$A$204,0))&amp;"","")))</f>
        <v/>
      </c>
      <c r="K155" s="15" t="str">
        <f aca="false">IF($B155="","",IF($F155&lt;&gt;"",$F155,IFERROR(IF(AND(INDEX(Clients!$F$5:$F$204,MATCH($B155,Clients!$A$5:$A$204,0))&amp;""&lt;&gt;"",OR($C155="",$C155=INDEX(Clients!$E$5:$E$204,MATCH($B155,Clients!$A$5:$A$204,0)))),INDEX(Clients!$F$5:$F$204,MATCH($B155,Clients!$A$5:$A$204,0)),INDEX(Settings!$E$5:$E$19,MATCH($J155,Settings!$D$5:$D$19,0))),0)))</f>
        <v/>
      </c>
      <c r="L155" s="15" t="str">
        <f aca="false">IF($B155="","",$K155*IF($D155="",1,$D155)+$E155)</f>
        <v/>
      </c>
      <c r="M155" s="15" t="str">
        <f aca="false">IF($B155="","",ROUND($L155*Settings!$B$9,2))</f>
        <v/>
      </c>
      <c r="N155" s="15" t="str">
        <f aca="false">IF($B155="","",$L155+$M155)</f>
        <v/>
      </c>
      <c r="O155" s="19" t="str">
        <f aca="false">IF($Q155="","",Settings!$B$13&amp;TEXT(ROWS($A$5:$A155),"0000"))</f>
        <v/>
      </c>
      <c r="P155" s="19" t="str">
        <f aca="false">IF($O155="","",IFERROR(INDEX(Invoices!$I$5:$I$504,MATCH($O155,Invoices!$A$5:$A$504,0)),""))</f>
        <v/>
      </c>
      <c r="Q155" s="2" t="str">
        <f aca="false">IF(AND($A155&lt;&gt;"",$B155&lt;&gt;"",$G155="Completed"),COUNTIFS($A$5:$A155,"&lt;&gt;",$B$5:$B155,"&lt;&gt;",$G$5:$G155,"Completed"),"")</f>
        <v/>
      </c>
    </row>
    <row r="156" customFormat="false" ht="15" hidden="false" customHeight="false" outlineLevel="0" collapsed="false">
      <c r="A156" s="16"/>
      <c r="B156" s="12"/>
      <c r="C156" s="17"/>
      <c r="D156" s="18"/>
      <c r="E156" s="13"/>
      <c r="F156" s="13"/>
      <c r="G156" s="12"/>
      <c r="H156" s="12"/>
      <c r="I156" s="19" t="str">
        <f aca="false">IF($B156="","",IFERROR(INDEX(Clients!$D$5:$D$204,MATCH($B156,Clients!$A$5:$A$204,0))&amp;"",""))</f>
        <v/>
      </c>
      <c r="J156" s="19" t="str">
        <f aca="false">IF($B156="","",IF($C156&lt;&gt;"",$C156,IFERROR(INDEX(Clients!$E$5:$E$204,MATCH($B156,Clients!$A$5:$A$204,0))&amp;"","")))</f>
        <v/>
      </c>
      <c r="K156" s="15" t="str">
        <f aca="false">IF($B156="","",IF($F156&lt;&gt;"",$F156,IFERROR(IF(AND(INDEX(Clients!$F$5:$F$204,MATCH($B156,Clients!$A$5:$A$204,0))&amp;""&lt;&gt;"",OR($C156="",$C156=INDEX(Clients!$E$5:$E$204,MATCH($B156,Clients!$A$5:$A$204,0)))),INDEX(Clients!$F$5:$F$204,MATCH($B156,Clients!$A$5:$A$204,0)),INDEX(Settings!$E$5:$E$19,MATCH($J156,Settings!$D$5:$D$19,0))),0)))</f>
        <v/>
      </c>
      <c r="L156" s="15" t="str">
        <f aca="false">IF($B156="","",$K156*IF($D156="",1,$D156)+$E156)</f>
        <v/>
      </c>
      <c r="M156" s="15" t="str">
        <f aca="false">IF($B156="","",ROUND($L156*Settings!$B$9,2))</f>
        <v/>
      </c>
      <c r="N156" s="15" t="str">
        <f aca="false">IF($B156="","",$L156+$M156)</f>
        <v/>
      </c>
      <c r="O156" s="19" t="str">
        <f aca="false">IF($Q156="","",Settings!$B$13&amp;TEXT(ROWS($A$5:$A156),"0000"))</f>
        <v/>
      </c>
      <c r="P156" s="19" t="str">
        <f aca="false">IF($O156="","",IFERROR(INDEX(Invoices!$I$5:$I$504,MATCH($O156,Invoices!$A$5:$A$504,0)),""))</f>
        <v/>
      </c>
      <c r="Q156" s="2" t="str">
        <f aca="false">IF(AND($A156&lt;&gt;"",$B156&lt;&gt;"",$G156="Completed"),COUNTIFS($A$5:$A156,"&lt;&gt;",$B$5:$B156,"&lt;&gt;",$G$5:$G156,"Completed"),"")</f>
        <v/>
      </c>
    </row>
    <row r="157" customFormat="false" ht="15" hidden="false" customHeight="false" outlineLevel="0" collapsed="false">
      <c r="A157" s="16"/>
      <c r="B157" s="12"/>
      <c r="C157" s="17"/>
      <c r="D157" s="18"/>
      <c r="E157" s="13"/>
      <c r="F157" s="13"/>
      <c r="G157" s="12"/>
      <c r="H157" s="12"/>
      <c r="I157" s="19" t="str">
        <f aca="false">IF($B157="","",IFERROR(INDEX(Clients!$D$5:$D$204,MATCH($B157,Clients!$A$5:$A$204,0))&amp;"",""))</f>
        <v/>
      </c>
      <c r="J157" s="19" t="str">
        <f aca="false">IF($B157="","",IF($C157&lt;&gt;"",$C157,IFERROR(INDEX(Clients!$E$5:$E$204,MATCH($B157,Clients!$A$5:$A$204,0))&amp;"","")))</f>
        <v/>
      </c>
      <c r="K157" s="15" t="str">
        <f aca="false">IF($B157="","",IF($F157&lt;&gt;"",$F157,IFERROR(IF(AND(INDEX(Clients!$F$5:$F$204,MATCH($B157,Clients!$A$5:$A$204,0))&amp;""&lt;&gt;"",OR($C157="",$C157=INDEX(Clients!$E$5:$E$204,MATCH($B157,Clients!$A$5:$A$204,0)))),INDEX(Clients!$F$5:$F$204,MATCH($B157,Clients!$A$5:$A$204,0)),INDEX(Settings!$E$5:$E$19,MATCH($J157,Settings!$D$5:$D$19,0))),0)))</f>
        <v/>
      </c>
      <c r="L157" s="15" t="str">
        <f aca="false">IF($B157="","",$K157*IF($D157="",1,$D157)+$E157)</f>
        <v/>
      </c>
      <c r="M157" s="15" t="str">
        <f aca="false">IF($B157="","",ROUND($L157*Settings!$B$9,2))</f>
        <v/>
      </c>
      <c r="N157" s="15" t="str">
        <f aca="false">IF($B157="","",$L157+$M157)</f>
        <v/>
      </c>
      <c r="O157" s="19" t="str">
        <f aca="false">IF($Q157="","",Settings!$B$13&amp;TEXT(ROWS($A$5:$A157),"0000"))</f>
        <v/>
      </c>
      <c r="P157" s="19" t="str">
        <f aca="false">IF($O157="","",IFERROR(INDEX(Invoices!$I$5:$I$504,MATCH($O157,Invoices!$A$5:$A$504,0)),""))</f>
        <v/>
      </c>
      <c r="Q157" s="2" t="str">
        <f aca="false">IF(AND($A157&lt;&gt;"",$B157&lt;&gt;"",$G157="Completed"),COUNTIFS($A$5:$A157,"&lt;&gt;",$B$5:$B157,"&lt;&gt;",$G$5:$G157,"Completed"),"")</f>
        <v/>
      </c>
    </row>
    <row r="158" customFormat="false" ht="15" hidden="false" customHeight="false" outlineLevel="0" collapsed="false">
      <c r="A158" s="16"/>
      <c r="B158" s="12"/>
      <c r="C158" s="17"/>
      <c r="D158" s="18"/>
      <c r="E158" s="13"/>
      <c r="F158" s="13"/>
      <c r="G158" s="12"/>
      <c r="H158" s="12"/>
      <c r="I158" s="19" t="str">
        <f aca="false">IF($B158="","",IFERROR(INDEX(Clients!$D$5:$D$204,MATCH($B158,Clients!$A$5:$A$204,0))&amp;"",""))</f>
        <v/>
      </c>
      <c r="J158" s="19" t="str">
        <f aca="false">IF($B158="","",IF($C158&lt;&gt;"",$C158,IFERROR(INDEX(Clients!$E$5:$E$204,MATCH($B158,Clients!$A$5:$A$204,0))&amp;"","")))</f>
        <v/>
      </c>
      <c r="K158" s="15" t="str">
        <f aca="false">IF($B158="","",IF($F158&lt;&gt;"",$F158,IFERROR(IF(AND(INDEX(Clients!$F$5:$F$204,MATCH($B158,Clients!$A$5:$A$204,0))&amp;""&lt;&gt;"",OR($C158="",$C158=INDEX(Clients!$E$5:$E$204,MATCH($B158,Clients!$A$5:$A$204,0)))),INDEX(Clients!$F$5:$F$204,MATCH($B158,Clients!$A$5:$A$204,0)),INDEX(Settings!$E$5:$E$19,MATCH($J158,Settings!$D$5:$D$19,0))),0)))</f>
        <v/>
      </c>
      <c r="L158" s="15" t="str">
        <f aca="false">IF($B158="","",$K158*IF($D158="",1,$D158)+$E158)</f>
        <v/>
      </c>
      <c r="M158" s="15" t="str">
        <f aca="false">IF($B158="","",ROUND($L158*Settings!$B$9,2))</f>
        <v/>
      </c>
      <c r="N158" s="15" t="str">
        <f aca="false">IF($B158="","",$L158+$M158)</f>
        <v/>
      </c>
      <c r="O158" s="19" t="str">
        <f aca="false">IF($Q158="","",Settings!$B$13&amp;TEXT(ROWS($A$5:$A158),"0000"))</f>
        <v/>
      </c>
      <c r="P158" s="19" t="str">
        <f aca="false">IF($O158="","",IFERROR(INDEX(Invoices!$I$5:$I$504,MATCH($O158,Invoices!$A$5:$A$504,0)),""))</f>
        <v/>
      </c>
      <c r="Q158" s="2" t="str">
        <f aca="false">IF(AND($A158&lt;&gt;"",$B158&lt;&gt;"",$G158="Completed"),COUNTIFS($A$5:$A158,"&lt;&gt;",$B$5:$B158,"&lt;&gt;",$G$5:$G158,"Completed"),"")</f>
        <v/>
      </c>
    </row>
    <row r="159" customFormat="false" ht="15" hidden="false" customHeight="false" outlineLevel="0" collapsed="false">
      <c r="A159" s="16"/>
      <c r="B159" s="12"/>
      <c r="C159" s="17"/>
      <c r="D159" s="18"/>
      <c r="E159" s="13"/>
      <c r="F159" s="13"/>
      <c r="G159" s="12"/>
      <c r="H159" s="12"/>
      <c r="I159" s="19" t="str">
        <f aca="false">IF($B159="","",IFERROR(INDEX(Clients!$D$5:$D$204,MATCH($B159,Clients!$A$5:$A$204,0))&amp;"",""))</f>
        <v/>
      </c>
      <c r="J159" s="19" t="str">
        <f aca="false">IF($B159="","",IF($C159&lt;&gt;"",$C159,IFERROR(INDEX(Clients!$E$5:$E$204,MATCH($B159,Clients!$A$5:$A$204,0))&amp;"","")))</f>
        <v/>
      </c>
      <c r="K159" s="15" t="str">
        <f aca="false">IF($B159="","",IF($F159&lt;&gt;"",$F159,IFERROR(IF(AND(INDEX(Clients!$F$5:$F$204,MATCH($B159,Clients!$A$5:$A$204,0))&amp;""&lt;&gt;"",OR($C159="",$C159=INDEX(Clients!$E$5:$E$204,MATCH($B159,Clients!$A$5:$A$204,0)))),INDEX(Clients!$F$5:$F$204,MATCH($B159,Clients!$A$5:$A$204,0)),INDEX(Settings!$E$5:$E$19,MATCH($J159,Settings!$D$5:$D$19,0))),0)))</f>
        <v/>
      </c>
      <c r="L159" s="15" t="str">
        <f aca="false">IF($B159="","",$K159*IF($D159="",1,$D159)+$E159)</f>
        <v/>
      </c>
      <c r="M159" s="15" t="str">
        <f aca="false">IF($B159="","",ROUND($L159*Settings!$B$9,2))</f>
        <v/>
      </c>
      <c r="N159" s="15" t="str">
        <f aca="false">IF($B159="","",$L159+$M159)</f>
        <v/>
      </c>
      <c r="O159" s="19" t="str">
        <f aca="false">IF($Q159="","",Settings!$B$13&amp;TEXT(ROWS($A$5:$A159),"0000"))</f>
        <v/>
      </c>
      <c r="P159" s="19" t="str">
        <f aca="false">IF($O159="","",IFERROR(INDEX(Invoices!$I$5:$I$504,MATCH($O159,Invoices!$A$5:$A$504,0)),""))</f>
        <v/>
      </c>
      <c r="Q159" s="2" t="str">
        <f aca="false">IF(AND($A159&lt;&gt;"",$B159&lt;&gt;"",$G159="Completed"),COUNTIFS($A$5:$A159,"&lt;&gt;",$B$5:$B159,"&lt;&gt;",$G$5:$G159,"Completed"),"")</f>
        <v/>
      </c>
    </row>
    <row r="160" customFormat="false" ht="15" hidden="false" customHeight="false" outlineLevel="0" collapsed="false">
      <c r="A160" s="16"/>
      <c r="B160" s="12"/>
      <c r="C160" s="17"/>
      <c r="D160" s="18"/>
      <c r="E160" s="13"/>
      <c r="F160" s="13"/>
      <c r="G160" s="12"/>
      <c r="H160" s="12"/>
      <c r="I160" s="19" t="str">
        <f aca="false">IF($B160="","",IFERROR(INDEX(Clients!$D$5:$D$204,MATCH($B160,Clients!$A$5:$A$204,0))&amp;"",""))</f>
        <v/>
      </c>
      <c r="J160" s="19" t="str">
        <f aca="false">IF($B160="","",IF($C160&lt;&gt;"",$C160,IFERROR(INDEX(Clients!$E$5:$E$204,MATCH($B160,Clients!$A$5:$A$204,0))&amp;"","")))</f>
        <v/>
      </c>
      <c r="K160" s="15" t="str">
        <f aca="false">IF($B160="","",IF($F160&lt;&gt;"",$F160,IFERROR(IF(AND(INDEX(Clients!$F$5:$F$204,MATCH($B160,Clients!$A$5:$A$204,0))&amp;""&lt;&gt;"",OR($C160="",$C160=INDEX(Clients!$E$5:$E$204,MATCH($B160,Clients!$A$5:$A$204,0)))),INDEX(Clients!$F$5:$F$204,MATCH($B160,Clients!$A$5:$A$204,0)),INDEX(Settings!$E$5:$E$19,MATCH($J160,Settings!$D$5:$D$19,0))),0)))</f>
        <v/>
      </c>
      <c r="L160" s="15" t="str">
        <f aca="false">IF($B160="","",$K160*IF($D160="",1,$D160)+$E160)</f>
        <v/>
      </c>
      <c r="M160" s="15" t="str">
        <f aca="false">IF($B160="","",ROUND($L160*Settings!$B$9,2))</f>
        <v/>
      </c>
      <c r="N160" s="15" t="str">
        <f aca="false">IF($B160="","",$L160+$M160)</f>
        <v/>
      </c>
      <c r="O160" s="19" t="str">
        <f aca="false">IF($Q160="","",Settings!$B$13&amp;TEXT(ROWS($A$5:$A160),"0000"))</f>
        <v/>
      </c>
      <c r="P160" s="19" t="str">
        <f aca="false">IF($O160="","",IFERROR(INDEX(Invoices!$I$5:$I$504,MATCH($O160,Invoices!$A$5:$A$504,0)),""))</f>
        <v/>
      </c>
      <c r="Q160" s="2" t="str">
        <f aca="false">IF(AND($A160&lt;&gt;"",$B160&lt;&gt;"",$G160="Completed"),COUNTIFS($A$5:$A160,"&lt;&gt;",$B$5:$B160,"&lt;&gt;",$G$5:$G160,"Completed"),"")</f>
        <v/>
      </c>
    </row>
    <row r="161" customFormat="false" ht="15" hidden="false" customHeight="false" outlineLevel="0" collapsed="false">
      <c r="A161" s="16"/>
      <c r="B161" s="12"/>
      <c r="C161" s="17"/>
      <c r="D161" s="18"/>
      <c r="E161" s="13"/>
      <c r="F161" s="13"/>
      <c r="G161" s="12"/>
      <c r="H161" s="12"/>
      <c r="I161" s="19" t="str">
        <f aca="false">IF($B161="","",IFERROR(INDEX(Clients!$D$5:$D$204,MATCH($B161,Clients!$A$5:$A$204,0))&amp;"",""))</f>
        <v/>
      </c>
      <c r="J161" s="19" t="str">
        <f aca="false">IF($B161="","",IF($C161&lt;&gt;"",$C161,IFERROR(INDEX(Clients!$E$5:$E$204,MATCH($B161,Clients!$A$5:$A$204,0))&amp;"","")))</f>
        <v/>
      </c>
      <c r="K161" s="15" t="str">
        <f aca="false">IF($B161="","",IF($F161&lt;&gt;"",$F161,IFERROR(IF(AND(INDEX(Clients!$F$5:$F$204,MATCH($B161,Clients!$A$5:$A$204,0))&amp;""&lt;&gt;"",OR($C161="",$C161=INDEX(Clients!$E$5:$E$204,MATCH($B161,Clients!$A$5:$A$204,0)))),INDEX(Clients!$F$5:$F$204,MATCH($B161,Clients!$A$5:$A$204,0)),INDEX(Settings!$E$5:$E$19,MATCH($J161,Settings!$D$5:$D$19,0))),0)))</f>
        <v/>
      </c>
      <c r="L161" s="15" t="str">
        <f aca="false">IF($B161="","",$K161*IF($D161="",1,$D161)+$E161)</f>
        <v/>
      </c>
      <c r="M161" s="15" t="str">
        <f aca="false">IF($B161="","",ROUND($L161*Settings!$B$9,2))</f>
        <v/>
      </c>
      <c r="N161" s="15" t="str">
        <f aca="false">IF($B161="","",$L161+$M161)</f>
        <v/>
      </c>
      <c r="O161" s="19" t="str">
        <f aca="false">IF($Q161="","",Settings!$B$13&amp;TEXT(ROWS($A$5:$A161),"0000"))</f>
        <v/>
      </c>
      <c r="P161" s="19" t="str">
        <f aca="false">IF($O161="","",IFERROR(INDEX(Invoices!$I$5:$I$504,MATCH($O161,Invoices!$A$5:$A$504,0)),""))</f>
        <v/>
      </c>
      <c r="Q161" s="2" t="str">
        <f aca="false">IF(AND($A161&lt;&gt;"",$B161&lt;&gt;"",$G161="Completed"),COUNTIFS($A$5:$A161,"&lt;&gt;",$B$5:$B161,"&lt;&gt;",$G$5:$G161,"Completed"),"")</f>
        <v/>
      </c>
    </row>
    <row r="162" customFormat="false" ht="15" hidden="false" customHeight="false" outlineLevel="0" collapsed="false">
      <c r="A162" s="16"/>
      <c r="B162" s="12"/>
      <c r="C162" s="17"/>
      <c r="D162" s="18"/>
      <c r="E162" s="13"/>
      <c r="F162" s="13"/>
      <c r="G162" s="12"/>
      <c r="H162" s="12"/>
      <c r="I162" s="19" t="str">
        <f aca="false">IF($B162="","",IFERROR(INDEX(Clients!$D$5:$D$204,MATCH($B162,Clients!$A$5:$A$204,0))&amp;"",""))</f>
        <v/>
      </c>
      <c r="J162" s="19" t="str">
        <f aca="false">IF($B162="","",IF($C162&lt;&gt;"",$C162,IFERROR(INDEX(Clients!$E$5:$E$204,MATCH($B162,Clients!$A$5:$A$204,0))&amp;"","")))</f>
        <v/>
      </c>
      <c r="K162" s="15" t="str">
        <f aca="false">IF($B162="","",IF($F162&lt;&gt;"",$F162,IFERROR(IF(AND(INDEX(Clients!$F$5:$F$204,MATCH($B162,Clients!$A$5:$A$204,0))&amp;""&lt;&gt;"",OR($C162="",$C162=INDEX(Clients!$E$5:$E$204,MATCH($B162,Clients!$A$5:$A$204,0)))),INDEX(Clients!$F$5:$F$204,MATCH($B162,Clients!$A$5:$A$204,0)),INDEX(Settings!$E$5:$E$19,MATCH($J162,Settings!$D$5:$D$19,0))),0)))</f>
        <v/>
      </c>
      <c r="L162" s="15" t="str">
        <f aca="false">IF($B162="","",$K162*IF($D162="",1,$D162)+$E162)</f>
        <v/>
      </c>
      <c r="M162" s="15" t="str">
        <f aca="false">IF($B162="","",ROUND($L162*Settings!$B$9,2))</f>
        <v/>
      </c>
      <c r="N162" s="15" t="str">
        <f aca="false">IF($B162="","",$L162+$M162)</f>
        <v/>
      </c>
      <c r="O162" s="19" t="str">
        <f aca="false">IF($Q162="","",Settings!$B$13&amp;TEXT(ROWS($A$5:$A162),"0000"))</f>
        <v/>
      </c>
      <c r="P162" s="19" t="str">
        <f aca="false">IF($O162="","",IFERROR(INDEX(Invoices!$I$5:$I$504,MATCH($O162,Invoices!$A$5:$A$504,0)),""))</f>
        <v/>
      </c>
      <c r="Q162" s="2" t="str">
        <f aca="false">IF(AND($A162&lt;&gt;"",$B162&lt;&gt;"",$G162="Completed"),COUNTIFS($A$5:$A162,"&lt;&gt;",$B$5:$B162,"&lt;&gt;",$G$5:$G162,"Completed"),"")</f>
        <v/>
      </c>
    </row>
    <row r="163" customFormat="false" ht="15" hidden="false" customHeight="false" outlineLevel="0" collapsed="false">
      <c r="A163" s="16"/>
      <c r="B163" s="12"/>
      <c r="C163" s="17"/>
      <c r="D163" s="18"/>
      <c r="E163" s="13"/>
      <c r="F163" s="13"/>
      <c r="G163" s="12"/>
      <c r="H163" s="12"/>
      <c r="I163" s="19" t="str">
        <f aca="false">IF($B163="","",IFERROR(INDEX(Clients!$D$5:$D$204,MATCH($B163,Clients!$A$5:$A$204,0))&amp;"",""))</f>
        <v/>
      </c>
      <c r="J163" s="19" t="str">
        <f aca="false">IF($B163="","",IF($C163&lt;&gt;"",$C163,IFERROR(INDEX(Clients!$E$5:$E$204,MATCH($B163,Clients!$A$5:$A$204,0))&amp;"","")))</f>
        <v/>
      </c>
      <c r="K163" s="15" t="str">
        <f aca="false">IF($B163="","",IF($F163&lt;&gt;"",$F163,IFERROR(IF(AND(INDEX(Clients!$F$5:$F$204,MATCH($B163,Clients!$A$5:$A$204,0))&amp;""&lt;&gt;"",OR($C163="",$C163=INDEX(Clients!$E$5:$E$204,MATCH($B163,Clients!$A$5:$A$204,0)))),INDEX(Clients!$F$5:$F$204,MATCH($B163,Clients!$A$5:$A$204,0)),INDEX(Settings!$E$5:$E$19,MATCH($J163,Settings!$D$5:$D$19,0))),0)))</f>
        <v/>
      </c>
      <c r="L163" s="15" t="str">
        <f aca="false">IF($B163="","",$K163*IF($D163="",1,$D163)+$E163)</f>
        <v/>
      </c>
      <c r="M163" s="15" t="str">
        <f aca="false">IF($B163="","",ROUND($L163*Settings!$B$9,2))</f>
        <v/>
      </c>
      <c r="N163" s="15" t="str">
        <f aca="false">IF($B163="","",$L163+$M163)</f>
        <v/>
      </c>
      <c r="O163" s="19" t="str">
        <f aca="false">IF($Q163="","",Settings!$B$13&amp;TEXT(ROWS($A$5:$A163),"0000"))</f>
        <v/>
      </c>
      <c r="P163" s="19" t="str">
        <f aca="false">IF($O163="","",IFERROR(INDEX(Invoices!$I$5:$I$504,MATCH($O163,Invoices!$A$5:$A$504,0)),""))</f>
        <v/>
      </c>
      <c r="Q163" s="2" t="str">
        <f aca="false">IF(AND($A163&lt;&gt;"",$B163&lt;&gt;"",$G163="Completed"),COUNTIFS($A$5:$A163,"&lt;&gt;",$B$5:$B163,"&lt;&gt;",$G$5:$G163,"Completed"),"")</f>
        <v/>
      </c>
    </row>
    <row r="164" customFormat="false" ht="15" hidden="false" customHeight="false" outlineLevel="0" collapsed="false">
      <c r="A164" s="16"/>
      <c r="B164" s="12"/>
      <c r="C164" s="17"/>
      <c r="D164" s="18"/>
      <c r="E164" s="13"/>
      <c r="F164" s="13"/>
      <c r="G164" s="12"/>
      <c r="H164" s="12"/>
      <c r="I164" s="19" t="str">
        <f aca="false">IF($B164="","",IFERROR(INDEX(Clients!$D$5:$D$204,MATCH($B164,Clients!$A$5:$A$204,0))&amp;"",""))</f>
        <v/>
      </c>
      <c r="J164" s="19" t="str">
        <f aca="false">IF($B164="","",IF($C164&lt;&gt;"",$C164,IFERROR(INDEX(Clients!$E$5:$E$204,MATCH($B164,Clients!$A$5:$A$204,0))&amp;"","")))</f>
        <v/>
      </c>
      <c r="K164" s="15" t="str">
        <f aca="false">IF($B164="","",IF($F164&lt;&gt;"",$F164,IFERROR(IF(AND(INDEX(Clients!$F$5:$F$204,MATCH($B164,Clients!$A$5:$A$204,0))&amp;""&lt;&gt;"",OR($C164="",$C164=INDEX(Clients!$E$5:$E$204,MATCH($B164,Clients!$A$5:$A$204,0)))),INDEX(Clients!$F$5:$F$204,MATCH($B164,Clients!$A$5:$A$204,0)),INDEX(Settings!$E$5:$E$19,MATCH($J164,Settings!$D$5:$D$19,0))),0)))</f>
        <v/>
      </c>
      <c r="L164" s="15" t="str">
        <f aca="false">IF($B164="","",$K164*IF($D164="",1,$D164)+$E164)</f>
        <v/>
      </c>
      <c r="M164" s="15" t="str">
        <f aca="false">IF($B164="","",ROUND($L164*Settings!$B$9,2))</f>
        <v/>
      </c>
      <c r="N164" s="15" t="str">
        <f aca="false">IF($B164="","",$L164+$M164)</f>
        <v/>
      </c>
      <c r="O164" s="19" t="str">
        <f aca="false">IF($Q164="","",Settings!$B$13&amp;TEXT(ROWS($A$5:$A164),"0000"))</f>
        <v/>
      </c>
      <c r="P164" s="19" t="str">
        <f aca="false">IF($O164="","",IFERROR(INDEX(Invoices!$I$5:$I$504,MATCH($O164,Invoices!$A$5:$A$504,0)),""))</f>
        <v/>
      </c>
      <c r="Q164" s="2" t="str">
        <f aca="false">IF(AND($A164&lt;&gt;"",$B164&lt;&gt;"",$G164="Completed"),COUNTIFS($A$5:$A164,"&lt;&gt;",$B$5:$B164,"&lt;&gt;",$G$5:$G164,"Completed"),"")</f>
        <v/>
      </c>
    </row>
    <row r="165" customFormat="false" ht="15" hidden="false" customHeight="false" outlineLevel="0" collapsed="false">
      <c r="A165" s="16"/>
      <c r="B165" s="12"/>
      <c r="C165" s="17"/>
      <c r="D165" s="18"/>
      <c r="E165" s="13"/>
      <c r="F165" s="13"/>
      <c r="G165" s="12"/>
      <c r="H165" s="12"/>
      <c r="I165" s="19" t="str">
        <f aca="false">IF($B165="","",IFERROR(INDEX(Clients!$D$5:$D$204,MATCH($B165,Clients!$A$5:$A$204,0))&amp;"",""))</f>
        <v/>
      </c>
      <c r="J165" s="19" t="str">
        <f aca="false">IF($B165="","",IF($C165&lt;&gt;"",$C165,IFERROR(INDEX(Clients!$E$5:$E$204,MATCH($B165,Clients!$A$5:$A$204,0))&amp;"","")))</f>
        <v/>
      </c>
      <c r="K165" s="15" t="str">
        <f aca="false">IF($B165="","",IF($F165&lt;&gt;"",$F165,IFERROR(IF(AND(INDEX(Clients!$F$5:$F$204,MATCH($B165,Clients!$A$5:$A$204,0))&amp;""&lt;&gt;"",OR($C165="",$C165=INDEX(Clients!$E$5:$E$204,MATCH($B165,Clients!$A$5:$A$204,0)))),INDEX(Clients!$F$5:$F$204,MATCH($B165,Clients!$A$5:$A$204,0)),INDEX(Settings!$E$5:$E$19,MATCH($J165,Settings!$D$5:$D$19,0))),0)))</f>
        <v/>
      </c>
      <c r="L165" s="15" t="str">
        <f aca="false">IF($B165="","",$K165*IF($D165="",1,$D165)+$E165)</f>
        <v/>
      </c>
      <c r="M165" s="15" t="str">
        <f aca="false">IF($B165="","",ROUND($L165*Settings!$B$9,2))</f>
        <v/>
      </c>
      <c r="N165" s="15" t="str">
        <f aca="false">IF($B165="","",$L165+$M165)</f>
        <v/>
      </c>
      <c r="O165" s="19" t="str">
        <f aca="false">IF($Q165="","",Settings!$B$13&amp;TEXT(ROWS($A$5:$A165),"0000"))</f>
        <v/>
      </c>
      <c r="P165" s="19" t="str">
        <f aca="false">IF($O165="","",IFERROR(INDEX(Invoices!$I$5:$I$504,MATCH($O165,Invoices!$A$5:$A$504,0)),""))</f>
        <v/>
      </c>
      <c r="Q165" s="2" t="str">
        <f aca="false">IF(AND($A165&lt;&gt;"",$B165&lt;&gt;"",$G165="Completed"),COUNTIFS($A$5:$A165,"&lt;&gt;",$B$5:$B165,"&lt;&gt;",$G$5:$G165,"Completed"),"")</f>
        <v/>
      </c>
    </row>
    <row r="166" customFormat="false" ht="15" hidden="false" customHeight="false" outlineLevel="0" collapsed="false">
      <c r="A166" s="16"/>
      <c r="B166" s="12"/>
      <c r="C166" s="17"/>
      <c r="D166" s="18"/>
      <c r="E166" s="13"/>
      <c r="F166" s="13"/>
      <c r="G166" s="12"/>
      <c r="H166" s="12"/>
      <c r="I166" s="19" t="str">
        <f aca="false">IF($B166="","",IFERROR(INDEX(Clients!$D$5:$D$204,MATCH($B166,Clients!$A$5:$A$204,0))&amp;"",""))</f>
        <v/>
      </c>
      <c r="J166" s="19" t="str">
        <f aca="false">IF($B166="","",IF($C166&lt;&gt;"",$C166,IFERROR(INDEX(Clients!$E$5:$E$204,MATCH($B166,Clients!$A$5:$A$204,0))&amp;"","")))</f>
        <v/>
      </c>
      <c r="K166" s="15" t="str">
        <f aca="false">IF($B166="","",IF($F166&lt;&gt;"",$F166,IFERROR(IF(AND(INDEX(Clients!$F$5:$F$204,MATCH($B166,Clients!$A$5:$A$204,0))&amp;""&lt;&gt;"",OR($C166="",$C166=INDEX(Clients!$E$5:$E$204,MATCH($B166,Clients!$A$5:$A$204,0)))),INDEX(Clients!$F$5:$F$204,MATCH($B166,Clients!$A$5:$A$204,0)),INDEX(Settings!$E$5:$E$19,MATCH($J166,Settings!$D$5:$D$19,0))),0)))</f>
        <v/>
      </c>
      <c r="L166" s="15" t="str">
        <f aca="false">IF($B166="","",$K166*IF($D166="",1,$D166)+$E166)</f>
        <v/>
      </c>
      <c r="M166" s="15" t="str">
        <f aca="false">IF($B166="","",ROUND($L166*Settings!$B$9,2))</f>
        <v/>
      </c>
      <c r="N166" s="15" t="str">
        <f aca="false">IF($B166="","",$L166+$M166)</f>
        <v/>
      </c>
      <c r="O166" s="19" t="str">
        <f aca="false">IF($Q166="","",Settings!$B$13&amp;TEXT(ROWS($A$5:$A166),"0000"))</f>
        <v/>
      </c>
      <c r="P166" s="19" t="str">
        <f aca="false">IF($O166="","",IFERROR(INDEX(Invoices!$I$5:$I$504,MATCH($O166,Invoices!$A$5:$A$504,0)),""))</f>
        <v/>
      </c>
      <c r="Q166" s="2" t="str">
        <f aca="false">IF(AND($A166&lt;&gt;"",$B166&lt;&gt;"",$G166="Completed"),COUNTIFS($A$5:$A166,"&lt;&gt;",$B$5:$B166,"&lt;&gt;",$G$5:$G166,"Completed"),"")</f>
        <v/>
      </c>
    </row>
    <row r="167" customFormat="false" ht="15" hidden="false" customHeight="false" outlineLevel="0" collapsed="false">
      <c r="A167" s="16"/>
      <c r="B167" s="12"/>
      <c r="C167" s="17"/>
      <c r="D167" s="18"/>
      <c r="E167" s="13"/>
      <c r="F167" s="13"/>
      <c r="G167" s="12"/>
      <c r="H167" s="12"/>
      <c r="I167" s="19" t="str">
        <f aca="false">IF($B167="","",IFERROR(INDEX(Clients!$D$5:$D$204,MATCH($B167,Clients!$A$5:$A$204,0))&amp;"",""))</f>
        <v/>
      </c>
      <c r="J167" s="19" t="str">
        <f aca="false">IF($B167="","",IF($C167&lt;&gt;"",$C167,IFERROR(INDEX(Clients!$E$5:$E$204,MATCH($B167,Clients!$A$5:$A$204,0))&amp;"","")))</f>
        <v/>
      </c>
      <c r="K167" s="15" t="str">
        <f aca="false">IF($B167="","",IF($F167&lt;&gt;"",$F167,IFERROR(IF(AND(INDEX(Clients!$F$5:$F$204,MATCH($B167,Clients!$A$5:$A$204,0))&amp;""&lt;&gt;"",OR($C167="",$C167=INDEX(Clients!$E$5:$E$204,MATCH($B167,Clients!$A$5:$A$204,0)))),INDEX(Clients!$F$5:$F$204,MATCH($B167,Clients!$A$5:$A$204,0)),INDEX(Settings!$E$5:$E$19,MATCH($J167,Settings!$D$5:$D$19,0))),0)))</f>
        <v/>
      </c>
      <c r="L167" s="15" t="str">
        <f aca="false">IF($B167="","",$K167*IF($D167="",1,$D167)+$E167)</f>
        <v/>
      </c>
      <c r="M167" s="15" t="str">
        <f aca="false">IF($B167="","",ROUND($L167*Settings!$B$9,2))</f>
        <v/>
      </c>
      <c r="N167" s="15" t="str">
        <f aca="false">IF($B167="","",$L167+$M167)</f>
        <v/>
      </c>
      <c r="O167" s="19" t="str">
        <f aca="false">IF($Q167="","",Settings!$B$13&amp;TEXT(ROWS($A$5:$A167),"0000"))</f>
        <v/>
      </c>
      <c r="P167" s="19" t="str">
        <f aca="false">IF($O167="","",IFERROR(INDEX(Invoices!$I$5:$I$504,MATCH($O167,Invoices!$A$5:$A$504,0)),""))</f>
        <v/>
      </c>
      <c r="Q167" s="2" t="str">
        <f aca="false">IF(AND($A167&lt;&gt;"",$B167&lt;&gt;"",$G167="Completed"),COUNTIFS($A$5:$A167,"&lt;&gt;",$B$5:$B167,"&lt;&gt;",$G$5:$G167,"Completed"),"")</f>
        <v/>
      </c>
    </row>
    <row r="168" customFormat="false" ht="15" hidden="false" customHeight="false" outlineLevel="0" collapsed="false">
      <c r="A168" s="16"/>
      <c r="B168" s="12"/>
      <c r="C168" s="17"/>
      <c r="D168" s="18"/>
      <c r="E168" s="13"/>
      <c r="F168" s="13"/>
      <c r="G168" s="12"/>
      <c r="H168" s="12"/>
      <c r="I168" s="19" t="str">
        <f aca="false">IF($B168="","",IFERROR(INDEX(Clients!$D$5:$D$204,MATCH($B168,Clients!$A$5:$A$204,0))&amp;"",""))</f>
        <v/>
      </c>
      <c r="J168" s="19" t="str">
        <f aca="false">IF($B168="","",IF($C168&lt;&gt;"",$C168,IFERROR(INDEX(Clients!$E$5:$E$204,MATCH($B168,Clients!$A$5:$A$204,0))&amp;"","")))</f>
        <v/>
      </c>
      <c r="K168" s="15" t="str">
        <f aca="false">IF($B168="","",IF($F168&lt;&gt;"",$F168,IFERROR(IF(AND(INDEX(Clients!$F$5:$F$204,MATCH($B168,Clients!$A$5:$A$204,0))&amp;""&lt;&gt;"",OR($C168="",$C168=INDEX(Clients!$E$5:$E$204,MATCH($B168,Clients!$A$5:$A$204,0)))),INDEX(Clients!$F$5:$F$204,MATCH($B168,Clients!$A$5:$A$204,0)),INDEX(Settings!$E$5:$E$19,MATCH($J168,Settings!$D$5:$D$19,0))),0)))</f>
        <v/>
      </c>
      <c r="L168" s="15" t="str">
        <f aca="false">IF($B168="","",$K168*IF($D168="",1,$D168)+$E168)</f>
        <v/>
      </c>
      <c r="M168" s="15" t="str">
        <f aca="false">IF($B168="","",ROUND($L168*Settings!$B$9,2))</f>
        <v/>
      </c>
      <c r="N168" s="15" t="str">
        <f aca="false">IF($B168="","",$L168+$M168)</f>
        <v/>
      </c>
      <c r="O168" s="19" t="str">
        <f aca="false">IF($Q168="","",Settings!$B$13&amp;TEXT(ROWS($A$5:$A168),"0000"))</f>
        <v/>
      </c>
      <c r="P168" s="19" t="str">
        <f aca="false">IF($O168="","",IFERROR(INDEX(Invoices!$I$5:$I$504,MATCH($O168,Invoices!$A$5:$A$504,0)),""))</f>
        <v/>
      </c>
      <c r="Q168" s="2" t="str">
        <f aca="false">IF(AND($A168&lt;&gt;"",$B168&lt;&gt;"",$G168="Completed"),COUNTIFS($A$5:$A168,"&lt;&gt;",$B$5:$B168,"&lt;&gt;",$G$5:$G168,"Completed"),"")</f>
        <v/>
      </c>
    </row>
    <row r="169" customFormat="false" ht="15" hidden="false" customHeight="false" outlineLevel="0" collapsed="false">
      <c r="A169" s="16"/>
      <c r="B169" s="12"/>
      <c r="C169" s="17"/>
      <c r="D169" s="18"/>
      <c r="E169" s="13"/>
      <c r="F169" s="13"/>
      <c r="G169" s="12"/>
      <c r="H169" s="12"/>
      <c r="I169" s="19" t="str">
        <f aca="false">IF($B169="","",IFERROR(INDEX(Clients!$D$5:$D$204,MATCH($B169,Clients!$A$5:$A$204,0))&amp;"",""))</f>
        <v/>
      </c>
      <c r="J169" s="19" t="str">
        <f aca="false">IF($B169="","",IF($C169&lt;&gt;"",$C169,IFERROR(INDEX(Clients!$E$5:$E$204,MATCH($B169,Clients!$A$5:$A$204,0))&amp;"","")))</f>
        <v/>
      </c>
      <c r="K169" s="15" t="str">
        <f aca="false">IF($B169="","",IF($F169&lt;&gt;"",$F169,IFERROR(IF(AND(INDEX(Clients!$F$5:$F$204,MATCH($B169,Clients!$A$5:$A$204,0))&amp;""&lt;&gt;"",OR($C169="",$C169=INDEX(Clients!$E$5:$E$204,MATCH($B169,Clients!$A$5:$A$204,0)))),INDEX(Clients!$F$5:$F$204,MATCH($B169,Clients!$A$5:$A$204,0)),INDEX(Settings!$E$5:$E$19,MATCH($J169,Settings!$D$5:$D$19,0))),0)))</f>
        <v/>
      </c>
      <c r="L169" s="15" t="str">
        <f aca="false">IF($B169="","",$K169*IF($D169="",1,$D169)+$E169)</f>
        <v/>
      </c>
      <c r="M169" s="15" t="str">
        <f aca="false">IF($B169="","",ROUND($L169*Settings!$B$9,2))</f>
        <v/>
      </c>
      <c r="N169" s="15" t="str">
        <f aca="false">IF($B169="","",$L169+$M169)</f>
        <v/>
      </c>
      <c r="O169" s="19" t="str">
        <f aca="false">IF($Q169="","",Settings!$B$13&amp;TEXT(ROWS($A$5:$A169),"0000"))</f>
        <v/>
      </c>
      <c r="P169" s="19" t="str">
        <f aca="false">IF($O169="","",IFERROR(INDEX(Invoices!$I$5:$I$504,MATCH($O169,Invoices!$A$5:$A$504,0)),""))</f>
        <v/>
      </c>
      <c r="Q169" s="2" t="str">
        <f aca="false">IF(AND($A169&lt;&gt;"",$B169&lt;&gt;"",$G169="Completed"),COUNTIFS($A$5:$A169,"&lt;&gt;",$B$5:$B169,"&lt;&gt;",$G$5:$G169,"Completed"),"")</f>
        <v/>
      </c>
    </row>
    <row r="170" customFormat="false" ht="15" hidden="false" customHeight="false" outlineLevel="0" collapsed="false">
      <c r="A170" s="16"/>
      <c r="B170" s="12"/>
      <c r="C170" s="17"/>
      <c r="D170" s="18"/>
      <c r="E170" s="13"/>
      <c r="F170" s="13"/>
      <c r="G170" s="12"/>
      <c r="H170" s="12"/>
      <c r="I170" s="19" t="str">
        <f aca="false">IF($B170="","",IFERROR(INDEX(Clients!$D$5:$D$204,MATCH($B170,Clients!$A$5:$A$204,0))&amp;"",""))</f>
        <v/>
      </c>
      <c r="J170" s="19" t="str">
        <f aca="false">IF($B170="","",IF($C170&lt;&gt;"",$C170,IFERROR(INDEX(Clients!$E$5:$E$204,MATCH($B170,Clients!$A$5:$A$204,0))&amp;"","")))</f>
        <v/>
      </c>
      <c r="K170" s="15" t="str">
        <f aca="false">IF($B170="","",IF($F170&lt;&gt;"",$F170,IFERROR(IF(AND(INDEX(Clients!$F$5:$F$204,MATCH($B170,Clients!$A$5:$A$204,0))&amp;""&lt;&gt;"",OR($C170="",$C170=INDEX(Clients!$E$5:$E$204,MATCH($B170,Clients!$A$5:$A$204,0)))),INDEX(Clients!$F$5:$F$204,MATCH($B170,Clients!$A$5:$A$204,0)),INDEX(Settings!$E$5:$E$19,MATCH($J170,Settings!$D$5:$D$19,0))),0)))</f>
        <v/>
      </c>
      <c r="L170" s="15" t="str">
        <f aca="false">IF($B170="","",$K170*IF($D170="",1,$D170)+$E170)</f>
        <v/>
      </c>
      <c r="M170" s="15" t="str">
        <f aca="false">IF($B170="","",ROUND($L170*Settings!$B$9,2))</f>
        <v/>
      </c>
      <c r="N170" s="15" t="str">
        <f aca="false">IF($B170="","",$L170+$M170)</f>
        <v/>
      </c>
      <c r="O170" s="19" t="str">
        <f aca="false">IF($Q170="","",Settings!$B$13&amp;TEXT(ROWS($A$5:$A170),"0000"))</f>
        <v/>
      </c>
      <c r="P170" s="19" t="str">
        <f aca="false">IF($O170="","",IFERROR(INDEX(Invoices!$I$5:$I$504,MATCH($O170,Invoices!$A$5:$A$504,0)),""))</f>
        <v/>
      </c>
      <c r="Q170" s="2" t="str">
        <f aca="false">IF(AND($A170&lt;&gt;"",$B170&lt;&gt;"",$G170="Completed"),COUNTIFS($A$5:$A170,"&lt;&gt;",$B$5:$B170,"&lt;&gt;",$G$5:$G170,"Completed"),"")</f>
        <v/>
      </c>
    </row>
    <row r="171" customFormat="false" ht="15" hidden="false" customHeight="false" outlineLevel="0" collapsed="false">
      <c r="A171" s="16"/>
      <c r="B171" s="12"/>
      <c r="C171" s="17"/>
      <c r="D171" s="18"/>
      <c r="E171" s="13"/>
      <c r="F171" s="13"/>
      <c r="G171" s="12"/>
      <c r="H171" s="12"/>
      <c r="I171" s="19" t="str">
        <f aca="false">IF($B171="","",IFERROR(INDEX(Clients!$D$5:$D$204,MATCH($B171,Clients!$A$5:$A$204,0))&amp;"",""))</f>
        <v/>
      </c>
      <c r="J171" s="19" t="str">
        <f aca="false">IF($B171="","",IF($C171&lt;&gt;"",$C171,IFERROR(INDEX(Clients!$E$5:$E$204,MATCH($B171,Clients!$A$5:$A$204,0))&amp;"","")))</f>
        <v/>
      </c>
      <c r="K171" s="15" t="str">
        <f aca="false">IF($B171="","",IF($F171&lt;&gt;"",$F171,IFERROR(IF(AND(INDEX(Clients!$F$5:$F$204,MATCH($B171,Clients!$A$5:$A$204,0))&amp;""&lt;&gt;"",OR($C171="",$C171=INDEX(Clients!$E$5:$E$204,MATCH($B171,Clients!$A$5:$A$204,0)))),INDEX(Clients!$F$5:$F$204,MATCH($B171,Clients!$A$5:$A$204,0)),INDEX(Settings!$E$5:$E$19,MATCH($J171,Settings!$D$5:$D$19,0))),0)))</f>
        <v/>
      </c>
      <c r="L171" s="15" t="str">
        <f aca="false">IF($B171="","",$K171*IF($D171="",1,$D171)+$E171)</f>
        <v/>
      </c>
      <c r="M171" s="15" t="str">
        <f aca="false">IF($B171="","",ROUND($L171*Settings!$B$9,2))</f>
        <v/>
      </c>
      <c r="N171" s="15" t="str">
        <f aca="false">IF($B171="","",$L171+$M171)</f>
        <v/>
      </c>
      <c r="O171" s="19" t="str">
        <f aca="false">IF($Q171="","",Settings!$B$13&amp;TEXT(ROWS($A$5:$A171),"0000"))</f>
        <v/>
      </c>
      <c r="P171" s="19" t="str">
        <f aca="false">IF($O171="","",IFERROR(INDEX(Invoices!$I$5:$I$504,MATCH($O171,Invoices!$A$5:$A$504,0)),""))</f>
        <v/>
      </c>
      <c r="Q171" s="2" t="str">
        <f aca="false">IF(AND($A171&lt;&gt;"",$B171&lt;&gt;"",$G171="Completed"),COUNTIFS($A$5:$A171,"&lt;&gt;",$B$5:$B171,"&lt;&gt;",$G$5:$G171,"Completed"),"")</f>
        <v/>
      </c>
    </row>
    <row r="172" customFormat="false" ht="15" hidden="false" customHeight="false" outlineLevel="0" collapsed="false">
      <c r="A172" s="16"/>
      <c r="B172" s="12"/>
      <c r="C172" s="17"/>
      <c r="D172" s="18"/>
      <c r="E172" s="13"/>
      <c r="F172" s="13"/>
      <c r="G172" s="12"/>
      <c r="H172" s="12"/>
      <c r="I172" s="19" t="str">
        <f aca="false">IF($B172="","",IFERROR(INDEX(Clients!$D$5:$D$204,MATCH($B172,Clients!$A$5:$A$204,0))&amp;"",""))</f>
        <v/>
      </c>
      <c r="J172" s="19" t="str">
        <f aca="false">IF($B172="","",IF($C172&lt;&gt;"",$C172,IFERROR(INDEX(Clients!$E$5:$E$204,MATCH($B172,Clients!$A$5:$A$204,0))&amp;"","")))</f>
        <v/>
      </c>
      <c r="K172" s="15" t="str">
        <f aca="false">IF($B172="","",IF($F172&lt;&gt;"",$F172,IFERROR(IF(AND(INDEX(Clients!$F$5:$F$204,MATCH($B172,Clients!$A$5:$A$204,0))&amp;""&lt;&gt;"",OR($C172="",$C172=INDEX(Clients!$E$5:$E$204,MATCH($B172,Clients!$A$5:$A$204,0)))),INDEX(Clients!$F$5:$F$204,MATCH($B172,Clients!$A$5:$A$204,0)),INDEX(Settings!$E$5:$E$19,MATCH($J172,Settings!$D$5:$D$19,0))),0)))</f>
        <v/>
      </c>
      <c r="L172" s="15" t="str">
        <f aca="false">IF($B172="","",$K172*IF($D172="",1,$D172)+$E172)</f>
        <v/>
      </c>
      <c r="M172" s="15" t="str">
        <f aca="false">IF($B172="","",ROUND($L172*Settings!$B$9,2))</f>
        <v/>
      </c>
      <c r="N172" s="15" t="str">
        <f aca="false">IF($B172="","",$L172+$M172)</f>
        <v/>
      </c>
      <c r="O172" s="19" t="str">
        <f aca="false">IF($Q172="","",Settings!$B$13&amp;TEXT(ROWS($A$5:$A172),"0000"))</f>
        <v/>
      </c>
      <c r="P172" s="19" t="str">
        <f aca="false">IF($O172="","",IFERROR(INDEX(Invoices!$I$5:$I$504,MATCH($O172,Invoices!$A$5:$A$504,0)),""))</f>
        <v/>
      </c>
      <c r="Q172" s="2" t="str">
        <f aca="false">IF(AND($A172&lt;&gt;"",$B172&lt;&gt;"",$G172="Completed"),COUNTIFS($A$5:$A172,"&lt;&gt;",$B$5:$B172,"&lt;&gt;",$G$5:$G172,"Completed"),"")</f>
        <v/>
      </c>
    </row>
    <row r="173" customFormat="false" ht="15" hidden="false" customHeight="false" outlineLevel="0" collapsed="false">
      <c r="A173" s="16"/>
      <c r="B173" s="12"/>
      <c r="C173" s="17"/>
      <c r="D173" s="18"/>
      <c r="E173" s="13"/>
      <c r="F173" s="13"/>
      <c r="G173" s="12"/>
      <c r="H173" s="12"/>
      <c r="I173" s="19" t="str">
        <f aca="false">IF($B173="","",IFERROR(INDEX(Clients!$D$5:$D$204,MATCH($B173,Clients!$A$5:$A$204,0))&amp;"",""))</f>
        <v/>
      </c>
      <c r="J173" s="19" t="str">
        <f aca="false">IF($B173="","",IF($C173&lt;&gt;"",$C173,IFERROR(INDEX(Clients!$E$5:$E$204,MATCH($B173,Clients!$A$5:$A$204,0))&amp;"","")))</f>
        <v/>
      </c>
      <c r="K173" s="15" t="str">
        <f aca="false">IF($B173="","",IF($F173&lt;&gt;"",$F173,IFERROR(IF(AND(INDEX(Clients!$F$5:$F$204,MATCH($B173,Clients!$A$5:$A$204,0))&amp;""&lt;&gt;"",OR($C173="",$C173=INDEX(Clients!$E$5:$E$204,MATCH($B173,Clients!$A$5:$A$204,0)))),INDEX(Clients!$F$5:$F$204,MATCH($B173,Clients!$A$5:$A$204,0)),INDEX(Settings!$E$5:$E$19,MATCH($J173,Settings!$D$5:$D$19,0))),0)))</f>
        <v/>
      </c>
      <c r="L173" s="15" t="str">
        <f aca="false">IF($B173="","",$K173*IF($D173="",1,$D173)+$E173)</f>
        <v/>
      </c>
      <c r="M173" s="15" t="str">
        <f aca="false">IF($B173="","",ROUND($L173*Settings!$B$9,2))</f>
        <v/>
      </c>
      <c r="N173" s="15" t="str">
        <f aca="false">IF($B173="","",$L173+$M173)</f>
        <v/>
      </c>
      <c r="O173" s="19" t="str">
        <f aca="false">IF($Q173="","",Settings!$B$13&amp;TEXT(ROWS($A$5:$A173),"0000"))</f>
        <v/>
      </c>
      <c r="P173" s="19" t="str">
        <f aca="false">IF($O173="","",IFERROR(INDEX(Invoices!$I$5:$I$504,MATCH($O173,Invoices!$A$5:$A$504,0)),""))</f>
        <v/>
      </c>
      <c r="Q173" s="2" t="str">
        <f aca="false">IF(AND($A173&lt;&gt;"",$B173&lt;&gt;"",$G173="Completed"),COUNTIFS($A$5:$A173,"&lt;&gt;",$B$5:$B173,"&lt;&gt;",$G$5:$G173,"Completed"),"")</f>
        <v/>
      </c>
    </row>
    <row r="174" customFormat="false" ht="15" hidden="false" customHeight="false" outlineLevel="0" collapsed="false">
      <c r="A174" s="16"/>
      <c r="B174" s="12"/>
      <c r="C174" s="17"/>
      <c r="D174" s="18"/>
      <c r="E174" s="13"/>
      <c r="F174" s="13"/>
      <c r="G174" s="12"/>
      <c r="H174" s="12"/>
      <c r="I174" s="19" t="str">
        <f aca="false">IF($B174="","",IFERROR(INDEX(Clients!$D$5:$D$204,MATCH($B174,Clients!$A$5:$A$204,0))&amp;"",""))</f>
        <v/>
      </c>
      <c r="J174" s="19" t="str">
        <f aca="false">IF($B174="","",IF($C174&lt;&gt;"",$C174,IFERROR(INDEX(Clients!$E$5:$E$204,MATCH($B174,Clients!$A$5:$A$204,0))&amp;"","")))</f>
        <v/>
      </c>
      <c r="K174" s="15" t="str">
        <f aca="false">IF($B174="","",IF($F174&lt;&gt;"",$F174,IFERROR(IF(AND(INDEX(Clients!$F$5:$F$204,MATCH($B174,Clients!$A$5:$A$204,0))&amp;""&lt;&gt;"",OR($C174="",$C174=INDEX(Clients!$E$5:$E$204,MATCH($B174,Clients!$A$5:$A$204,0)))),INDEX(Clients!$F$5:$F$204,MATCH($B174,Clients!$A$5:$A$204,0)),INDEX(Settings!$E$5:$E$19,MATCH($J174,Settings!$D$5:$D$19,0))),0)))</f>
        <v/>
      </c>
      <c r="L174" s="15" t="str">
        <f aca="false">IF($B174="","",$K174*IF($D174="",1,$D174)+$E174)</f>
        <v/>
      </c>
      <c r="M174" s="15" t="str">
        <f aca="false">IF($B174="","",ROUND($L174*Settings!$B$9,2))</f>
        <v/>
      </c>
      <c r="N174" s="15" t="str">
        <f aca="false">IF($B174="","",$L174+$M174)</f>
        <v/>
      </c>
      <c r="O174" s="19" t="str">
        <f aca="false">IF($Q174="","",Settings!$B$13&amp;TEXT(ROWS($A$5:$A174),"0000"))</f>
        <v/>
      </c>
      <c r="P174" s="19" t="str">
        <f aca="false">IF($O174="","",IFERROR(INDEX(Invoices!$I$5:$I$504,MATCH($O174,Invoices!$A$5:$A$504,0)),""))</f>
        <v/>
      </c>
      <c r="Q174" s="2" t="str">
        <f aca="false">IF(AND($A174&lt;&gt;"",$B174&lt;&gt;"",$G174="Completed"),COUNTIFS($A$5:$A174,"&lt;&gt;",$B$5:$B174,"&lt;&gt;",$G$5:$G174,"Completed"),"")</f>
        <v/>
      </c>
    </row>
    <row r="175" customFormat="false" ht="15" hidden="false" customHeight="false" outlineLevel="0" collapsed="false">
      <c r="A175" s="16"/>
      <c r="B175" s="12"/>
      <c r="C175" s="17"/>
      <c r="D175" s="18"/>
      <c r="E175" s="13"/>
      <c r="F175" s="13"/>
      <c r="G175" s="12"/>
      <c r="H175" s="12"/>
      <c r="I175" s="19" t="str">
        <f aca="false">IF($B175="","",IFERROR(INDEX(Clients!$D$5:$D$204,MATCH($B175,Clients!$A$5:$A$204,0))&amp;"",""))</f>
        <v/>
      </c>
      <c r="J175" s="19" t="str">
        <f aca="false">IF($B175="","",IF($C175&lt;&gt;"",$C175,IFERROR(INDEX(Clients!$E$5:$E$204,MATCH($B175,Clients!$A$5:$A$204,0))&amp;"","")))</f>
        <v/>
      </c>
      <c r="K175" s="15" t="str">
        <f aca="false">IF($B175="","",IF($F175&lt;&gt;"",$F175,IFERROR(IF(AND(INDEX(Clients!$F$5:$F$204,MATCH($B175,Clients!$A$5:$A$204,0))&amp;""&lt;&gt;"",OR($C175="",$C175=INDEX(Clients!$E$5:$E$204,MATCH($B175,Clients!$A$5:$A$204,0)))),INDEX(Clients!$F$5:$F$204,MATCH($B175,Clients!$A$5:$A$204,0)),INDEX(Settings!$E$5:$E$19,MATCH($J175,Settings!$D$5:$D$19,0))),0)))</f>
        <v/>
      </c>
      <c r="L175" s="15" t="str">
        <f aca="false">IF($B175="","",$K175*IF($D175="",1,$D175)+$E175)</f>
        <v/>
      </c>
      <c r="M175" s="15" t="str">
        <f aca="false">IF($B175="","",ROUND($L175*Settings!$B$9,2))</f>
        <v/>
      </c>
      <c r="N175" s="15" t="str">
        <f aca="false">IF($B175="","",$L175+$M175)</f>
        <v/>
      </c>
      <c r="O175" s="19" t="str">
        <f aca="false">IF($Q175="","",Settings!$B$13&amp;TEXT(ROWS($A$5:$A175),"0000"))</f>
        <v/>
      </c>
      <c r="P175" s="19" t="str">
        <f aca="false">IF($O175="","",IFERROR(INDEX(Invoices!$I$5:$I$504,MATCH($O175,Invoices!$A$5:$A$504,0)),""))</f>
        <v/>
      </c>
      <c r="Q175" s="2" t="str">
        <f aca="false">IF(AND($A175&lt;&gt;"",$B175&lt;&gt;"",$G175="Completed"),COUNTIFS($A$5:$A175,"&lt;&gt;",$B$5:$B175,"&lt;&gt;",$G$5:$G175,"Completed"),"")</f>
        <v/>
      </c>
    </row>
    <row r="176" customFormat="false" ht="15" hidden="false" customHeight="false" outlineLevel="0" collapsed="false">
      <c r="A176" s="16"/>
      <c r="B176" s="12"/>
      <c r="C176" s="17"/>
      <c r="D176" s="18"/>
      <c r="E176" s="13"/>
      <c r="F176" s="13"/>
      <c r="G176" s="12"/>
      <c r="H176" s="12"/>
      <c r="I176" s="19" t="str">
        <f aca="false">IF($B176="","",IFERROR(INDEX(Clients!$D$5:$D$204,MATCH($B176,Clients!$A$5:$A$204,0))&amp;"",""))</f>
        <v/>
      </c>
      <c r="J176" s="19" t="str">
        <f aca="false">IF($B176="","",IF($C176&lt;&gt;"",$C176,IFERROR(INDEX(Clients!$E$5:$E$204,MATCH($B176,Clients!$A$5:$A$204,0))&amp;"","")))</f>
        <v/>
      </c>
      <c r="K176" s="15" t="str">
        <f aca="false">IF($B176="","",IF($F176&lt;&gt;"",$F176,IFERROR(IF(AND(INDEX(Clients!$F$5:$F$204,MATCH($B176,Clients!$A$5:$A$204,0))&amp;""&lt;&gt;"",OR($C176="",$C176=INDEX(Clients!$E$5:$E$204,MATCH($B176,Clients!$A$5:$A$204,0)))),INDEX(Clients!$F$5:$F$204,MATCH($B176,Clients!$A$5:$A$204,0)),INDEX(Settings!$E$5:$E$19,MATCH($J176,Settings!$D$5:$D$19,0))),0)))</f>
        <v/>
      </c>
      <c r="L176" s="15" t="str">
        <f aca="false">IF($B176="","",$K176*IF($D176="",1,$D176)+$E176)</f>
        <v/>
      </c>
      <c r="M176" s="15" t="str">
        <f aca="false">IF($B176="","",ROUND($L176*Settings!$B$9,2))</f>
        <v/>
      </c>
      <c r="N176" s="15" t="str">
        <f aca="false">IF($B176="","",$L176+$M176)</f>
        <v/>
      </c>
      <c r="O176" s="19" t="str">
        <f aca="false">IF($Q176="","",Settings!$B$13&amp;TEXT(ROWS($A$5:$A176),"0000"))</f>
        <v/>
      </c>
      <c r="P176" s="19" t="str">
        <f aca="false">IF($O176="","",IFERROR(INDEX(Invoices!$I$5:$I$504,MATCH($O176,Invoices!$A$5:$A$504,0)),""))</f>
        <v/>
      </c>
      <c r="Q176" s="2" t="str">
        <f aca="false">IF(AND($A176&lt;&gt;"",$B176&lt;&gt;"",$G176="Completed"),COUNTIFS($A$5:$A176,"&lt;&gt;",$B$5:$B176,"&lt;&gt;",$G$5:$G176,"Completed"),"")</f>
        <v/>
      </c>
    </row>
    <row r="177" customFormat="false" ht="15" hidden="false" customHeight="false" outlineLevel="0" collapsed="false">
      <c r="A177" s="16"/>
      <c r="B177" s="12"/>
      <c r="C177" s="17"/>
      <c r="D177" s="18"/>
      <c r="E177" s="13"/>
      <c r="F177" s="13"/>
      <c r="G177" s="12"/>
      <c r="H177" s="12"/>
      <c r="I177" s="19" t="str">
        <f aca="false">IF($B177="","",IFERROR(INDEX(Clients!$D$5:$D$204,MATCH($B177,Clients!$A$5:$A$204,0))&amp;"",""))</f>
        <v/>
      </c>
      <c r="J177" s="19" t="str">
        <f aca="false">IF($B177="","",IF($C177&lt;&gt;"",$C177,IFERROR(INDEX(Clients!$E$5:$E$204,MATCH($B177,Clients!$A$5:$A$204,0))&amp;"","")))</f>
        <v/>
      </c>
      <c r="K177" s="15" t="str">
        <f aca="false">IF($B177="","",IF($F177&lt;&gt;"",$F177,IFERROR(IF(AND(INDEX(Clients!$F$5:$F$204,MATCH($B177,Clients!$A$5:$A$204,0))&amp;""&lt;&gt;"",OR($C177="",$C177=INDEX(Clients!$E$5:$E$204,MATCH($B177,Clients!$A$5:$A$204,0)))),INDEX(Clients!$F$5:$F$204,MATCH($B177,Clients!$A$5:$A$204,0)),INDEX(Settings!$E$5:$E$19,MATCH($J177,Settings!$D$5:$D$19,0))),0)))</f>
        <v/>
      </c>
      <c r="L177" s="15" t="str">
        <f aca="false">IF($B177="","",$K177*IF($D177="",1,$D177)+$E177)</f>
        <v/>
      </c>
      <c r="M177" s="15" t="str">
        <f aca="false">IF($B177="","",ROUND($L177*Settings!$B$9,2))</f>
        <v/>
      </c>
      <c r="N177" s="15" t="str">
        <f aca="false">IF($B177="","",$L177+$M177)</f>
        <v/>
      </c>
      <c r="O177" s="19" t="str">
        <f aca="false">IF($Q177="","",Settings!$B$13&amp;TEXT(ROWS($A$5:$A177),"0000"))</f>
        <v/>
      </c>
      <c r="P177" s="19" t="str">
        <f aca="false">IF($O177="","",IFERROR(INDEX(Invoices!$I$5:$I$504,MATCH($O177,Invoices!$A$5:$A$504,0)),""))</f>
        <v/>
      </c>
      <c r="Q177" s="2" t="str">
        <f aca="false">IF(AND($A177&lt;&gt;"",$B177&lt;&gt;"",$G177="Completed"),COUNTIFS($A$5:$A177,"&lt;&gt;",$B$5:$B177,"&lt;&gt;",$G$5:$G177,"Completed"),"")</f>
        <v/>
      </c>
    </row>
    <row r="178" customFormat="false" ht="15" hidden="false" customHeight="false" outlineLevel="0" collapsed="false">
      <c r="A178" s="16"/>
      <c r="B178" s="12"/>
      <c r="C178" s="17"/>
      <c r="D178" s="18"/>
      <c r="E178" s="13"/>
      <c r="F178" s="13"/>
      <c r="G178" s="12"/>
      <c r="H178" s="12"/>
      <c r="I178" s="19" t="str">
        <f aca="false">IF($B178="","",IFERROR(INDEX(Clients!$D$5:$D$204,MATCH($B178,Clients!$A$5:$A$204,0))&amp;"",""))</f>
        <v/>
      </c>
      <c r="J178" s="19" t="str">
        <f aca="false">IF($B178="","",IF($C178&lt;&gt;"",$C178,IFERROR(INDEX(Clients!$E$5:$E$204,MATCH($B178,Clients!$A$5:$A$204,0))&amp;"","")))</f>
        <v/>
      </c>
      <c r="K178" s="15" t="str">
        <f aca="false">IF($B178="","",IF($F178&lt;&gt;"",$F178,IFERROR(IF(AND(INDEX(Clients!$F$5:$F$204,MATCH($B178,Clients!$A$5:$A$204,0))&amp;""&lt;&gt;"",OR($C178="",$C178=INDEX(Clients!$E$5:$E$204,MATCH($B178,Clients!$A$5:$A$204,0)))),INDEX(Clients!$F$5:$F$204,MATCH($B178,Clients!$A$5:$A$204,0)),INDEX(Settings!$E$5:$E$19,MATCH($J178,Settings!$D$5:$D$19,0))),0)))</f>
        <v/>
      </c>
      <c r="L178" s="15" t="str">
        <f aca="false">IF($B178="","",$K178*IF($D178="",1,$D178)+$E178)</f>
        <v/>
      </c>
      <c r="M178" s="15" t="str">
        <f aca="false">IF($B178="","",ROUND($L178*Settings!$B$9,2))</f>
        <v/>
      </c>
      <c r="N178" s="15" t="str">
        <f aca="false">IF($B178="","",$L178+$M178)</f>
        <v/>
      </c>
      <c r="O178" s="19" t="str">
        <f aca="false">IF($Q178="","",Settings!$B$13&amp;TEXT(ROWS($A$5:$A178),"0000"))</f>
        <v/>
      </c>
      <c r="P178" s="19" t="str">
        <f aca="false">IF($O178="","",IFERROR(INDEX(Invoices!$I$5:$I$504,MATCH($O178,Invoices!$A$5:$A$504,0)),""))</f>
        <v/>
      </c>
      <c r="Q178" s="2" t="str">
        <f aca="false">IF(AND($A178&lt;&gt;"",$B178&lt;&gt;"",$G178="Completed"),COUNTIFS($A$5:$A178,"&lt;&gt;",$B$5:$B178,"&lt;&gt;",$G$5:$G178,"Completed"),"")</f>
        <v/>
      </c>
    </row>
    <row r="179" customFormat="false" ht="15" hidden="false" customHeight="false" outlineLevel="0" collapsed="false">
      <c r="A179" s="16"/>
      <c r="B179" s="12"/>
      <c r="C179" s="17"/>
      <c r="D179" s="18"/>
      <c r="E179" s="13"/>
      <c r="F179" s="13"/>
      <c r="G179" s="12"/>
      <c r="H179" s="12"/>
      <c r="I179" s="19" t="str">
        <f aca="false">IF($B179="","",IFERROR(INDEX(Clients!$D$5:$D$204,MATCH($B179,Clients!$A$5:$A$204,0))&amp;"",""))</f>
        <v/>
      </c>
      <c r="J179" s="19" t="str">
        <f aca="false">IF($B179="","",IF($C179&lt;&gt;"",$C179,IFERROR(INDEX(Clients!$E$5:$E$204,MATCH($B179,Clients!$A$5:$A$204,0))&amp;"","")))</f>
        <v/>
      </c>
      <c r="K179" s="15" t="str">
        <f aca="false">IF($B179="","",IF($F179&lt;&gt;"",$F179,IFERROR(IF(AND(INDEX(Clients!$F$5:$F$204,MATCH($B179,Clients!$A$5:$A$204,0))&amp;""&lt;&gt;"",OR($C179="",$C179=INDEX(Clients!$E$5:$E$204,MATCH($B179,Clients!$A$5:$A$204,0)))),INDEX(Clients!$F$5:$F$204,MATCH($B179,Clients!$A$5:$A$204,0)),INDEX(Settings!$E$5:$E$19,MATCH($J179,Settings!$D$5:$D$19,0))),0)))</f>
        <v/>
      </c>
      <c r="L179" s="15" t="str">
        <f aca="false">IF($B179="","",$K179*IF($D179="",1,$D179)+$E179)</f>
        <v/>
      </c>
      <c r="M179" s="15" t="str">
        <f aca="false">IF($B179="","",ROUND($L179*Settings!$B$9,2))</f>
        <v/>
      </c>
      <c r="N179" s="15" t="str">
        <f aca="false">IF($B179="","",$L179+$M179)</f>
        <v/>
      </c>
      <c r="O179" s="19" t="str">
        <f aca="false">IF($Q179="","",Settings!$B$13&amp;TEXT(ROWS($A$5:$A179),"0000"))</f>
        <v/>
      </c>
      <c r="P179" s="19" t="str">
        <f aca="false">IF($O179="","",IFERROR(INDEX(Invoices!$I$5:$I$504,MATCH($O179,Invoices!$A$5:$A$504,0)),""))</f>
        <v/>
      </c>
      <c r="Q179" s="2" t="str">
        <f aca="false">IF(AND($A179&lt;&gt;"",$B179&lt;&gt;"",$G179="Completed"),COUNTIFS($A$5:$A179,"&lt;&gt;",$B$5:$B179,"&lt;&gt;",$G$5:$G179,"Completed"),"")</f>
        <v/>
      </c>
    </row>
    <row r="180" customFormat="false" ht="15" hidden="false" customHeight="false" outlineLevel="0" collapsed="false">
      <c r="A180" s="16"/>
      <c r="B180" s="12"/>
      <c r="C180" s="17"/>
      <c r="D180" s="18"/>
      <c r="E180" s="13"/>
      <c r="F180" s="13"/>
      <c r="G180" s="12"/>
      <c r="H180" s="12"/>
      <c r="I180" s="19" t="str">
        <f aca="false">IF($B180="","",IFERROR(INDEX(Clients!$D$5:$D$204,MATCH($B180,Clients!$A$5:$A$204,0))&amp;"",""))</f>
        <v/>
      </c>
      <c r="J180" s="19" t="str">
        <f aca="false">IF($B180="","",IF($C180&lt;&gt;"",$C180,IFERROR(INDEX(Clients!$E$5:$E$204,MATCH($B180,Clients!$A$5:$A$204,0))&amp;"","")))</f>
        <v/>
      </c>
      <c r="K180" s="15" t="str">
        <f aca="false">IF($B180="","",IF($F180&lt;&gt;"",$F180,IFERROR(IF(AND(INDEX(Clients!$F$5:$F$204,MATCH($B180,Clients!$A$5:$A$204,0))&amp;""&lt;&gt;"",OR($C180="",$C180=INDEX(Clients!$E$5:$E$204,MATCH($B180,Clients!$A$5:$A$204,0)))),INDEX(Clients!$F$5:$F$204,MATCH($B180,Clients!$A$5:$A$204,0)),INDEX(Settings!$E$5:$E$19,MATCH($J180,Settings!$D$5:$D$19,0))),0)))</f>
        <v/>
      </c>
      <c r="L180" s="15" t="str">
        <f aca="false">IF($B180="","",$K180*IF($D180="",1,$D180)+$E180)</f>
        <v/>
      </c>
      <c r="M180" s="15" t="str">
        <f aca="false">IF($B180="","",ROUND($L180*Settings!$B$9,2))</f>
        <v/>
      </c>
      <c r="N180" s="15" t="str">
        <f aca="false">IF($B180="","",$L180+$M180)</f>
        <v/>
      </c>
      <c r="O180" s="19" t="str">
        <f aca="false">IF($Q180="","",Settings!$B$13&amp;TEXT(ROWS($A$5:$A180),"0000"))</f>
        <v/>
      </c>
      <c r="P180" s="19" t="str">
        <f aca="false">IF($O180="","",IFERROR(INDEX(Invoices!$I$5:$I$504,MATCH($O180,Invoices!$A$5:$A$504,0)),""))</f>
        <v/>
      </c>
      <c r="Q180" s="2" t="str">
        <f aca="false">IF(AND($A180&lt;&gt;"",$B180&lt;&gt;"",$G180="Completed"),COUNTIFS($A$5:$A180,"&lt;&gt;",$B$5:$B180,"&lt;&gt;",$G$5:$G180,"Completed"),"")</f>
        <v/>
      </c>
    </row>
    <row r="181" customFormat="false" ht="15" hidden="false" customHeight="false" outlineLevel="0" collapsed="false">
      <c r="A181" s="16"/>
      <c r="B181" s="12"/>
      <c r="C181" s="17"/>
      <c r="D181" s="18"/>
      <c r="E181" s="13"/>
      <c r="F181" s="13"/>
      <c r="G181" s="12"/>
      <c r="H181" s="12"/>
      <c r="I181" s="19" t="str">
        <f aca="false">IF($B181="","",IFERROR(INDEX(Clients!$D$5:$D$204,MATCH($B181,Clients!$A$5:$A$204,0))&amp;"",""))</f>
        <v/>
      </c>
      <c r="J181" s="19" t="str">
        <f aca="false">IF($B181="","",IF($C181&lt;&gt;"",$C181,IFERROR(INDEX(Clients!$E$5:$E$204,MATCH($B181,Clients!$A$5:$A$204,0))&amp;"","")))</f>
        <v/>
      </c>
      <c r="K181" s="15" t="str">
        <f aca="false">IF($B181="","",IF($F181&lt;&gt;"",$F181,IFERROR(IF(AND(INDEX(Clients!$F$5:$F$204,MATCH($B181,Clients!$A$5:$A$204,0))&amp;""&lt;&gt;"",OR($C181="",$C181=INDEX(Clients!$E$5:$E$204,MATCH($B181,Clients!$A$5:$A$204,0)))),INDEX(Clients!$F$5:$F$204,MATCH($B181,Clients!$A$5:$A$204,0)),INDEX(Settings!$E$5:$E$19,MATCH($J181,Settings!$D$5:$D$19,0))),0)))</f>
        <v/>
      </c>
      <c r="L181" s="15" t="str">
        <f aca="false">IF($B181="","",$K181*IF($D181="",1,$D181)+$E181)</f>
        <v/>
      </c>
      <c r="M181" s="15" t="str">
        <f aca="false">IF($B181="","",ROUND($L181*Settings!$B$9,2))</f>
        <v/>
      </c>
      <c r="N181" s="15" t="str">
        <f aca="false">IF($B181="","",$L181+$M181)</f>
        <v/>
      </c>
      <c r="O181" s="19" t="str">
        <f aca="false">IF($Q181="","",Settings!$B$13&amp;TEXT(ROWS($A$5:$A181),"0000"))</f>
        <v/>
      </c>
      <c r="P181" s="19" t="str">
        <f aca="false">IF($O181="","",IFERROR(INDEX(Invoices!$I$5:$I$504,MATCH($O181,Invoices!$A$5:$A$504,0)),""))</f>
        <v/>
      </c>
      <c r="Q181" s="2" t="str">
        <f aca="false">IF(AND($A181&lt;&gt;"",$B181&lt;&gt;"",$G181="Completed"),COUNTIFS($A$5:$A181,"&lt;&gt;",$B$5:$B181,"&lt;&gt;",$G$5:$G181,"Completed"),"")</f>
        <v/>
      </c>
    </row>
    <row r="182" customFormat="false" ht="15" hidden="false" customHeight="false" outlineLevel="0" collapsed="false">
      <c r="A182" s="16"/>
      <c r="B182" s="12"/>
      <c r="C182" s="17"/>
      <c r="D182" s="18"/>
      <c r="E182" s="13"/>
      <c r="F182" s="13"/>
      <c r="G182" s="12"/>
      <c r="H182" s="12"/>
      <c r="I182" s="19" t="str">
        <f aca="false">IF($B182="","",IFERROR(INDEX(Clients!$D$5:$D$204,MATCH($B182,Clients!$A$5:$A$204,0))&amp;"",""))</f>
        <v/>
      </c>
      <c r="J182" s="19" t="str">
        <f aca="false">IF($B182="","",IF($C182&lt;&gt;"",$C182,IFERROR(INDEX(Clients!$E$5:$E$204,MATCH($B182,Clients!$A$5:$A$204,0))&amp;"","")))</f>
        <v/>
      </c>
      <c r="K182" s="15" t="str">
        <f aca="false">IF($B182="","",IF($F182&lt;&gt;"",$F182,IFERROR(IF(AND(INDEX(Clients!$F$5:$F$204,MATCH($B182,Clients!$A$5:$A$204,0))&amp;""&lt;&gt;"",OR($C182="",$C182=INDEX(Clients!$E$5:$E$204,MATCH($B182,Clients!$A$5:$A$204,0)))),INDEX(Clients!$F$5:$F$204,MATCH($B182,Clients!$A$5:$A$204,0)),INDEX(Settings!$E$5:$E$19,MATCH($J182,Settings!$D$5:$D$19,0))),0)))</f>
        <v/>
      </c>
      <c r="L182" s="15" t="str">
        <f aca="false">IF($B182="","",$K182*IF($D182="",1,$D182)+$E182)</f>
        <v/>
      </c>
      <c r="M182" s="15" t="str">
        <f aca="false">IF($B182="","",ROUND($L182*Settings!$B$9,2))</f>
        <v/>
      </c>
      <c r="N182" s="15" t="str">
        <f aca="false">IF($B182="","",$L182+$M182)</f>
        <v/>
      </c>
      <c r="O182" s="19" t="str">
        <f aca="false">IF($Q182="","",Settings!$B$13&amp;TEXT(ROWS($A$5:$A182),"0000"))</f>
        <v/>
      </c>
      <c r="P182" s="19" t="str">
        <f aca="false">IF($O182="","",IFERROR(INDEX(Invoices!$I$5:$I$504,MATCH($O182,Invoices!$A$5:$A$504,0)),""))</f>
        <v/>
      </c>
      <c r="Q182" s="2" t="str">
        <f aca="false">IF(AND($A182&lt;&gt;"",$B182&lt;&gt;"",$G182="Completed"),COUNTIFS($A$5:$A182,"&lt;&gt;",$B$5:$B182,"&lt;&gt;",$G$5:$G182,"Completed"),"")</f>
        <v/>
      </c>
    </row>
    <row r="183" customFormat="false" ht="15" hidden="false" customHeight="false" outlineLevel="0" collapsed="false">
      <c r="A183" s="16"/>
      <c r="B183" s="12"/>
      <c r="C183" s="17"/>
      <c r="D183" s="18"/>
      <c r="E183" s="13"/>
      <c r="F183" s="13"/>
      <c r="G183" s="12"/>
      <c r="H183" s="12"/>
      <c r="I183" s="19" t="str">
        <f aca="false">IF($B183="","",IFERROR(INDEX(Clients!$D$5:$D$204,MATCH($B183,Clients!$A$5:$A$204,0))&amp;"",""))</f>
        <v/>
      </c>
      <c r="J183" s="19" t="str">
        <f aca="false">IF($B183="","",IF($C183&lt;&gt;"",$C183,IFERROR(INDEX(Clients!$E$5:$E$204,MATCH($B183,Clients!$A$5:$A$204,0))&amp;"","")))</f>
        <v/>
      </c>
      <c r="K183" s="15" t="str">
        <f aca="false">IF($B183="","",IF($F183&lt;&gt;"",$F183,IFERROR(IF(AND(INDEX(Clients!$F$5:$F$204,MATCH($B183,Clients!$A$5:$A$204,0))&amp;""&lt;&gt;"",OR($C183="",$C183=INDEX(Clients!$E$5:$E$204,MATCH($B183,Clients!$A$5:$A$204,0)))),INDEX(Clients!$F$5:$F$204,MATCH($B183,Clients!$A$5:$A$204,0)),INDEX(Settings!$E$5:$E$19,MATCH($J183,Settings!$D$5:$D$19,0))),0)))</f>
        <v/>
      </c>
      <c r="L183" s="15" t="str">
        <f aca="false">IF($B183="","",$K183*IF($D183="",1,$D183)+$E183)</f>
        <v/>
      </c>
      <c r="M183" s="15" t="str">
        <f aca="false">IF($B183="","",ROUND($L183*Settings!$B$9,2))</f>
        <v/>
      </c>
      <c r="N183" s="15" t="str">
        <f aca="false">IF($B183="","",$L183+$M183)</f>
        <v/>
      </c>
      <c r="O183" s="19" t="str">
        <f aca="false">IF($Q183="","",Settings!$B$13&amp;TEXT(ROWS($A$5:$A183),"0000"))</f>
        <v/>
      </c>
      <c r="P183" s="19" t="str">
        <f aca="false">IF($O183="","",IFERROR(INDEX(Invoices!$I$5:$I$504,MATCH($O183,Invoices!$A$5:$A$504,0)),""))</f>
        <v/>
      </c>
      <c r="Q183" s="2" t="str">
        <f aca="false">IF(AND($A183&lt;&gt;"",$B183&lt;&gt;"",$G183="Completed"),COUNTIFS($A$5:$A183,"&lt;&gt;",$B$5:$B183,"&lt;&gt;",$G$5:$G183,"Completed"),"")</f>
        <v/>
      </c>
    </row>
    <row r="184" customFormat="false" ht="15" hidden="false" customHeight="false" outlineLevel="0" collapsed="false">
      <c r="A184" s="16"/>
      <c r="B184" s="12"/>
      <c r="C184" s="17"/>
      <c r="D184" s="18"/>
      <c r="E184" s="13"/>
      <c r="F184" s="13"/>
      <c r="G184" s="12"/>
      <c r="H184" s="12"/>
      <c r="I184" s="19" t="str">
        <f aca="false">IF($B184="","",IFERROR(INDEX(Clients!$D$5:$D$204,MATCH($B184,Clients!$A$5:$A$204,0))&amp;"",""))</f>
        <v/>
      </c>
      <c r="J184" s="19" t="str">
        <f aca="false">IF($B184="","",IF($C184&lt;&gt;"",$C184,IFERROR(INDEX(Clients!$E$5:$E$204,MATCH($B184,Clients!$A$5:$A$204,0))&amp;"","")))</f>
        <v/>
      </c>
      <c r="K184" s="15" t="str">
        <f aca="false">IF($B184="","",IF($F184&lt;&gt;"",$F184,IFERROR(IF(AND(INDEX(Clients!$F$5:$F$204,MATCH($B184,Clients!$A$5:$A$204,0))&amp;""&lt;&gt;"",OR($C184="",$C184=INDEX(Clients!$E$5:$E$204,MATCH($B184,Clients!$A$5:$A$204,0)))),INDEX(Clients!$F$5:$F$204,MATCH($B184,Clients!$A$5:$A$204,0)),INDEX(Settings!$E$5:$E$19,MATCH($J184,Settings!$D$5:$D$19,0))),0)))</f>
        <v/>
      </c>
      <c r="L184" s="15" t="str">
        <f aca="false">IF($B184="","",$K184*IF($D184="",1,$D184)+$E184)</f>
        <v/>
      </c>
      <c r="M184" s="15" t="str">
        <f aca="false">IF($B184="","",ROUND($L184*Settings!$B$9,2))</f>
        <v/>
      </c>
      <c r="N184" s="15" t="str">
        <f aca="false">IF($B184="","",$L184+$M184)</f>
        <v/>
      </c>
      <c r="O184" s="19" t="str">
        <f aca="false">IF($Q184="","",Settings!$B$13&amp;TEXT(ROWS($A$5:$A184),"0000"))</f>
        <v/>
      </c>
      <c r="P184" s="19" t="str">
        <f aca="false">IF($O184="","",IFERROR(INDEX(Invoices!$I$5:$I$504,MATCH($O184,Invoices!$A$5:$A$504,0)),""))</f>
        <v/>
      </c>
      <c r="Q184" s="2" t="str">
        <f aca="false">IF(AND($A184&lt;&gt;"",$B184&lt;&gt;"",$G184="Completed"),COUNTIFS($A$5:$A184,"&lt;&gt;",$B$5:$B184,"&lt;&gt;",$G$5:$G184,"Completed"),"")</f>
        <v/>
      </c>
    </row>
    <row r="185" customFormat="false" ht="15" hidden="false" customHeight="false" outlineLevel="0" collapsed="false">
      <c r="A185" s="16"/>
      <c r="B185" s="12"/>
      <c r="C185" s="17"/>
      <c r="D185" s="18"/>
      <c r="E185" s="13"/>
      <c r="F185" s="13"/>
      <c r="G185" s="12"/>
      <c r="H185" s="12"/>
      <c r="I185" s="19" t="str">
        <f aca="false">IF($B185="","",IFERROR(INDEX(Clients!$D$5:$D$204,MATCH($B185,Clients!$A$5:$A$204,0))&amp;"",""))</f>
        <v/>
      </c>
      <c r="J185" s="19" t="str">
        <f aca="false">IF($B185="","",IF($C185&lt;&gt;"",$C185,IFERROR(INDEX(Clients!$E$5:$E$204,MATCH($B185,Clients!$A$5:$A$204,0))&amp;"","")))</f>
        <v/>
      </c>
      <c r="K185" s="15" t="str">
        <f aca="false">IF($B185="","",IF($F185&lt;&gt;"",$F185,IFERROR(IF(AND(INDEX(Clients!$F$5:$F$204,MATCH($B185,Clients!$A$5:$A$204,0))&amp;""&lt;&gt;"",OR($C185="",$C185=INDEX(Clients!$E$5:$E$204,MATCH($B185,Clients!$A$5:$A$204,0)))),INDEX(Clients!$F$5:$F$204,MATCH($B185,Clients!$A$5:$A$204,0)),INDEX(Settings!$E$5:$E$19,MATCH($J185,Settings!$D$5:$D$19,0))),0)))</f>
        <v/>
      </c>
      <c r="L185" s="15" t="str">
        <f aca="false">IF($B185="","",$K185*IF($D185="",1,$D185)+$E185)</f>
        <v/>
      </c>
      <c r="M185" s="15" t="str">
        <f aca="false">IF($B185="","",ROUND($L185*Settings!$B$9,2))</f>
        <v/>
      </c>
      <c r="N185" s="15" t="str">
        <f aca="false">IF($B185="","",$L185+$M185)</f>
        <v/>
      </c>
      <c r="O185" s="19" t="str">
        <f aca="false">IF($Q185="","",Settings!$B$13&amp;TEXT(ROWS($A$5:$A185),"0000"))</f>
        <v/>
      </c>
      <c r="P185" s="19" t="str">
        <f aca="false">IF($O185="","",IFERROR(INDEX(Invoices!$I$5:$I$504,MATCH($O185,Invoices!$A$5:$A$504,0)),""))</f>
        <v/>
      </c>
      <c r="Q185" s="2" t="str">
        <f aca="false">IF(AND($A185&lt;&gt;"",$B185&lt;&gt;"",$G185="Completed"),COUNTIFS($A$5:$A185,"&lt;&gt;",$B$5:$B185,"&lt;&gt;",$G$5:$G185,"Completed"),"")</f>
        <v/>
      </c>
    </row>
    <row r="186" customFormat="false" ht="15" hidden="false" customHeight="false" outlineLevel="0" collapsed="false">
      <c r="A186" s="16"/>
      <c r="B186" s="12"/>
      <c r="C186" s="17"/>
      <c r="D186" s="18"/>
      <c r="E186" s="13"/>
      <c r="F186" s="13"/>
      <c r="G186" s="12"/>
      <c r="H186" s="12"/>
      <c r="I186" s="19" t="str">
        <f aca="false">IF($B186="","",IFERROR(INDEX(Clients!$D$5:$D$204,MATCH($B186,Clients!$A$5:$A$204,0))&amp;"",""))</f>
        <v/>
      </c>
      <c r="J186" s="19" t="str">
        <f aca="false">IF($B186="","",IF($C186&lt;&gt;"",$C186,IFERROR(INDEX(Clients!$E$5:$E$204,MATCH($B186,Clients!$A$5:$A$204,0))&amp;"","")))</f>
        <v/>
      </c>
      <c r="K186" s="15" t="str">
        <f aca="false">IF($B186="","",IF($F186&lt;&gt;"",$F186,IFERROR(IF(AND(INDEX(Clients!$F$5:$F$204,MATCH($B186,Clients!$A$5:$A$204,0))&amp;""&lt;&gt;"",OR($C186="",$C186=INDEX(Clients!$E$5:$E$204,MATCH($B186,Clients!$A$5:$A$204,0)))),INDEX(Clients!$F$5:$F$204,MATCH($B186,Clients!$A$5:$A$204,0)),INDEX(Settings!$E$5:$E$19,MATCH($J186,Settings!$D$5:$D$19,0))),0)))</f>
        <v/>
      </c>
      <c r="L186" s="15" t="str">
        <f aca="false">IF($B186="","",$K186*IF($D186="",1,$D186)+$E186)</f>
        <v/>
      </c>
      <c r="M186" s="15" t="str">
        <f aca="false">IF($B186="","",ROUND($L186*Settings!$B$9,2))</f>
        <v/>
      </c>
      <c r="N186" s="15" t="str">
        <f aca="false">IF($B186="","",$L186+$M186)</f>
        <v/>
      </c>
      <c r="O186" s="19" t="str">
        <f aca="false">IF($Q186="","",Settings!$B$13&amp;TEXT(ROWS($A$5:$A186),"0000"))</f>
        <v/>
      </c>
      <c r="P186" s="19" t="str">
        <f aca="false">IF($O186="","",IFERROR(INDEX(Invoices!$I$5:$I$504,MATCH($O186,Invoices!$A$5:$A$504,0)),""))</f>
        <v/>
      </c>
      <c r="Q186" s="2" t="str">
        <f aca="false">IF(AND($A186&lt;&gt;"",$B186&lt;&gt;"",$G186="Completed"),COUNTIFS($A$5:$A186,"&lt;&gt;",$B$5:$B186,"&lt;&gt;",$G$5:$G186,"Completed"),"")</f>
        <v/>
      </c>
    </row>
    <row r="187" customFormat="false" ht="15" hidden="false" customHeight="false" outlineLevel="0" collapsed="false">
      <c r="A187" s="16"/>
      <c r="B187" s="12"/>
      <c r="C187" s="17"/>
      <c r="D187" s="18"/>
      <c r="E187" s="13"/>
      <c r="F187" s="13"/>
      <c r="G187" s="12"/>
      <c r="H187" s="12"/>
      <c r="I187" s="19" t="str">
        <f aca="false">IF($B187="","",IFERROR(INDEX(Clients!$D$5:$D$204,MATCH($B187,Clients!$A$5:$A$204,0))&amp;"",""))</f>
        <v/>
      </c>
      <c r="J187" s="19" t="str">
        <f aca="false">IF($B187="","",IF($C187&lt;&gt;"",$C187,IFERROR(INDEX(Clients!$E$5:$E$204,MATCH($B187,Clients!$A$5:$A$204,0))&amp;"","")))</f>
        <v/>
      </c>
      <c r="K187" s="15" t="str">
        <f aca="false">IF($B187="","",IF($F187&lt;&gt;"",$F187,IFERROR(IF(AND(INDEX(Clients!$F$5:$F$204,MATCH($B187,Clients!$A$5:$A$204,0))&amp;""&lt;&gt;"",OR($C187="",$C187=INDEX(Clients!$E$5:$E$204,MATCH($B187,Clients!$A$5:$A$204,0)))),INDEX(Clients!$F$5:$F$204,MATCH($B187,Clients!$A$5:$A$204,0)),INDEX(Settings!$E$5:$E$19,MATCH($J187,Settings!$D$5:$D$19,0))),0)))</f>
        <v/>
      </c>
      <c r="L187" s="15" t="str">
        <f aca="false">IF($B187="","",$K187*IF($D187="",1,$D187)+$E187)</f>
        <v/>
      </c>
      <c r="M187" s="15" t="str">
        <f aca="false">IF($B187="","",ROUND($L187*Settings!$B$9,2))</f>
        <v/>
      </c>
      <c r="N187" s="15" t="str">
        <f aca="false">IF($B187="","",$L187+$M187)</f>
        <v/>
      </c>
      <c r="O187" s="19" t="str">
        <f aca="false">IF($Q187="","",Settings!$B$13&amp;TEXT(ROWS($A$5:$A187),"0000"))</f>
        <v/>
      </c>
      <c r="P187" s="19" t="str">
        <f aca="false">IF($O187="","",IFERROR(INDEX(Invoices!$I$5:$I$504,MATCH($O187,Invoices!$A$5:$A$504,0)),""))</f>
        <v/>
      </c>
      <c r="Q187" s="2" t="str">
        <f aca="false">IF(AND($A187&lt;&gt;"",$B187&lt;&gt;"",$G187="Completed"),COUNTIFS($A$5:$A187,"&lt;&gt;",$B$5:$B187,"&lt;&gt;",$G$5:$G187,"Completed"),"")</f>
        <v/>
      </c>
    </row>
    <row r="188" customFormat="false" ht="15" hidden="false" customHeight="false" outlineLevel="0" collapsed="false">
      <c r="A188" s="16"/>
      <c r="B188" s="12"/>
      <c r="C188" s="17"/>
      <c r="D188" s="18"/>
      <c r="E188" s="13"/>
      <c r="F188" s="13"/>
      <c r="G188" s="12"/>
      <c r="H188" s="12"/>
      <c r="I188" s="19" t="str">
        <f aca="false">IF($B188="","",IFERROR(INDEX(Clients!$D$5:$D$204,MATCH($B188,Clients!$A$5:$A$204,0))&amp;"",""))</f>
        <v/>
      </c>
      <c r="J188" s="19" t="str">
        <f aca="false">IF($B188="","",IF($C188&lt;&gt;"",$C188,IFERROR(INDEX(Clients!$E$5:$E$204,MATCH($B188,Clients!$A$5:$A$204,0))&amp;"","")))</f>
        <v/>
      </c>
      <c r="K188" s="15" t="str">
        <f aca="false">IF($B188="","",IF($F188&lt;&gt;"",$F188,IFERROR(IF(AND(INDEX(Clients!$F$5:$F$204,MATCH($B188,Clients!$A$5:$A$204,0))&amp;""&lt;&gt;"",OR($C188="",$C188=INDEX(Clients!$E$5:$E$204,MATCH($B188,Clients!$A$5:$A$204,0)))),INDEX(Clients!$F$5:$F$204,MATCH($B188,Clients!$A$5:$A$204,0)),INDEX(Settings!$E$5:$E$19,MATCH($J188,Settings!$D$5:$D$19,0))),0)))</f>
        <v/>
      </c>
      <c r="L188" s="15" t="str">
        <f aca="false">IF($B188="","",$K188*IF($D188="",1,$D188)+$E188)</f>
        <v/>
      </c>
      <c r="M188" s="15" t="str">
        <f aca="false">IF($B188="","",ROUND($L188*Settings!$B$9,2))</f>
        <v/>
      </c>
      <c r="N188" s="15" t="str">
        <f aca="false">IF($B188="","",$L188+$M188)</f>
        <v/>
      </c>
      <c r="O188" s="19" t="str">
        <f aca="false">IF($Q188="","",Settings!$B$13&amp;TEXT(ROWS($A$5:$A188),"0000"))</f>
        <v/>
      </c>
      <c r="P188" s="19" t="str">
        <f aca="false">IF($O188="","",IFERROR(INDEX(Invoices!$I$5:$I$504,MATCH($O188,Invoices!$A$5:$A$504,0)),""))</f>
        <v/>
      </c>
      <c r="Q188" s="2" t="str">
        <f aca="false">IF(AND($A188&lt;&gt;"",$B188&lt;&gt;"",$G188="Completed"),COUNTIFS($A$5:$A188,"&lt;&gt;",$B$5:$B188,"&lt;&gt;",$G$5:$G188,"Completed"),"")</f>
        <v/>
      </c>
    </row>
    <row r="189" customFormat="false" ht="15" hidden="false" customHeight="false" outlineLevel="0" collapsed="false">
      <c r="A189" s="16"/>
      <c r="B189" s="12"/>
      <c r="C189" s="17"/>
      <c r="D189" s="18"/>
      <c r="E189" s="13"/>
      <c r="F189" s="13"/>
      <c r="G189" s="12"/>
      <c r="H189" s="12"/>
      <c r="I189" s="19" t="str">
        <f aca="false">IF($B189="","",IFERROR(INDEX(Clients!$D$5:$D$204,MATCH($B189,Clients!$A$5:$A$204,0))&amp;"",""))</f>
        <v/>
      </c>
      <c r="J189" s="19" t="str">
        <f aca="false">IF($B189="","",IF($C189&lt;&gt;"",$C189,IFERROR(INDEX(Clients!$E$5:$E$204,MATCH($B189,Clients!$A$5:$A$204,0))&amp;"","")))</f>
        <v/>
      </c>
      <c r="K189" s="15" t="str">
        <f aca="false">IF($B189="","",IF($F189&lt;&gt;"",$F189,IFERROR(IF(AND(INDEX(Clients!$F$5:$F$204,MATCH($B189,Clients!$A$5:$A$204,0))&amp;""&lt;&gt;"",OR($C189="",$C189=INDEX(Clients!$E$5:$E$204,MATCH($B189,Clients!$A$5:$A$204,0)))),INDEX(Clients!$F$5:$F$204,MATCH($B189,Clients!$A$5:$A$204,0)),INDEX(Settings!$E$5:$E$19,MATCH($J189,Settings!$D$5:$D$19,0))),0)))</f>
        <v/>
      </c>
      <c r="L189" s="15" t="str">
        <f aca="false">IF($B189="","",$K189*IF($D189="",1,$D189)+$E189)</f>
        <v/>
      </c>
      <c r="M189" s="15" t="str">
        <f aca="false">IF($B189="","",ROUND($L189*Settings!$B$9,2))</f>
        <v/>
      </c>
      <c r="N189" s="15" t="str">
        <f aca="false">IF($B189="","",$L189+$M189)</f>
        <v/>
      </c>
      <c r="O189" s="19" t="str">
        <f aca="false">IF($Q189="","",Settings!$B$13&amp;TEXT(ROWS($A$5:$A189),"0000"))</f>
        <v/>
      </c>
      <c r="P189" s="19" t="str">
        <f aca="false">IF($O189="","",IFERROR(INDEX(Invoices!$I$5:$I$504,MATCH($O189,Invoices!$A$5:$A$504,0)),""))</f>
        <v/>
      </c>
      <c r="Q189" s="2" t="str">
        <f aca="false">IF(AND($A189&lt;&gt;"",$B189&lt;&gt;"",$G189="Completed"),COUNTIFS($A$5:$A189,"&lt;&gt;",$B$5:$B189,"&lt;&gt;",$G$5:$G189,"Completed"),"")</f>
        <v/>
      </c>
    </row>
    <row r="190" customFormat="false" ht="15" hidden="false" customHeight="false" outlineLevel="0" collapsed="false">
      <c r="A190" s="16"/>
      <c r="B190" s="12"/>
      <c r="C190" s="17"/>
      <c r="D190" s="18"/>
      <c r="E190" s="13"/>
      <c r="F190" s="13"/>
      <c r="G190" s="12"/>
      <c r="H190" s="12"/>
      <c r="I190" s="19" t="str">
        <f aca="false">IF($B190="","",IFERROR(INDEX(Clients!$D$5:$D$204,MATCH($B190,Clients!$A$5:$A$204,0))&amp;"",""))</f>
        <v/>
      </c>
      <c r="J190" s="19" t="str">
        <f aca="false">IF($B190="","",IF($C190&lt;&gt;"",$C190,IFERROR(INDEX(Clients!$E$5:$E$204,MATCH($B190,Clients!$A$5:$A$204,0))&amp;"","")))</f>
        <v/>
      </c>
      <c r="K190" s="15" t="str">
        <f aca="false">IF($B190="","",IF($F190&lt;&gt;"",$F190,IFERROR(IF(AND(INDEX(Clients!$F$5:$F$204,MATCH($B190,Clients!$A$5:$A$204,0))&amp;""&lt;&gt;"",OR($C190="",$C190=INDEX(Clients!$E$5:$E$204,MATCH($B190,Clients!$A$5:$A$204,0)))),INDEX(Clients!$F$5:$F$204,MATCH($B190,Clients!$A$5:$A$204,0)),INDEX(Settings!$E$5:$E$19,MATCH($J190,Settings!$D$5:$D$19,0))),0)))</f>
        <v/>
      </c>
      <c r="L190" s="15" t="str">
        <f aca="false">IF($B190="","",$K190*IF($D190="",1,$D190)+$E190)</f>
        <v/>
      </c>
      <c r="M190" s="15" t="str">
        <f aca="false">IF($B190="","",ROUND($L190*Settings!$B$9,2))</f>
        <v/>
      </c>
      <c r="N190" s="15" t="str">
        <f aca="false">IF($B190="","",$L190+$M190)</f>
        <v/>
      </c>
      <c r="O190" s="19" t="str">
        <f aca="false">IF($Q190="","",Settings!$B$13&amp;TEXT(ROWS($A$5:$A190),"0000"))</f>
        <v/>
      </c>
      <c r="P190" s="19" t="str">
        <f aca="false">IF($O190="","",IFERROR(INDEX(Invoices!$I$5:$I$504,MATCH($O190,Invoices!$A$5:$A$504,0)),""))</f>
        <v/>
      </c>
      <c r="Q190" s="2" t="str">
        <f aca="false">IF(AND($A190&lt;&gt;"",$B190&lt;&gt;"",$G190="Completed"),COUNTIFS($A$5:$A190,"&lt;&gt;",$B$5:$B190,"&lt;&gt;",$G$5:$G190,"Completed"),"")</f>
        <v/>
      </c>
    </row>
    <row r="191" customFormat="false" ht="15" hidden="false" customHeight="false" outlineLevel="0" collapsed="false">
      <c r="A191" s="16"/>
      <c r="B191" s="12"/>
      <c r="C191" s="17"/>
      <c r="D191" s="18"/>
      <c r="E191" s="13"/>
      <c r="F191" s="13"/>
      <c r="G191" s="12"/>
      <c r="H191" s="12"/>
      <c r="I191" s="19" t="str">
        <f aca="false">IF($B191="","",IFERROR(INDEX(Clients!$D$5:$D$204,MATCH($B191,Clients!$A$5:$A$204,0))&amp;"",""))</f>
        <v/>
      </c>
      <c r="J191" s="19" t="str">
        <f aca="false">IF($B191="","",IF($C191&lt;&gt;"",$C191,IFERROR(INDEX(Clients!$E$5:$E$204,MATCH($B191,Clients!$A$5:$A$204,0))&amp;"","")))</f>
        <v/>
      </c>
      <c r="K191" s="15" t="str">
        <f aca="false">IF($B191="","",IF($F191&lt;&gt;"",$F191,IFERROR(IF(AND(INDEX(Clients!$F$5:$F$204,MATCH($B191,Clients!$A$5:$A$204,0))&amp;""&lt;&gt;"",OR($C191="",$C191=INDEX(Clients!$E$5:$E$204,MATCH($B191,Clients!$A$5:$A$204,0)))),INDEX(Clients!$F$5:$F$204,MATCH($B191,Clients!$A$5:$A$204,0)),INDEX(Settings!$E$5:$E$19,MATCH($J191,Settings!$D$5:$D$19,0))),0)))</f>
        <v/>
      </c>
      <c r="L191" s="15" t="str">
        <f aca="false">IF($B191="","",$K191*IF($D191="",1,$D191)+$E191)</f>
        <v/>
      </c>
      <c r="M191" s="15" t="str">
        <f aca="false">IF($B191="","",ROUND($L191*Settings!$B$9,2))</f>
        <v/>
      </c>
      <c r="N191" s="15" t="str">
        <f aca="false">IF($B191="","",$L191+$M191)</f>
        <v/>
      </c>
      <c r="O191" s="19" t="str">
        <f aca="false">IF($Q191="","",Settings!$B$13&amp;TEXT(ROWS($A$5:$A191),"0000"))</f>
        <v/>
      </c>
      <c r="P191" s="19" t="str">
        <f aca="false">IF($O191="","",IFERROR(INDEX(Invoices!$I$5:$I$504,MATCH($O191,Invoices!$A$5:$A$504,0)),""))</f>
        <v/>
      </c>
      <c r="Q191" s="2" t="str">
        <f aca="false">IF(AND($A191&lt;&gt;"",$B191&lt;&gt;"",$G191="Completed"),COUNTIFS($A$5:$A191,"&lt;&gt;",$B$5:$B191,"&lt;&gt;",$G$5:$G191,"Completed"),"")</f>
        <v/>
      </c>
    </row>
    <row r="192" customFormat="false" ht="15" hidden="false" customHeight="false" outlineLevel="0" collapsed="false">
      <c r="A192" s="16"/>
      <c r="B192" s="12"/>
      <c r="C192" s="17"/>
      <c r="D192" s="18"/>
      <c r="E192" s="13"/>
      <c r="F192" s="13"/>
      <c r="G192" s="12"/>
      <c r="H192" s="12"/>
      <c r="I192" s="19" t="str">
        <f aca="false">IF($B192="","",IFERROR(INDEX(Clients!$D$5:$D$204,MATCH($B192,Clients!$A$5:$A$204,0))&amp;"",""))</f>
        <v/>
      </c>
      <c r="J192" s="19" t="str">
        <f aca="false">IF($B192="","",IF($C192&lt;&gt;"",$C192,IFERROR(INDEX(Clients!$E$5:$E$204,MATCH($B192,Clients!$A$5:$A$204,0))&amp;"","")))</f>
        <v/>
      </c>
      <c r="K192" s="15" t="str">
        <f aca="false">IF($B192="","",IF($F192&lt;&gt;"",$F192,IFERROR(IF(AND(INDEX(Clients!$F$5:$F$204,MATCH($B192,Clients!$A$5:$A$204,0))&amp;""&lt;&gt;"",OR($C192="",$C192=INDEX(Clients!$E$5:$E$204,MATCH($B192,Clients!$A$5:$A$204,0)))),INDEX(Clients!$F$5:$F$204,MATCH($B192,Clients!$A$5:$A$204,0)),INDEX(Settings!$E$5:$E$19,MATCH($J192,Settings!$D$5:$D$19,0))),0)))</f>
        <v/>
      </c>
      <c r="L192" s="15" t="str">
        <f aca="false">IF($B192="","",$K192*IF($D192="",1,$D192)+$E192)</f>
        <v/>
      </c>
      <c r="M192" s="15" t="str">
        <f aca="false">IF($B192="","",ROUND($L192*Settings!$B$9,2))</f>
        <v/>
      </c>
      <c r="N192" s="15" t="str">
        <f aca="false">IF($B192="","",$L192+$M192)</f>
        <v/>
      </c>
      <c r="O192" s="19" t="str">
        <f aca="false">IF($Q192="","",Settings!$B$13&amp;TEXT(ROWS($A$5:$A192),"0000"))</f>
        <v/>
      </c>
      <c r="P192" s="19" t="str">
        <f aca="false">IF($O192="","",IFERROR(INDEX(Invoices!$I$5:$I$504,MATCH($O192,Invoices!$A$5:$A$504,0)),""))</f>
        <v/>
      </c>
      <c r="Q192" s="2" t="str">
        <f aca="false">IF(AND($A192&lt;&gt;"",$B192&lt;&gt;"",$G192="Completed"),COUNTIFS($A$5:$A192,"&lt;&gt;",$B$5:$B192,"&lt;&gt;",$G$5:$G192,"Completed"),"")</f>
        <v/>
      </c>
    </row>
    <row r="193" customFormat="false" ht="15" hidden="false" customHeight="false" outlineLevel="0" collapsed="false">
      <c r="A193" s="16"/>
      <c r="B193" s="12"/>
      <c r="C193" s="17"/>
      <c r="D193" s="18"/>
      <c r="E193" s="13"/>
      <c r="F193" s="13"/>
      <c r="G193" s="12"/>
      <c r="H193" s="12"/>
      <c r="I193" s="19" t="str">
        <f aca="false">IF($B193="","",IFERROR(INDEX(Clients!$D$5:$D$204,MATCH($B193,Clients!$A$5:$A$204,0))&amp;"",""))</f>
        <v/>
      </c>
      <c r="J193" s="19" t="str">
        <f aca="false">IF($B193="","",IF($C193&lt;&gt;"",$C193,IFERROR(INDEX(Clients!$E$5:$E$204,MATCH($B193,Clients!$A$5:$A$204,0))&amp;"","")))</f>
        <v/>
      </c>
      <c r="K193" s="15" t="str">
        <f aca="false">IF($B193="","",IF($F193&lt;&gt;"",$F193,IFERROR(IF(AND(INDEX(Clients!$F$5:$F$204,MATCH($B193,Clients!$A$5:$A$204,0))&amp;""&lt;&gt;"",OR($C193="",$C193=INDEX(Clients!$E$5:$E$204,MATCH($B193,Clients!$A$5:$A$204,0)))),INDEX(Clients!$F$5:$F$204,MATCH($B193,Clients!$A$5:$A$204,0)),INDEX(Settings!$E$5:$E$19,MATCH($J193,Settings!$D$5:$D$19,0))),0)))</f>
        <v/>
      </c>
      <c r="L193" s="15" t="str">
        <f aca="false">IF($B193="","",$K193*IF($D193="",1,$D193)+$E193)</f>
        <v/>
      </c>
      <c r="M193" s="15" t="str">
        <f aca="false">IF($B193="","",ROUND($L193*Settings!$B$9,2))</f>
        <v/>
      </c>
      <c r="N193" s="15" t="str">
        <f aca="false">IF($B193="","",$L193+$M193)</f>
        <v/>
      </c>
      <c r="O193" s="19" t="str">
        <f aca="false">IF($Q193="","",Settings!$B$13&amp;TEXT(ROWS($A$5:$A193),"0000"))</f>
        <v/>
      </c>
      <c r="P193" s="19" t="str">
        <f aca="false">IF($O193="","",IFERROR(INDEX(Invoices!$I$5:$I$504,MATCH($O193,Invoices!$A$5:$A$504,0)),""))</f>
        <v/>
      </c>
      <c r="Q193" s="2" t="str">
        <f aca="false">IF(AND($A193&lt;&gt;"",$B193&lt;&gt;"",$G193="Completed"),COUNTIFS($A$5:$A193,"&lt;&gt;",$B$5:$B193,"&lt;&gt;",$G$5:$G193,"Completed"),"")</f>
        <v/>
      </c>
    </row>
    <row r="194" customFormat="false" ht="15" hidden="false" customHeight="false" outlineLevel="0" collapsed="false">
      <c r="A194" s="16"/>
      <c r="B194" s="12"/>
      <c r="C194" s="17"/>
      <c r="D194" s="18"/>
      <c r="E194" s="13"/>
      <c r="F194" s="13"/>
      <c r="G194" s="12"/>
      <c r="H194" s="12"/>
      <c r="I194" s="19" t="str">
        <f aca="false">IF($B194="","",IFERROR(INDEX(Clients!$D$5:$D$204,MATCH($B194,Clients!$A$5:$A$204,0))&amp;"",""))</f>
        <v/>
      </c>
      <c r="J194" s="19" t="str">
        <f aca="false">IF($B194="","",IF($C194&lt;&gt;"",$C194,IFERROR(INDEX(Clients!$E$5:$E$204,MATCH($B194,Clients!$A$5:$A$204,0))&amp;"","")))</f>
        <v/>
      </c>
      <c r="K194" s="15" t="str">
        <f aca="false">IF($B194="","",IF($F194&lt;&gt;"",$F194,IFERROR(IF(AND(INDEX(Clients!$F$5:$F$204,MATCH($B194,Clients!$A$5:$A$204,0))&amp;""&lt;&gt;"",OR($C194="",$C194=INDEX(Clients!$E$5:$E$204,MATCH($B194,Clients!$A$5:$A$204,0)))),INDEX(Clients!$F$5:$F$204,MATCH($B194,Clients!$A$5:$A$204,0)),INDEX(Settings!$E$5:$E$19,MATCH($J194,Settings!$D$5:$D$19,0))),0)))</f>
        <v/>
      </c>
      <c r="L194" s="15" t="str">
        <f aca="false">IF($B194="","",$K194*IF($D194="",1,$D194)+$E194)</f>
        <v/>
      </c>
      <c r="M194" s="15" t="str">
        <f aca="false">IF($B194="","",ROUND($L194*Settings!$B$9,2))</f>
        <v/>
      </c>
      <c r="N194" s="15" t="str">
        <f aca="false">IF($B194="","",$L194+$M194)</f>
        <v/>
      </c>
      <c r="O194" s="19" t="str">
        <f aca="false">IF($Q194="","",Settings!$B$13&amp;TEXT(ROWS($A$5:$A194),"0000"))</f>
        <v/>
      </c>
      <c r="P194" s="19" t="str">
        <f aca="false">IF($O194="","",IFERROR(INDEX(Invoices!$I$5:$I$504,MATCH($O194,Invoices!$A$5:$A$504,0)),""))</f>
        <v/>
      </c>
      <c r="Q194" s="2" t="str">
        <f aca="false">IF(AND($A194&lt;&gt;"",$B194&lt;&gt;"",$G194="Completed"),COUNTIFS($A$5:$A194,"&lt;&gt;",$B$5:$B194,"&lt;&gt;",$G$5:$G194,"Completed"),"")</f>
        <v/>
      </c>
    </row>
    <row r="195" customFormat="false" ht="15" hidden="false" customHeight="false" outlineLevel="0" collapsed="false">
      <c r="A195" s="16"/>
      <c r="B195" s="12"/>
      <c r="C195" s="17"/>
      <c r="D195" s="18"/>
      <c r="E195" s="13"/>
      <c r="F195" s="13"/>
      <c r="G195" s="12"/>
      <c r="H195" s="12"/>
      <c r="I195" s="19" t="str">
        <f aca="false">IF($B195="","",IFERROR(INDEX(Clients!$D$5:$D$204,MATCH($B195,Clients!$A$5:$A$204,0))&amp;"",""))</f>
        <v/>
      </c>
      <c r="J195" s="19" t="str">
        <f aca="false">IF($B195="","",IF($C195&lt;&gt;"",$C195,IFERROR(INDEX(Clients!$E$5:$E$204,MATCH($B195,Clients!$A$5:$A$204,0))&amp;"","")))</f>
        <v/>
      </c>
      <c r="K195" s="15" t="str">
        <f aca="false">IF($B195="","",IF($F195&lt;&gt;"",$F195,IFERROR(IF(AND(INDEX(Clients!$F$5:$F$204,MATCH($B195,Clients!$A$5:$A$204,0))&amp;""&lt;&gt;"",OR($C195="",$C195=INDEX(Clients!$E$5:$E$204,MATCH($B195,Clients!$A$5:$A$204,0)))),INDEX(Clients!$F$5:$F$204,MATCH($B195,Clients!$A$5:$A$204,0)),INDEX(Settings!$E$5:$E$19,MATCH($J195,Settings!$D$5:$D$19,0))),0)))</f>
        <v/>
      </c>
      <c r="L195" s="15" t="str">
        <f aca="false">IF($B195="","",$K195*IF($D195="",1,$D195)+$E195)</f>
        <v/>
      </c>
      <c r="M195" s="15" t="str">
        <f aca="false">IF($B195="","",ROUND($L195*Settings!$B$9,2))</f>
        <v/>
      </c>
      <c r="N195" s="15" t="str">
        <f aca="false">IF($B195="","",$L195+$M195)</f>
        <v/>
      </c>
      <c r="O195" s="19" t="str">
        <f aca="false">IF($Q195="","",Settings!$B$13&amp;TEXT(ROWS($A$5:$A195),"0000"))</f>
        <v/>
      </c>
      <c r="P195" s="19" t="str">
        <f aca="false">IF($O195="","",IFERROR(INDEX(Invoices!$I$5:$I$504,MATCH($O195,Invoices!$A$5:$A$504,0)),""))</f>
        <v/>
      </c>
      <c r="Q195" s="2" t="str">
        <f aca="false">IF(AND($A195&lt;&gt;"",$B195&lt;&gt;"",$G195="Completed"),COUNTIFS($A$5:$A195,"&lt;&gt;",$B$5:$B195,"&lt;&gt;",$G$5:$G195,"Completed"),"")</f>
        <v/>
      </c>
    </row>
    <row r="196" customFormat="false" ht="15" hidden="false" customHeight="false" outlineLevel="0" collapsed="false">
      <c r="A196" s="16"/>
      <c r="B196" s="12"/>
      <c r="C196" s="17"/>
      <c r="D196" s="18"/>
      <c r="E196" s="13"/>
      <c r="F196" s="13"/>
      <c r="G196" s="12"/>
      <c r="H196" s="12"/>
      <c r="I196" s="19" t="str">
        <f aca="false">IF($B196="","",IFERROR(INDEX(Clients!$D$5:$D$204,MATCH($B196,Clients!$A$5:$A$204,0))&amp;"",""))</f>
        <v/>
      </c>
      <c r="J196" s="19" t="str">
        <f aca="false">IF($B196="","",IF($C196&lt;&gt;"",$C196,IFERROR(INDEX(Clients!$E$5:$E$204,MATCH($B196,Clients!$A$5:$A$204,0))&amp;"","")))</f>
        <v/>
      </c>
      <c r="K196" s="15" t="str">
        <f aca="false">IF($B196="","",IF($F196&lt;&gt;"",$F196,IFERROR(IF(AND(INDEX(Clients!$F$5:$F$204,MATCH($B196,Clients!$A$5:$A$204,0))&amp;""&lt;&gt;"",OR($C196="",$C196=INDEX(Clients!$E$5:$E$204,MATCH($B196,Clients!$A$5:$A$204,0)))),INDEX(Clients!$F$5:$F$204,MATCH($B196,Clients!$A$5:$A$204,0)),INDEX(Settings!$E$5:$E$19,MATCH($J196,Settings!$D$5:$D$19,0))),0)))</f>
        <v/>
      </c>
      <c r="L196" s="15" t="str">
        <f aca="false">IF($B196="","",$K196*IF($D196="",1,$D196)+$E196)</f>
        <v/>
      </c>
      <c r="M196" s="15" t="str">
        <f aca="false">IF($B196="","",ROUND($L196*Settings!$B$9,2))</f>
        <v/>
      </c>
      <c r="N196" s="15" t="str">
        <f aca="false">IF($B196="","",$L196+$M196)</f>
        <v/>
      </c>
      <c r="O196" s="19" t="str">
        <f aca="false">IF($Q196="","",Settings!$B$13&amp;TEXT(ROWS($A$5:$A196),"0000"))</f>
        <v/>
      </c>
      <c r="P196" s="19" t="str">
        <f aca="false">IF($O196="","",IFERROR(INDEX(Invoices!$I$5:$I$504,MATCH($O196,Invoices!$A$5:$A$504,0)),""))</f>
        <v/>
      </c>
      <c r="Q196" s="2" t="str">
        <f aca="false">IF(AND($A196&lt;&gt;"",$B196&lt;&gt;"",$G196="Completed"),COUNTIFS($A$5:$A196,"&lt;&gt;",$B$5:$B196,"&lt;&gt;",$G$5:$G196,"Completed"),"")</f>
        <v/>
      </c>
    </row>
    <row r="197" customFormat="false" ht="15" hidden="false" customHeight="false" outlineLevel="0" collapsed="false">
      <c r="A197" s="16"/>
      <c r="B197" s="12"/>
      <c r="C197" s="17"/>
      <c r="D197" s="18"/>
      <c r="E197" s="13"/>
      <c r="F197" s="13"/>
      <c r="G197" s="12"/>
      <c r="H197" s="12"/>
      <c r="I197" s="19" t="str">
        <f aca="false">IF($B197="","",IFERROR(INDEX(Clients!$D$5:$D$204,MATCH($B197,Clients!$A$5:$A$204,0))&amp;"",""))</f>
        <v/>
      </c>
      <c r="J197" s="19" t="str">
        <f aca="false">IF($B197="","",IF($C197&lt;&gt;"",$C197,IFERROR(INDEX(Clients!$E$5:$E$204,MATCH($B197,Clients!$A$5:$A$204,0))&amp;"","")))</f>
        <v/>
      </c>
      <c r="K197" s="15" t="str">
        <f aca="false">IF($B197="","",IF($F197&lt;&gt;"",$F197,IFERROR(IF(AND(INDEX(Clients!$F$5:$F$204,MATCH($B197,Clients!$A$5:$A$204,0))&amp;""&lt;&gt;"",OR($C197="",$C197=INDEX(Clients!$E$5:$E$204,MATCH($B197,Clients!$A$5:$A$204,0)))),INDEX(Clients!$F$5:$F$204,MATCH($B197,Clients!$A$5:$A$204,0)),INDEX(Settings!$E$5:$E$19,MATCH($J197,Settings!$D$5:$D$19,0))),0)))</f>
        <v/>
      </c>
      <c r="L197" s="15" t="str">
        <f aca="false">IF($B197="","",$K197*IF($D197="",1,$D197)+$E197)</f>
        <v/>
      </c>
      <c r="M197" s="15" t="str">
        <f aca="false">IF($B197="","",ROUND($L197*Settings!$B$9,2))</f>
        <v/>
      </c>
      <c r="N197" s="15" t="str">
        <f aca="false">IF($B197="","",$L197+$M197)</f>
        <v/>
      </c>
      <c r="O197" s="19" t="str">
        <f aca="false">IF($Q197="","",Settings!$B$13&amp;TEXT(ROWS($A$5:$A197),"0000"))</f>
        <v/>
      </c>
      <c r="P197" s="19" t="str">
        <f aca="false">IF($O197="","",IFERROR(INDEX(Invoices!$I$5:$I$504,MATCH($O197,Invoices!$A$5:$A$504,0)),""))</f>
        <v/>
      </c>
      <c r="Q197" s="2" t="str">
        <f aca="false">IF(AND($A197&lt;&gt;"",$B197&lt;&gt;"",$G197="Completed"),COUNTIFS($A$5:$A197,"&lt;&gt;",$B$5:$B197,"&lt;&gt;",$G$5:$G197,"Completed"),"")</f>
        <v/>
      </c>
    </row>
    <row r="198" customFormat="false" ht="15" hidden="false" customHeight="false" outlineLevel="0" collapsed="false">
      <c r="A198" s="16"/>
      <c r="B198" s="12"/>
      <c r="C198" s="17"/>
      <c r="D198" s="18"/>
      <c r="E198" s="13"/>
      <c r="F198" s="13"/>
      <c r="G198" s="12"/>
      <c r="H198" s="12"/>
      <c r="I198" s="19" t="str">
        <f aca="false">IF($B198="","",IFERROR(INDEX(Clients!$D$5:$D$204,MATCH($B198,Clients!$A$5:$A$204,0))&amp;"",""))</f>
        <v/>
      </c>
      <c r="J198" s="19" t="str">
        <f aca="false">IF($B198="","",IF($C198&lt;&gt;"",$C198,IFERROR(INDEX(Clients!$E$5:$E$204,MATCH($B198,Clients!$A$5:$A$204,0))&amp;"","")))</f>
        <v/>
      </c>
      <c r="K198" s="15" t="str">
        <f aca="false">IF($B198="","",IF($F198&lt;&gt;"",$F198,IFERROR(IF(AND(INDEX(Clients!$F$5:$F$204,MATCH($B198,Clients!$A$5:$A$204,0))&amp;""&lt;&gt;"",OR($C198="",$C198=INDEX(Clients!$E$5:$E$204,MATCH($B198,Clients!$A$5:$A$204,0)))),INDEX(Clients!$F$5:$F$204,MATCH($B198,Clients!$A$5:$A$204,0)),INDEX(Settings!$E$5:$E$19,MATCH($J198,Settings!$D$5:$D$19,0))),0)))</f>
        <v/>
      </c>
      <c r="L198" s="15" t="str">
        <f aca="false">IF($B198="","",$K198*IF($D198="",1,$D198)+$E198)</f>
        <v/>
      </c>
      <c r="M198" s="15" t="str">
        <f aca="false">IF($B198="","",ROUND($L198*Settings!$B$9,2))</f>
        <v/>
      </c>
      <c r="N198" s="15" t="str">
        <f aca="false">IF($B198="","",$L198+$M198)</f>
        <v/>
      </c>
      <c r="O198" s="19" t="str">
        <f aca="false">IF($Q198="","",Settings!$B$13&amp;TEXT(ROWS($A$5:$A198),"0000"))</f>
        <v/>
      </c>
      <c r="P198" s="19" t="str">
        <f aca="false">IF($O198="","",IFERROR(INDEX(Invoices!$I$5:$I$504,MATCH($O198,Invoices!$A$5:$A$504,0)),""))</f>
        <v/>
      </c>
      <c r="Q198" s="2" t="str">
        <f aca="false">IF(AND($A198&lt;&gt;"",$B198&lt;&gt;"",$G198="Completed"),COUNTIFS($A$5:$A198,"&lt;&gt;",$B$5:$B198,"&lt;&gt;",$G$5:$G198,"Completed"),"")</f>
        <v/>
      </c>
    </row>
    <row r="199" customFormat="false" ht="15" hidden="false" customHeight="false" outlineLevel="0" collapsed="false">
      <c r="A199" s="16"/>
      <c r="B199" s="12"/>
      <c r="C199" s="17"/>
      <c r="D199" s="18"/>
      <c r="E199" s="13"/>
      <c r="F199" s="13"/>
      <c r="G199" s="12"/>
      <c r="H199" s="12"/>
      <c r="I199" s="19" t="str">
        <f aca="false">IF($B199="","",IFERROR(INDEX(Clients!$D$5:$D$204,MATCH($B199,Clients!$A$5:$A$204,0))&amp;"",""))</f>
        <v/>
      </c>
      <c r="J199" s="19" t="str">
        <f aca="false">IF($B199="","",IF($C199&lt;&gt;"",$C199,IFERROR(INDEX(Clients!$E$5:$E$204,MATCH($B199,Clients!$A$5:$A$204,0))&amp;"","")))</f>
        <v/>
      </c>
      <c r="K199" s="15" t="str">
        <f aca="false">IF($B199="","",IF($F199&lt;&gt;"",$F199,IFERROR(IF(AND(INDEX(Clients!$F$5:$F$204,MATCH($B199,Clients!$A$5:$A$204,0))&amp;""&lt;&gt;"",OR($C199="",$C199=INDEX(Clients!$E$5:$E$204,MATCH($B199,Clients!$A$5:$A$204,0)))),INDEX(Clients!$F$5:$F$204,MATCH($B199,Clients!$A$5:$A$204,0)),INDEX(Settings!$E$5:$E$19,MATCH($J199,Settings!$D$5:$D$19,0))),0)))</f>
        <v/>
      </c>
      <c r="L199" s="15" t="str">
        <f aca="false">IF($B199="","",$K199*IF($D199="",1,$D199)+$E199)</f>
        <v/>
      </c>
      <c r="M199" s="15" t="str">
        <f aca="false">IF($B199="","",ROUND($L199*Settings!$B$9,2))</f>
        <v/>
      </c>
      <c r="N199" s="15" t="str">
        <f aca="false">IF($B199="","",$L199+$M199)</f>
        <v/>
      </c>
      <c r="O199" s="19" t="str">
        <f aca="false">IF($Q199="","",Settings!$B$13&amp;TEXT(ROWS($A$5:$A199),"0000"))</f>
        <v/>
      </c>
      <c r="P199" s="19" t="str">
        <f aca="false">IF($O199="","",IFERROR(INDEX(Invoices!$I$5:$I$504,MATCH($O199,Invoices!$A$5:$A$504,0)),""))</f>
        <v/>
      </c>
      <c r="Q199" s="2" t="str">
        <f aca="false">IF(AND($A199&lt;&gt;"",$B199&lt;&gt;"",$G199="Completed"),COUNTIFS($A$5:$A199,"&lt;&gt;",$B$5:$B199,"&lt;&gt;",$G$5:$G199,"Completed"),"")</f>
        <v/>
      </c>
    </row>
    <row r="200" customFormat="false" ht="15" hidden="false" customHeight="false" outlineLevel="0" collapsed="false">
      <c r="A200" s="16"/>
      <c r="B200" s="12"/>
      <c r="C200" s="17"/>
      <c r="D200" s="18"/>
      <c r="E200" s="13"/>
      <c r="F200" s="13"/>
      <c r="G200" s="12"/>
      <c r="H200" s="12"/>
      <c r="I200" s="19" t="str">
        <f aca="false">IF($B200="","",IFERROR(INDEX(Clients!$D$5:$D$204,MATCH($B200,Clients!$A$5:$A$204,0))&amp;"",""))</f>
        <v/>
      </c>
      <c r="J200" s="19" t="str">
        <f aca="false">IF($B200="","",IF($C200&lt;&gt;"",$C200,IFERROR(INDEX(Clients!$E$5:$E$204,MATCH($B200,Clients!$A$5:$A$204,0))&amp;"","")))</f>
        <v/>
      </c>
      <c r="K200" s="15" t="str">
        <f aca="false">IF($B200="","",IF($F200&lt;&gt;"",$F200,IFERROR(IF(AND(INDEX(Clients!$F$5:$F$204,MATCH($B200,Clients!$A$5:$A$204,0))&amp;""&lt;&gt;"",OR($C200="",$C200=INDEX(Clients!$E$5:$E$204,MATCH($B200,Clients!$A$5:$A$204,0)))),INDEX(Clients!$F$5:$F$204,MATCH($B200,Clients!$A$5:$A$204,0)),INDEX(Settings!$E$5:$E$19,MATCH($J200,Settings!$D$5:$D$19,0))),0)))</f>
        <v/>
      </c>
      <c r="L200" s="15" t="str">
        <f aca="false">IF($B200="","",$K200*IF($D200="",1,$D200)+$E200)</f>
        <v/>
      </c>
      <c r="M200" s="15" t="str">
        <f aca="false">IF($B200="","",ROUND($L200*Settings!$B$9,2))</f>
        <v/>
      </c>
      <c r="N200" s="15" t="str">
        <f aca="false">IF($B200="","",$L200+$M200)</f>
        <v/>
      </c>
      <c r="O200" s="19" t="str">
        <f aca="false">IF($Q200="","",Settings!$B$13&amp;TEXT(ROWS($A$5:$A200),"0000"))</f>
        <v/>
      </c>
      <c r="P200" s="19" t="str">
        <f aca="false">IF($O200="","",IFERROR(INDEX(Invoices!$I$5:$I$504,MATCH($O200,Invoices!$A$5:$A$504,0)),""))</f>
        <v/>
      </c>
      <c r="Q200" s="2" t="str">
        <f aca="false">IF(AND($A200&lt;&gt;"",$B200&lt;&gt;"",$G200="Completed"),COUNTIFS($A$5:$A200,"&lt;&gt;",$B$5:$B200,"&lt;&gt;",$G$5:$G200,"Completed"),"")</f>
        <v/>
      </c>
    </row>
    <row r="201" customFormat="false" ht="15" hidden="false" customHeight="false" outlineLevel="0" collapsed="false">
      <c r="A201" s="16"/>
      <c r="B201" s="12"/>
      <c r="C201" s="17"/>
      <c r="D201" s="18"/>
      <c r="E201" s="13"/>
      <c r="F201" s="13"/>
      <c r="G201" s="12"/>
      <c r="H201" s="12"/>
      <c r="I201" s="19" t="str">
        <f aca="false">IF($B201="","",IFERROR(INDEX(Clients!$D$5:$D$204,MATCH($B201,Clients!$A$5:$A$204,0))&amp;"",""))</f>
        <v/>
      </c>
      <c r="J201" s="19" t="str">
        <f aca="false">IF($B201="","",IF($C201&lt;&gt;"",$C201,IFERROR(INDEX(Clients!$E$5:$E$204,MATCH($B201,Clients!$A$5:$A$204,0))&amp;"","")))</f>
        <v/>
      </c>
      <c r="K201" s="15" t="str">
        <f aca="false">IF($B201="","",IF($F201&lt;&gt;"",$F201,IFERROR(IF(AND(INDEX(Clients!$F$5:$F$204,MATCH($B201,Clients!$A$5:$A$204,0))&amp;""&lt;&gt;"",OR($C201="",$C201=INDEX(Clients!$E$5:$E$204,MATCH($B201,Clients!$A$5:$A$204,0)))),INDEX(Clients!$F$5:$F$204,MATCH($B201,Clients!$A$5:$A$204,0)),INDEX(Settings!$E$5:$E$19,MATCH($J201,Settings!$D$5:$D$19,0))),0)))</f>
        <v/>
      </c>
      <c r="L201" s="15" t="str">
        <f aca="false">IF($B201="","",$K201*IF($D201="",1,$D201)+$E201)</f>
        <v/>
      </c>
      <c r="M201" s="15" t="str">
        <f aca="false">IF($B201="","",ROUND($L201*Settings!$B$9,2))</f>
        <v/>
      </c>
      <c r="N201" s="15" t="str">
        <f aca="false">IF($B201="","",$L201+$M201)</f>
        <v/>
      </c>
      <c r="O201" s="19" t="str">
        <f aca="false">IF($Q201="","",Settings!$B$13&amp;TEXT(ROWS($A$5:$A201),"0000"))</f>
        <v/>
      </c>
      <c r="P201" s="19" t="str">
        <f aca="false">IF($O201="","",IFERROR(INDEX(Invoices!$I$5:$I$504,MATCH($O201,Invoices!$A$5:$A$504,0)),""))</f>
        <v/>
      </c>
      <c r="Q201" s="2" t="str">
        <f aca="false">IF(AND($A201&lt;&gt;"",$B201&lt;&gt;"",$G201="Completed"),COUNTIFS($A$5:$A201,"&lt;&gt;",$B$5:$B201,"&lt;&gt;",$G$5:$G201,"Completed"),"")</f>
        <v/>
      </c>
    </row>
    <row r="202" customFormat="false" ht="15" hidden="false" customHeight="false" outlineLevel="0" collapsed="false">
      <c r="A202" s="16"/>
      <c r="B202" s="12"/>
      <c r="C202" s="17"/>
      <c r="D202" s="18"/>
      <c r="E202" s="13"/>
      <c r="F202" s="13"/>
      <c r="G202" s="12"/>
      <c r="H202" s="12"/>
      <c r="I202" s="19" t="str">
        <f aca="false">IF($B202="","",IFERROR(INDEX(Clients!$D$5:$D$204,MATCH($B202,Clients!$A$5:$A$204,0))&amp;"",""))</f>
        <v/>
      </c>
      <c r="J202" s="19" t="str">
        <f aca="false">IF($B202="","",IF($C202&lt;&gt;"",$C202,IFERROR(INDEX(Clients!$E$5:$E$204,MATCH($B202,Clients!$A$5:$A$204,0))&amp;"","")))</f>
        <v/>
      </c>
      <c r="K202" s="15" t="str">
        <f aca="false">IF($B202="","",IF($F202&lt;&gt;"",$F202,IFERROR(IF(AND(INDEX(Clients!$F$5:$F$204,MATCH($B202,Clients!$A$5:$A$204,0))&amp;""&lt;&gt;"",OR($C202="",$C202=INDEX(Clients!$E$5:$E$204,MATCH($B202,Clients!$A$5:$A$204,0)))),INDEX(Clients!$F$5:$F$204,MATCH($B202,Clients!$A$5:$A$204,0)),INDEX(Settings!$E$5:$E$19,MATCH($J202,Settings!$D$5:$D$19,0))),0)))</f>
        <v/>
      </c>
      <c r="L202" s="15" t="str">
        <f aca="false">IF($B202="","",$K202*IF($D202="",1,$D202)+$E202)</f>
        <v/>
      </c>
      <c r="M202" s="15" t="str">
        <f aca="false">IF($B202="","",ROUND($L202*Settings!$B$9,2))</f>
        <v/>
      </c>
      <c r="N202" s="15" t="str">
        <f aca="false">IF($B202="","",$L202+$M202)</f>
        <v/>
      </c>
      <c r="O202" s="19" t="str">
        <f aca="false">IF($Q202="","",Settings!$B$13&amp;TEXT(ROWS($A$5:$A202),"0000"))</f>
        <v/>
      </c>
      <c r="P202" s="19" t="str">
        <f aca="false">IF($O202="","",IFERROR(INDEX(Invoices!$I$5:$I$504,MATCH($O202,Invoices!$A$5:$A$504,0)),""))</f>
        <v/>
      </c>
      <c r="Q202" s="2" t="str">
        <f aca="false">IF(AND($A202&lt;&gt;"",$B202&lt;&gt;"",$G202="Completed"),COUNTIFS($A$5:$A202,"&lt;&gt;",$B$5:$B202,"&lt;&gt;",$G$5:$G202,"Completed"),"")</f>
        <v/>
      </c>
    </row>
    <row r="203" customFormat="false" ht="15" hidden="false" customHeight="false" outlineLevel="0" collapsed="false">
      <c r="A203" s="16"/>
      <c r="B203" s="12"/>
      <c r="C203" s="17"/>
      <c r="D203" s="18"/>
      <c r="E203" s="13"/>
      <c r="F203" s="13"/>
      <c r="G203" s="12"/>
      <c r="H203" s="12"/>
      <c r="I203" s="19" t="str">
        <f aca="false">IF($B203="","",IFERROR(INDEX(Clients!$D$5:$D$204,MATCH($B203,Clients!$A$5:$A$204,0))&amp;"",""))</f>
        <v/>
      </c>
      <c r="J203" s="19" t="str">
        <f aca="false">IF($B203="","",IF($C203&lt;&gt;"",$C203,IFERROR(INDEX(Clients!$E$5:$E$204,MATCH($B203,Clients!$A$5:$A$204,0))&amp;"","")))</f>
        <v/>
      </c>
      <c r="K203" s="15" t="str">
        <f aca="false">IF($B203="","",IF($F203&lt;&gt;"",$F203,IFERROR(IF(AND(INDEX(Clients!$F$5:$F$204,MATCH($B203,Clients!$A$5:$A$204,0))&amp;""&lt;&gt;"",OR($C203="",$C203=INDEX(Clients!$E$5:$E$204,MATCH($B203,Clients!$A$5:$A$204,0)))),INDEX(Clients!$F$5:$F$204,MATCH($B203,Clients!$A$5:$A$204,0)),INDEX(Settings!$E$5:$E$19,MATCH($J203,Settings!$D$5:$D$19,0))),0)))</f>
        <v/>
      </c>
      <c r="L203" s="15" t="str">
        <f aca="false">IF($B203="","",$K203*IF($D203="",1,$D203)+$E203)</f>
        <v/>
      </c>
      <c r="M203" s="15" t="str">
        <f aca="false">IF($B203="","",ROUND($L203*Settings!$B$9,2))</f>
        <v/>
      </c>
      <c r="N203" s="15" t="str">
        <f aca="false">IF($B203="","",$L203+$M203)</f>
        <v/>
      </c>
      <c r="O203" s="19" t="str">
        <f aca="false">IF($Q203="","",Settings!$B$13&amp;TEXT(ROWS($A$5:$A203),"0000"))</f>
        <v/>
      </c>
      <c r="P203" s="19" t="str">
        <f aca="false">IF($O203="","",IFERROR(INDEX(Invoices!$I$5:$I$504,MATCH($O203,Invoices!$A$5:$A$504,0)),""))</f>
        <v/>
      </c>
      <c r="Q203" s="2" t="str">
        <f aca="false">IF(AND($A203&lt;&gt;"",$B203&lt;&gt;"",$G203="Completed"),COUNTIFS($A$5:$A203,"&lt;&gt;",$B$5:$B203,"&lt;&gt;",$G$5:$G203,"Completed"),"")</f>
        <v/>
      </c>
    </row>
    <row r="204" customFormat="false" ht="15" hidden="false" customHeight="false" outlineLevel="0" collapsed="false">
      <c r="A204" s="16"/>
      <c r="B204" s="12"/>
      <c r="C204" s="17"/>
      <c r="D204" s="18"/>
      <c r="E204" s="13"/>
      <c r="F204" s="13"/>
      <c r="G204" s="12"/>
      <c r="H204" s="12"/>
      <c r="I204" s="19" t="str">
        <f aca="false">IF($B204="","",IFERROR(INDEX(Clients!$D$5:$D$204,MATCH($B204,Clients!$A$5:$A$204,0))&amp;"",""))</f>
        <v/>
      </c>
      <c r="J204" s="19" t="str">
        <f aca="false">IF($B204="","",IF($C204&lt;&gt;"",$C204,IFERROR(INDEX(Clients!$E$5:$E$204,MATCH($B204,Clients!$A$5:$A$204,0))&amp;"","")))</f>
        <v/>
      </c>
      <c r="K204" s="15" t="str">
        <f aca="false">IF($B204="","",IF($F204&lt;&gt;"",$F204,IFERROR(IF(AND(INDEX(Clients!$F$5:$F$204,MATCH($B204,Clients!$A$5:$A$204,0))&amp;""&lt;&gt;"",OR($C204="",$C204=INDEX(Clients!$E$5:$E$204,MATCH($B204,Clients!$A$5:$A$204,0)))),INDEX(Clients!$F$5:$F$204,MATCH($B204,Clients!$A$5:$A$204,0)),INDEX(Settings!$E$5:$E$19,MATCH($J204,Settings!$D$5:$D$19,0))),0)))</f>
        <v/>
      </c>
      <c r="L204" s="15" t="str">
        <f aca="false">IF($B204="","",$K204*IF($D204="",1,$D204)+$E204)</f>
        <v/>
      </c>
      <c r="M204" s="15" t="str">
        <f aca="false">IF($B204="","",ROUND($L204*Settings!$B$9,2))</f>
        <v/>
      </c>
      <c r="N204" s="15" t="str">
        <f aca="false">IF($B204="","",$L204+$M204)</f>
        <v/>
      </c>
      <c r="O204" s="19" t="str">
        <f aca="false">IF($Q204="","",Settings!$B$13&amp;TEXT(ROWS($A$5:$A204),"0000"))</f>
        <v/>
      </c>
      <c r="P204" s="19" t="str">
        <f aca="false">IF($O204="","",IFERROR(INDEX(Invoices!$I$5:$I$504,MATCH($O204,Invoices!$A$5:$A$504,0)),""))</f>
        <v/>
      </c>
      <c r="Q204" s="2" t="str">
        <f aca="false">IF(AND($A204&lt;&gt;"",$B204&lt;&gt;"",$G204="Completed"),COUNTIFS($A$5:$A204,"&lt;&gt;",$B$5:$B204,"&lt;&gt;",$G$5:$G204,"Completed"),"")</f>
        <v/>
      </c>
    </row>
    <row r="205" customFormat="false" ht="15" hidden="false" customHeight="false" outlineLevel="0" collapsed="false">
      <c r="A205" s="16"/>
      <c r="B205" s="12"/>
      <c r="C205" s="17"/>
      <c r="D205" s="18"/>
      <c r="E205" s="13"/>
      <c r="F205" s="13"/>
      <c r="G205" s="12"/>
      <c r="H205" s="12"/>
      <c r="I205" s="19" t="str">
        <f aca="false">IF($B205="","",IFERROR(INDEX(Clients!$D$5:$D$204,MATCH($B205,Clients!$A$5:$A$204,0))&amp;"",""))</f>
        <v/>
      </c>
      <c r="J205" s="19" t="str">
        <f aca="false">IF($B205="","",IF($C205&lt;&gt;"",$C205,IFERROR(INDEX(Clients!$E$5:$E$204,MATCH($B205,Clients!$A$5:$A$204,0))&amp;"","")))</f>
        <v/>
      </c>
      <c r="K205" s="15" t="str">
        <f aca="false">IF($B205="","",IF($F205&lt;&gt;"",$F205,IFERROR(IF(AND(INDEX(Clients!$F$5:$F$204,MATCH($B205,Clients!$A$5:$A$204,0))&amp;""&lt;&gt;"",OR($C205="",$C205=INDEX(Clients!$E$5:$E$204,MATCH($B205,Clients!$A$5:$A$204,0)))),INDEX(Clients!$F$5:$F$204,MATCH($B205,Clients!$A$5:$A$204,0)),INDEX(Settings!$E$5:$E$19,MATCH($J205,Settings!$D$5:$D$19,0))),0)))</f>
        <v/>
      </c>
      <c r="L205" s="15" t="str">
        <f aca="false">IF($B205="","",$K205*IF($D205="",1,$D205)+$E205)</f>
        <v/>
      </c>
      <c r="M205" s="15" t="str">
        <f aca="false">IF($B205="","",ROUND($L205*Settings!$B$9,2))</f>
        <v/>
      </c>
      <c r="N205" s="15" t="str">
        <f aca="false">IF($B205="","",$L205+$M205)</f>
        <v/>
      </c>
      <c r="O205" s="19" t="str">
        <f aca="false">IF($Q205="","",Settings!$B$13&amp;TEXT(ROWS($A$5:$A205),"0000"))</f>
        <v/>
      </c>
      <c r="P205" s="19" t="str">
        <f aca="false">IF($O205="","",IFERROR(INDEX(Invoices!$I$5:$I$504,MATCH($O205,Invoices!$A$5:$A$504,0)),""))</f>
        <v/>
      </c>
      <c r="Q205" s="2" t="str">
        <f aca="false">IF(AND($A205&lt;&gt;"",$B205&lt;&gt;"",$G205="Completed"),COUNTIFS($A$5:$A205,"&lt;&gt;",$B$5:$B205,"&lt;&gt;",$G$5:$G205,"Completed"),"")</f>
        <v/>
      </c>
    </row>
    <row r="206" customFormat="false" ht="15" hidden="false" customHeight="false" outlineLevel="0" collapsed="false">
      <c r="A206" s="16"/>
      <c r="B206" s="12"/>
      <c r="C206" s="17"/>
      <c r="D206" s="18"/>
      <c r="E206" s="13"/>
      <c r="F206" s="13"/>
      <c r="G206" s="12"/>
      <c r="H206" s="12"/>
      <c r="I206" s="19" t="str">
        <f aca="false">IF($B206="","",IFERROR(INDEX(Clients!$D$5:$D$204,MATCH($B206,Clients!$A$5:$A$204,0))&amp;"",""))</f>
        <v/>
      </c>
      <c r="J206" s="19" t="str">
        <f aca="false">IF($B206="","",IF($C206&lt;&gt;"",$C206,IFERROR(INDEX(Clients!$E$5:$E$204,MATCH($B206,Clients!$A$5:$A$204,0))&amp;"","")))</f>
        <v/>
      </c>
      <c r="K206" s="15" t="str">
        <f aca="false">IF($B206="","",IF($F206&lt;&gt;"",$F206,IFERROR(IF(AND(INDEX(Clients!$F$5:$F$204,MATCH($B206,Clients!$A$5:$A$204,0))&amp;""&lt;&gt;"",OR($C206="",$C206=INDEX(Clients!$E$5:$E$204,MATCH($B206,Clients!$A$5:$A$204,0)))),INDEX(Clients!$F$5:$F$204,MATCH($B206,Clients!$A$5:$A$204,0)),INDEX(Settings!$E$5:$E$19,MATCH($J206,Settings!$D$5:$D$19,0))),0)))</f>
        <v/>
      </c>
      <c r="L206" s="15" t="str">
        <f aca="false">IF($B206="","",$K206*IF($D206="",1,$D206)+$E206)</f>
        <v/>
      </c>
      <c r="M206" s="15" t="str">
        <f aca="false">IF($B206="","",ROUND($L206*Settings!$B$9,2))</f>
        <v/>
      </c>
      <c r="N206" s="15" t="str">
        <f aca="false">IF($B206="","",$L206+$M206)</f>
        <v/>
      </c>
      <c r="O206" s="19" t="str">
        <f aca="false">IF($Q206="","",Settings!$B$13&amp;TEXT(ROWS($A$5:$A206),"0000"))</f>
        <v/>
      </c>
      <c r="P206" s="19" t="str">
        <f aca="false">IF($O206="","",IFERROR(INDEX(Invoices!$I$5:$I$504,MATCH($O206,Invoices!$A$5:$A$504,0)),""))</f>
        <v/>
      </c>
      <c r="Q206" s="2" t="str">
        <f aca="false">IF(AND($A206&lt;&gt;"",$B206&lt;&gt;"",$G206="Completed"),COUNTIFS($A$5:$A206,"&lt;&gt;",$B$5:$B206,"&lt;&gt;",$G$5:$G206,"Completed"),"")</f>
        <v/>
      </c>
    </row>
    <row r="207" customFormat="false" ht="15" hidden="false" customHeight="false" outlineLevel="0" collapsed="false">
      <c r="A207" s="16"/>
      <c r="B207" s="12"/>
      <c r="C207" s="17"/>
      <c r="D207" s="18"/>
      <c r="E207" s="13"/>
      <c r="F207" s="13"/>
      <c r="G207" s="12"/>
      <c r="H207" s="12"/>
      <c r="I207" s="19" t="str">
        <f aca="false">IF($B207="","",IFERROR(INDEX(Clients!$D$5:$D$204,MATCH($B207,Clients!$A$5:$A$204,0))&amp;"",""))</f>
        <v/>
      </c>
      <c r="J207" s="19" t="str">
        <f aca="false">IF($B207="","",IF($C207&lt;&gt;"",$C207,IFERROR(INDEX(Clients!$E$5:$E$204,MATCH($B207,Clients!$A$5:$A$204,0))&amp;"","")))</f>
        <v/>
      </c>
      <c r="K207" s="15" t="str">
        <f aca="false">IF($B207="","",IF($F207&lt;&gt;"",$F207,IFERROR(IF(AND(INDEX(Clients!$F$5:$F$204,MATCH($B207,Clients!$A$5:$A$204,0))&amp;""&lt;&gt;"",OR($C207="",$C207=INDEX(Clients!$E$5:$E$204,MATCH($B207,Clients!$A$5:$A$204,0)))),INDEX(Clients!$F$5:$F$204,MATCH($B207,Clients!$A$5:$A$204,0)),INDEX(Settings!$E$5:$E$19,MATCH($J207,Settings!$D$5:$D$19,0))),0)))</f>
        <v/>
      </c>
      <c r="L207" s="15" t="str">
        <f aca="false">IF($B207="","",$K207*IF($D207="",1,$D207)+$E207)</f>
        <v/>
      </c>
      <c r="M207" s="15" t="str">
        <f aca="false">IF($B207="","",ROUND($L207*Settings!$B$9,2))</f>
        <v/>
      </c>
      <c r="N207" s="15" t="str">
        <f aca="false">IF($B207="","",$L207+$M207)</f>
        <v/>
      </c>
      <c r="O207" s="19" t="str">
        <f aca="false">IF($Q207="","",Settings!$B$13&amp;TEXT(ROWS($A$5:$A207),"0000"))</f>
        <v/>
      </c>
      <c r="P207" s="19" t="str">
        <f aca="false">IF($O207="","",IFERROR(INDEX(Invoices!$I$5:$I$504,MATCH($O207,Invoices!$A$5:$A$504,0)),""))</f>
        <v/>
      </c>
      <c r="Q207" s="2" t="str">
        <f aca="false">IF(AND($A207&lt;&gt;"",$B207&lt;&gt;"",$G207="Completed"),COUNTIFS($A$5:$A207,"&lt;&gt;",$B$5:$B207,"&lt;&gt;",$G$5:$G207,"Completed"),"")</f>
        <v/>
      </c>
    </row>
    <row r="208" customFormat="false" ht="15" hidden="false" customHeight="false" outlineLevel="0" collapsed="false">
      <c r="A208" s="16"/>
      <c r="B208" s="12"/>
      <c r="C208" s="17"/>
      <c r="D208" s="18"/>
      <c r="E208" s="13"/>
      <c r="F208" s="13"/>
      <c r="G208" s="12"/>
      <c r="H208" s="12"/>
      <c r="I208" s="19" t="str">
        <f aca="false">IF($B208="","",IFERROR(INDEX(Clients!$D$5:$D$204,MATCH($B208,Clients!$A$5:$A$204,0))&amp;"",""))</f>
        <v/>
      </c>
      <c r="J208" s="19" t="str">
        <f aca="false">IF($B208="","",IF($C208&lt;&gt;"",$C208,IFERROR(INDEX(Clients!$E$5:$E$204,MATCH($B208,Clients!$A$5:$A$204,0))&amp;"","")))</f>
        <v/>
      </c>
      <c r="K208" s="15" t="str">
        <f aca="false">IF($B208="","",IF($F208&lt;&gt;"",$F208,IFERROR(IF(AND(INDEX(Clients!$F$5:$F$204,MATCH($B208,Clients!$A$5:$A$204,0))&amp;""&lt;&gt;"",OR($C208="",$C208=INDEX(Clients!$E$5:$E$204,MATCH($B208,Clients!$A$5:$A$204,0)))),INDEX(Clients!$F$5:$F$204,MATCH($B208,Clients!$A$5:$A$204,0)),INDEX(Settings!$E$5:$E$19,MATCH($J208,Settings!$D$5:$D$19,0))),0)))</f>
        <v/>
      </c>
      <c r="L208" s="15" t="str">
        <f aca="false">IF($B208="","",$K208*IF($D208="",1,$D208)+$E208)</f>
        <v/>
      </c>
      <c r="M208" s="15" t="str">
        <f aca="false">IF($B208="","",ROUND($L208*Settings!$B$9,2))</f>
        <v/>
      </c>
      <c r="N208" s="15" t="str">
        <f aca="false">IF($B208="","",$L208+$M208)</f>
        <v/>
      </c>
      <c r="O208" s="19" t="str">
        <f aca="false">IF($Q208="","",Settings!$B$13&amp;TEXT(ROWS($A$5:$A208),"0000"))</f>
        <v/>
      </c>
      <c r="P208" s="19" t="str">
        <f aca="false">IF($O208="","",IFERROR(INDEX(Invoices!$I$5:$I$504,MATCH($O208,Invoices!$A$5:$A$504,0)),""))</f>
        <v/>
      </c>
      <c r="Q208" s="2" t="str">
        <f aca="false">IF(AND($A208&lt;&gt;"",$B208&lt;&gt;"",$G208="Completed"),COUNTIFS($A$5:$A208,"&lt;&gt;",$B$5:$B208,"&lt;&gt;",$G$5:$G208,"Completed"),"")</f>
        <v/>
      </c>
    </row>
    <row r="209" customFormat="false" ht="15" hidden="false" customHeight="false" outlineLevel="0" collapsed="false">
      <c r="A209" s="16"/>
      <c r="B209" s="12"/>
      <c r="C209" s="17"/>
      <c r="D209" s="18"/>
      <c r="E209" s="13"/>
      <c r="F209" s="13"/>
      <c r="G209" s="12"/>
      <c r="H209" s="12"/>
      <c r="I209" s="19" t="str">
        <f aca="false">IF($B209="","",IFERROR(INDEX(Clients!$D$5:$D$204,MATCH($B209,Clients!$A$5:$A$204,0))&amp;"",""))</f>
        <v/>
      </c>
      <c r="J209" s="19" t="str">
        <f aca="false">IF($B209="","",IF($C209&lt;&gt;"",$C209,IFERROR(INDEX(Clients!$E$5:$E$204,MATCH($B209,Clients!$A$5:$A$204,0))&amp;"","")))</f>
        <v/>
      </c>
      <c r="K209" s="15" t="str">
        <f aca="false">IF($B209="","",IF($F209&lt;&gt;"",$F209,IFERROR(IF(AND(INDEX(Clients!$F$5:$F$204,MATCH($B209,Clients!$A$5:$A$204,0))&amp;""&lt;&gt;"",OR($C209="",$C209=INDEX(Clients!$E$5:$E$204,MATCH($B209,Clients!$A$5:$A$204,0)))),INDEX(Clients!$F$5:$F$204,MATCH($B209,Clients!$A$5:$A$204,0)),INDEX(Settings!$E$5:$E$19,MATCH($J209,Settings!$D$5:$D$19,0))),0)))</f>
        <v/>
      </c>
      <c r="L209" s="15" t="str">
        <f aca="false">IF($B209="","",$K209*IF($D209="",1,$D209)+$E209)</f>
        <v/>
      </c>
      <c r="M209" s="15" t="str">
        <f aca="false">IF($B209="","",ROUND($L209*Settings!$B$9,2))</f>
        <v/>
      </c>
      <c r="N209" s="15" t="str">
        <f aca="false">IF($B209="","",$L209+$M209)</f>
        <v/>
      </c>
      <c r="O209" s="19" t="str">
        <f aca="false">IF($Q209="","",Settings!$B$13&amp;TEXT(ROWS($A$5:$A209),"0000"))</f>
        <v/>
      </c>
      <c r="P209" s="19" t="str">
        <f aca="false">IF($O209="","",IFERROR(INDEX(Invoices!$I$5:$I$504,MATCH($O209,Invoices!$A$5:$A$504,0)),""))</f>
        <v/>
      </c>
      <c r="Q209" s="2" t="str">
        <f aca="false">IF(AND($A209&lt;&gt;"",$B209&lt;&gt;"",$G209="Completed"),COUNTIFS($A$5:$A209,"&lt;&gt;",$B$5:$B209,"&lt;&gt;",$G$5:$G209,"Completed"),"")</f>
        <v/>
      </c>
    </row>
    <row r="210" customFormat="false" ht="15" hidden="false" customHeight="false" outlineLevel="0" collapsed="false">
      <c r="A210" s="16"/>
      <c r="B210" s="12"/>
      <c r="C210" s="17"/>
      <c r="D210" s="18"/>
      <c r="E210" s="13"/>
      <c r="F210" s="13"/>
      <c r="G210" s="12"/>
      <c r="H210" s="12"/>
      <c r="I210" s="19" t="str">
        <f aca="false">IF($B210="","",IFERROR(INDEX(Clients!$D$5:$D$204,MATCH($B210,Clients!$A$5:$A$204,0))&amp;"",""))</f>
        <v/>
      </c>
      <c r="J210" s="19" t="str">
        <f aca="false">IF($B210="","",IF($C210&lt;&gt;"",$C210,IFERROR(INDEX(Clients!$E$5:$E$204,MATCH($B210,Clients!$A$5:$A$204,0))&amp;"","")))</f>
        <v/>
      </c>
      <c r="K210" s="15" t="str">
        <f aca="false">IF($B210="","",IF($F210&lt;&gt;"",$F210,IFERROR(IF(AND(INDEX(Clients!$F$5:$F$204,MATCH($B210,Clients!$A$5:$A$204,0))&amp;""&lt;&gt;"",OR($C210="",$C210=INDEX(Clients!$E$5:$E$204,MATCH($B210,Clients!$A$5:$A$204,0)))),INDEX(Clients!$F$5:$F$204,MATCH($B210,Clients!$A$5:$A$204,0)),INDEX(Settings!$E$5:$E$19,MATCH($J210,Settings!$D$5:$D$19,0))),0)))</f>
        <v/>
      </c>
      <c r="L210" s="15" t="str">
        <f aca="false">IF($B210="","",$K210*IF($D210="",1,$D210)+$E210)</f>
        <v/>
      </c>
      <c r="M210" s="15" t="str">
        <f aca="false">IF($B210="","",ROUND($L210*Settings!$B$9,2))</f>
        <v/>
      </c>
      <c r="N210" s="15" t="str">
        <f aca="false">IF($B210="","",$L210+$M210)</f>
        <v/>
      </c>
      <c r="O210" s="19" t="str">
        <f aca="false">IF($Q210="","",Settings!$B$13&amp;TEXT(ROWS($A$5:$A210),"0000"))</f>
        <v/>
      </c>
      <c r="P210" s="19" t="str">
        <f aca="false">IF($O210="","",IFERROR(INDEX(Invoices!$I$5:$I$504,MATCH($O210,Invoices!$A$5:$A$504,0)),""))</f>
        <v/>
      </c>
      <c r="Q210" s="2" t="str">
        <f aca="false">IF(AND($A210&lt;&gt;"",$B210&lt;&gt;"",$G210="Completed"),COUNTIFS($A$5:$A210,"&lt;&gt;",$B$5:$B210,"&lt;&gt;",$G$5:$G210,"Completed"),"")</f>
        <v/>
      </c>
    </row>
    <row r="211" customFormat="false" ht="15" hidden="false" customHeight="false" outlineLevel="0" collapsed="false">
      <c r="A211" s="16"/>
      <c r="B211" s="12"/>
      <c r="C211" s="17"/>
      <c r="D211" s="18"/>
      <c r="E211" s="13"/>
      <c r="F211" s="13"/>
      <c r="G211" s="12"/>
      <c r="H211" s="12"/>
      <c r="I211" s="19" t="str">
        <f aca="false">IF($B211="","",IFERROR(INDEX(Clients!$D$5:$D$204,MATCH($B211,Clients!$A$5:$A$204,0))&amp;"",""))</f>
        <v/>
      </c>
      <c r="J211" s="19" t="str">
        <f aca="false">IF($B211="","",IF($C211&lt;&gt;"",$C211,IFERROR(INDEX(Clients!$E$5:$E$204,MATCH($B211,Clients!$A$5:$A$204,0))&amp;"","")))</f>
        <v/>
      </c>
      <c r="K211" s="15" t="str">
        <f aca="false">IF($B211="","",IF($F211&lt;&gt;"",$F211,IFERROR(IF(AND(INDEX(Clients!$F$5:$F$204,MATCH($B211,Clients!$A$5:$A$204,0))&amp;""&lt;&gt;"",OR($C211="",$C211=INDEX(Clients!$E$5:$E$204,MATCH($B211,Clients!$A$5:$A$204,0)))),INDEX(Clients!$F$5:$F$204,MATCH($B211,Clients!$A$5:$A$204,0)),INDEX(Settings!$E$5:$E$19,MATCH($J211,Settings!$D$5:$D$19,0))),0)))</f>
        <v/>
      </c>
      <c r="L211" s="15" t="str">
        <f aca="false">IF($B211="","",$K211*IF($D211="",1,$D211)+$E211)</f>
        <v/>
      </c>
      <c r="M211" s="15" t="str">
        <f aca="false">IF($B211="","",ROUND($L211*Settings!$B$9,2))</f>
        <v/>
      </c>
      <c r="N211" s="15" t="str">
        <f aca="false">IF($B211="","",$L211+$M211)</f>
        <v/>
      </c>
      <c r="O211" s="19" t="str">
        <f aca="false">IF($Q211="","",Settings!$B$13&amp;TEXT(ROWS($A$5:$A211),"0000"))</f>
        <v/>
      </c>
      <c r="P211" s="19" t="str">
        <f aca="false">IF($O211="","",IFERROR(INDEX(Invoices!$I$5:$I$504,MATCH($O211,Invoices!$A$5:$A$504,0)),""))</f>
        <v/>
      </c>
      <c r="Q211" s="2" t="str">
        <f aca="false">IF(AND($A211&lt;&gt;"",$B211&lt;&gt;"",$G211="Completed"),COUNTIFS($A$5:$A211,"&lt;&gt;",$B$5:$B211,"&lt;&gt;",$G$5:$G211,"Completed"),"")</f>
        <v/>
      </c>
    </row>
    <row r="212" customFormat="false" ht="15" hidden="false" customHeight="false" outlineLevel="0" collapsed="false">
      <c r="A212" s="16"/>
      <c r="B212" s="12"/>
      <c r="C212" s="17"/>
      <c r="D212" s="18"/>
      <c r="E212" s="13"/>
      <c r="F212" s="13"/>
      <c r="G212" s="12"/>
      <c r="H212" s="12"/>
      <c r="I212" s="19" t="str">
        <f aca="false">IF($B212="","",IFERROR(INDEX(Clients!$D$5:$D$204,MATCH($B212,Clients!$A$5:$A$204,0))&amp;"",""))</f>
        <v/>
      </c>
      <c r="J212" s="19" t="str">
        <f aca="false">IF($B212="","",IF($C212&lt;&gt;"",$C212,IFERROR(INDEX(Clients!$E$5:$E$204,MATCH($B212,Clients!$A$5:$A$204,0))&amp;"","")))</f>
        <v/>
      </c>
      <c r="K212" s="15" t="str">
        <f aca="false">IF($B212="","",IF($F212&lt;&gt;"",$F212,IFERROR(IF(AND(INDEX(Clients!$F$5:$F$204,MATCH($B212,Clients!$A$5:$A$204,0))&amp;""&lt;&gt;"",OR($C212="",$C212=INDEX(Clients!$E$5:$E$204,MATCH($B212,Clients!$A$5:$A$204,0)))),INDEX(Clients!$F$5:$F$204,MATCH($B212,Clients!$A$5:$A$204,0)),INDEX(Settings!$E$5:$E$19,MATCH($J212,Settings!$D$5:$D$19,0))),0)))</f>
        <v/>
      </c>
      <c r="L212" s="15" t="str">
        <f aca="false">IF($B212="","",$K212*IF($D212="",1,$D212)+$E212)</f>
        <v/>
      </c>
      <c r="M212" s="15" t="str">
        <f aca="false">IF($B212="","",ROUND($L212*Settings!$B$9,2))</f>
        <v/>
      </c>
      <c r="N212" s="15" t="str">
        <f aca="false">IF($B212="","",$L212+$M212)</f>
        <v/>
      </c>
      <c r="O212" s="19" t="str">
        <f aca="false">IF($Q212="","",Settings!$B$13&amp;TEXT(ROWS($A$5:$A212),"0000"))</f>
        <v/>
      </c>
      <c r="P212" s="19" t="str">
        <f aca="false">IF($O212="","",IFERROR(INDEX(Invoices!$I$5:$I$504,MATCH($O212,Invoices!$A$5:$A$504,0)),""))</f>
        <v/>
      </c>
      <c r="Q212" s="2" t="str">
        <f aca="false">IF(AND($A212&lt;&gt;"",$B212&lt;&gt;"",$G212="Completed"),COUNTIFS($A$5:$A212,"&lt;&gt;",$B$5:$B212,"&lt;&gt;",$G$5:$G212,"Completed"),"")</f>
        <v/>
      </c>
    </row>
    <row r="213" customFormat="false" ht="15" hidden="false" customHeight="false" outlineLevel="0" collapsed="false">
      <c r="A213" s="16"/>
      <c r="B213" s="12"/>
      <c r="C213" s="17"/>
      <c r="D213" s="18"/>
      <c r="E213" s="13"/>
      <c r="F213" s="13"/>
      <c r="G213" s="12"/>
      <c r="H213" s="12"/>
      <c r="I213" s="19" t="str">
        <f aca="false">IF($B213="","",IFERROR(INDEX(Clients!$D$5:$D$204,MATCH($B213,Clients!$A$5:$A$204,0))&amp;"",""))</f>
        <v/>
      </c>
      <c r="J213" s="19" t="str">
        <f aca="false">IF($B213="","",IF($C213&lt;&gt;"",$C213,IFERROR(INDEX(Clients!$E$5:$E$204,MATCH($B213,Clients!$A$5:$A$204,0))&amp;"","")))</f>
        <v/>
      </c>
      <c r="K213" s="15" t="str">
        <f aca="false">IF($B213="","",IF($F213&lt;&gt;"",$F213,IFERROR(IF(AND(INDEX(Clients!$F$5:$F$204,MATCH($B213,Clients!$A$5:$A$204,0))&amp;""&lt;&gt;"",OR($C213="",$C213=INDEX(Clients!$E$5:$E$204,MATCH($B213,Clients!$A$5:$A$204,0)))),INDEX(Clients!$F$5:$F$204,MATCH($B213,Clients!$A$5:$A$204,0)),INDEX(Settings!$E$5:$E$19,MATCH($J213,Settings!$D$5:$D$19,0))),0)))</f>
        <v/>
      </c>
      <c r="L213" s="15" t="str">
        <f aca="false">IF($B213="","",$K213*IF($D213="",1,$D213)+$E213)</f>
        <v/>
      </c>
      <c r="M213" s="15" t="str">
        <f aca="false">IF($B213="","",ROUND($L213*Settings!$B$9,2))</f>
        <v/>
      </c>
      <c r="N213" s="15" t="str">
        <f aca="false">IF($B213="","",$L213+$M213)</f>
        <v/>
      </c>
      <c r="O213" s="19" t="str">
        <f aca="false">IF($Q213="","",Settings!$B$13&amp;TEXT(ROWS($A$5:$A213),"0000"))</f>
        <v/>
      </c>
      <c r="P213" s="19" t="str">
        <f aca="false">IF($O213="","",IFERROR(INDEX(Invoices!$I$5:$I$504,MATCH($O213,Invoices!$A$5:$A$504,0)),""))</f>
        <v/>
      </c>
      <c r="Q213" s="2" t="str">
        <f aca="false">IF(AND($A213&lt;&gt;"",$B213&lt;&gt;"",$G213="Completed"),COUNTIFS($A$5:$A213,"&lt;&gt;",$B$5:$B213,"&lt;&gt;",$G$5:$G213,"Completed"),"")</f>
        <v/>
      </c>
    </row>
    <row r="214" customFormat="false" ht="15" hidden="false" customHeight="false" outlineLevel="0" collapsed="false">
      <c r="A214" s="16"/>
      <c r="B214" s="12"/>
      <c r="C214" s="17"/>
      <c r="D214" s="18"/>
      <c r="E214" s="13"/>
      <c r="F214" s="13"/>
      <c r="G214" s="12"/>
      <c r="H214" s="12"/>
      <c r="I214" s="19" t="str">
        <f aca="false">IF($B214="","",IFERROR(INDEX(Clients!$D$5:$D$204,MATCH($B214,Clients!$A$5:$A$204,0))&amp;"",""))</f>
        <v/>
      </c>
      <c r="J214" s="19" t="str">
        <f aca="false">IF($B214="","",IF($C214&lt;&gt;"",$C214,IFERROR(INDEX(Clients!$E$5:$E$204,MATCH($B214,Clients!$A$5:$A$204,0))&amp;"","")))</f>
        <v/>
      </c>
      <c r="K214" s="15" t="str">
        <f aca="false">IF($B214="","",IF($F214&lt;&gt;"",$F214,IFERROR(IF(AND(INDEX(Clients!$F$5:$F$204,MATCH($B214,Clients!$A$5:$A$204,0))&amp;""&lt;&gt;"",OR($C214="",$C214=INDEX(Clients!$E$5:$E$204,MATCH($B214,Clients!$A$5:$A$204,0)))),INDEX(Clients!$F$5:$F$204,MATCH($B214,Clients!$A$5:$A$204,0)),INDEX(Settings!$E$5:$E$19,MATCH($J214,Settings!$D$5:$D$19,0))),0)))</f>
        <v/>
      </c>
      <c r="L214" s="15" t="str">
        <f aca="false">IF($B214="","",$K214*IF($D214="",1,$D214)+$E214)</f>
        <v/>
      </c>
      <c r="M214" s="15" t="str">
        <f aca="false">IF($B214="","",ROUND($L214*Settings!$B$9,2))</f>
        <v/>
      </c>
      <c r="N214" s="15" t="str">
        <f aca="false">IF($B214="","",$L214+$M214)</f>
        <v/>
      </c>
      <c r="O214" s="19" t="str">
        <f aca="false">IF($Q214="","",Settings!$B$13&amp;TEXT(ROWS($A$5:$A214),"0000"))</f>
        <v/>
      </c>
      <c r="P214" s="19" t="str">
        <f aca="false">IF($O214="","",IFERROR(INDEX(Invoices!$I$5:$I$504,MATCH($O214,Invoices!$A$5:$A$504,0)),""))</f>
        <v/>
      </c>
      <c r="Q214" s="2" t="str">
        <f aca="false">IF(AND($A214&lt;&gt;"",$B214&lt;&gt;"",$G214="Completed"),COUNTIFS($A$5:$A214,"&lt;&gt;",$B$5:$B214,"&lt;&gt;",$G$5:$G214,"Completed"),"")</f>
        <v/>
      </c>
    </row>
    <row r="215" customFormat="false" ht="15" hidden="false" customHeight="false" outlineLevel="0" collapsed="false">
      <c r="A215" s="16"/>
      <c r="B215" s="12"/>
      <c r="C215" s="17"/>
      <c r="D215" s="18"/>
      <c r="E215" s="13"/>
      <c r="F215" s="13"/>
      <c r="G215" s="12"/>
      <c r="H215" s="12"/>
      <c r="I215" s="19" t="str">
        <f aca="false">IF($B215="","",IFERROR(INDEX(Clients!$D$5:$D$204,MATCH($B215,Clients!$A$5:$A$204,0))&amp;"",""))</f>
        <v/>
      </c>
      <c r="J215" s="19" t="str">
        <f aca="false">IF($B215="","",IF($C215&lt;&gt;"",$C215,IFERROR(INDEX(Clients!$E$5:$E$204,MATCH($B215,Clients!$A$5:$A$204,0))&amp;"","")))</f>
        <v/>
      </c>
      <c r="K215" s="15" t="str">
        <f aca="false">IF($B215="","",IF($F215&lt;&gt;"",$F215,IFERROR(IF(AND(INDEX(Clients!$F$5:$F$204,MATCH($B215,Clients!$A$5:$A$204,0))&amp;""&lt;&gt;"",OR($C215="",$C215=INDEX(Clients!$E$5:$E$204,MATCH($B215,Clients!$A$5:$A$204,0)))),INDEX(Clients!$F$5:$F$204,MATCH($B215,Clients!$A$5:$A$204,0)),INDEX(Settings!$E$5:$E$19,MATCH($J215,Settings!$D$5:$D$19,0))),0)))</f>
        <v/>
      </c>
      <c r="L215" s="15" t="str">
        <f aca="false">IF($B215="","",$K215*IF($D215="",1,$D215)+$E215)</f>
        <v/>
      </c>
      <c r="M215" s="15" t="str">
        <f aca="false">IF($B215="","",ROUND($L215*Settings!$B$9,2))</f>
        <v/>
      </c>
      <c r="N215" s="15" t="str">
        <f aca="false">IF($B215="","",$L215+$M215)</f>
        <v/>
      </c>
      <c r="O215" s="19" t="str">
        <f aca="false">IF($Q215="","",Settings!$B$13&amp;TEXT(ROWS($A$5:$A215),"0000"))</f>
        <v/>
      </c>
      <c r="P215" s="19" t="str">
        <f aca="false">IF($O215="","",IFERROR(INDEX(Invoices!$I$5:$I$504,MATCH($O215,Invoices!$A$5:$A$504,0)),""))</f>
        <v/>
      </c>
      <c r="Q215" s="2" t="str">
        <f aca="false">IF(AND($A215&lt;&gt;"",$B215&lt;&gt;"",$G215="Completed"),COUNTIFS($A$5:$A215,"&lt;&gt;",$B$5:$B215,"&lt;&gt;",$G$5:$G215,"Completed"),"")</f>
        <v/>
      </c>
    </row>
    <row r="216" customFormat="false" ht="15" hidden="false" customHeight="false" outlineLevel="0" collapsed="false">
      <c r="A216" s="16"/>
      <c r="B216" s="12"/>
      <c r="C216" s="17"/>
      <c r="D216" s="18"/>
      <c r="E216" s="13"/>
      <c r="F216" s="13"/>
      <c r="G216" s="12"/>
      <c r="H216" s="12"/>
      <c r="I216" s="19" t="str">
        <f aca="false">IF($B216="","",IFERROR(INDEX(Clients!$D$5:$D$204,MATCH($B216,Clients!$A$5:$A$204,0))&amp;"",""))</f>
        <v/>
      </c>
      <c r="J216" s="19" t="str">
        <f aca="false">IF($B216="","",IF($C216&lt;&gt;"",$C216,IFERROR(INDEX(Clients!$E$5:$E$204,MATCH($B216,Clients!$A$5:$A$204,0))&amp;"","")))</f>
        <v/>
      </c>
      <c r="K216" s="15" t="str">
        <f aca="false">IF($B216="","",IF($F216&lt;&gt;"",$F216,IFERROR(IF(AND(INDEX(Clients!$F$5:$F$204,MATCH($B216,Clients!$A$5:$A$204,0))&amp;""&lt;&gt;"",OR($C216="",$C216=INDEX(Clients!$E$5:$E$204,MATCH($B216,Clients!$A$5:$A$204,0)))),INDEX(Clients!$F$5:$F$204,MATCH($B216,Clients!$A$5:$A$204,0)),INDEX(Settings!$E$5:$E$19,MATCH($J216,Settings!$D$5:$D$19,0))),0)))</f>
        <v/>
      </c>
      <c r="L216" s="15" t="str">
        <f aca="false">IF($B216="","",$K216*IF($D216="",1,$D216)+$E216)</f>
        <v/>
      </c>
      <c r="M216" s="15" t="str">
        <f aca="false">IF($B216="","",ROUND($L216*Settings!$B$9,2))</f>
        <v/>
      </c>
      <c r="N216" s="15" t="str">
        <f aca="false">IF($B216="","",$L216+$M216)</f>
        <v/>
      </c>
      <c r="O216" s="19" t="str">
        <f aca="false">IF($Q216="","",Settings!$B$13&amp;TEXT(ROWS($A$5:$A216),"0000"))</f>
        <v/>
      </c>
      <c r="P216" s="19" t="str">
        <f aca="false">IF($O216="","",IFERROR(INDEX(Invoices!$I$5:$I$504,MATCH($O216,Invoices!$A$5:$A$504,0)),""))</f>
        <v/>
      </c>
      <c r="Q216" s="2" t="str">
        <f aca="false">IF(AND($A216&lt;&gt;"",$B216&lt;&gt;"",$G216="Completed"),COUNTIFS($A$5:$A216,"&lt;&gt;",$B$5:$B216,"&lt;&gt;",$G$5:$G216,"Completed"),"")</f>
        <v/>
      </c>
    </row>
    <row r="217" customFormat="false" ht="15" hidden="false" customHeight="false" outlineLevel="0" collapsed="false">
      <c r="A217" s="16"/>
      <c r="B217" s="12"/>
      <c r="C217" s="17"/>
      <c r="D217" s="18"/>
      <c r="E217" s="13"/>
      <c r="F217" s="13"/>
      <c r="G217" s="12"/>
      <c r="H217" s="12"/>
      <c r="I217" s="19" t="str">
        <f aca="false">IF($B217="","",IFERROR(INDEX(Clients!$D$5:$D$204,MATCH($B217,Clients!$A$5:$A$204,0))&amp;"",""))</f>
        <v/>
      </c>
      <c r="J217" s="19" t="str">
        <f aca="false">IF($B217="","",IF($C217&lt;&gt;"",$C217,IFERROR(INDEX(Clients!$E$5:$E$204,MATCH($B217,Clients!$A$5:$A$204,0))&amp;"","")))</f>
        <v/>
      </c>
      <c r="K217" s="15" t="str">
        <f aca="false">IF($B217="","",IF($F217&lt;&gt;"",$F217,IFERROR(IF(AND(INDEX(Clients!$F$5:$F$204,MATCH($B217,Clients!$A$5:$A$204,0))&amp;""&lt;&gt;"",OR($C217="",$C217=INDEX(Clients!$E$5:$E$204,MATCH($B217,Clients!$A$5:$A$204,0)))),INDEX(Clients!$F$5:$F$204,MATCH($B217,Clients!$A$5:$A$204,0)),INDEX(Settings!$E$5:$E$19,MATCH($J217,Settings!$D$5:$D$19,0))),0)))</f>
        <v/>
      </c>
      <c r="L217" s="15" t="str">
        <f aca="false">IF($B217="","",$K217*IF($D217="",1,$D217)+$E217)</f>
        <v/>
      </c>
      <c r="M217" s="15" t="str">
        <f aca="false">IF($B217="","",ROUND($L217*Settings!$B$9,2))</f>
        <v/>
      </c>
      <c r="N217" s="15" t="str">
        <f aca="false">IF($B217="","",$L217+$M217)</f>
        <v/>
      </c>
      <c r="O217" s="19" t="str">
        <f aca="false">IF($Q217="","",Settings!$B$13&amp;TEXT(ROWS($A$5:$A217),"0000"))</f>
        <v/>
      </c>
      <c r="P217" s="19" t="str">
        <f aca="false">IF($O217="","",IFERROR(INDEX(Invoices!$I$5:$I$504,MATCH($O217,Invoices!$A$5:$A$504,0)),""))</f>
        <v/>
      </c>
      <c r="Q217" s="2" t="str">
        <f aca="false">IF(AND($A217&lt;&gt;"",$B217&lt;&gt;"",$G217="Completed"),COUNTIFS($A$5:$A217,"&lt;&gt;",$B$5:$B217,"&lt;&gt;",$G$5:$G217,"Completed"),"")</f>
        <v/>
      </c>
    </row>
    <row r="218" customFormat="false" ht="15" hidden="false" customHeight="false" outlineLevel="0" collapsed="false">
      <c r="A218" s="16"/>
      <c r="B218" s="12"/>
      <c r="C218" s="17"/>
      <c r="D218" s="18"/>
      <c r="E218" s="13"/>
      <c r="F218" s="13"/>
      <c r="G218" s="12"/>
      <c r="H218" s="12"/>
      <c r="I218" s="19" t="str">
        <f aca="false">IF($B218="","",IFERROR(INDEX(Clients!$D$5:$D$204,MATCH($B218,Clients!$A$5:$A$204,0))&amp;"",""))</f>
        <v/>
      </c>
      <c r="J218" s="19" t="str">
        <f aca="false">IF($B218="","",IF($C218&lt;&gt;"",$C218,IFERROR(INDEX(Clients!$E$5:$E$204,MATCH($B218,Clients!$A$5:$A$204,0))&amp;"","")))</f>
        <v/>
      </c>
      <c r="K218" s="15" t="str">
        <f aca="false">IF($B218="","",IF($F218&lt;&gt;"",$F218,IFERROR(IF(AND(INDEX(Clients!$F$5:$F$204,MATCH($B218,Clients!$A$5:$A$204,0))&amp;""&lt;&gt;"",OR($C218="",$C218=INDEX(Clients!$E$5:$E$204,MATCH($B218,Clients!$A$5:$A$204,0)))),INDEX(Clients!$F$5:$F$204,MATCH($B218,Clients!$A$5:$A$204,0)),INDEX(Settings!$E$5:$E$19,MATCH($J218,Settings!$D$5:$D$19,0))),0)))</f>
        <v/>
      </c>
      <c r="L218" s="15" t="str">
        <f aca="false">IF($B218="","",$K218*IF($D218="",1,$D218)+$E218)</f>
        <v/>
      </c>
      <c r="M218" s="15" t="str">
        <f aca="false">IF($B218="","",ROUND($L218*Settings!$B$9,2))</f>
        <v/>
      </c>
      <c r="N218" s="15" t="str">
        <f aca="false">IF($B218="","",$L218+$M218)</f>
        <v/>
      </c>
      <c r="O218" s="19" t="str">
        <f aca="false">IF($Q218="","",Settings!$B$13&amp;TEXT(ROWS($A$5:$A218),"0000"))</f>
        <v/>
      </c>
      <c r="P218" s="19" t="str">
        <f aca="false">IF($O218="","",IFERROR(INDEX(Invoices!$I$5:$I$504,MATCH($O218,Invoices!$A$5:$A$504,0)),""))</f>
        <v/>
      </c>
      <c r="Q218" s="2" t="str">
        <f aca="false">IF(AND($A218&lt;&gt;"",$B218&lt;&gt;"",$G218="Completed"),COUNTIFS($A$5:$A218,"&lt;&gt;",$B$5:$B218,"&lt;&gt;",$G$5:$G218,"Completed"),"")</f>
        <v/>
      </c>
    </row>
    <row r="219" customFormat="false" ht="15" hidden="false" customHeight="false" outlineLevel="0" collapsed="false">
      <c r="A219" s="16"/>
      <c r="B219" s="12"/>
      <c r="C219" s="17"/>
      <c r="D219" s="18"/>
      <c r="E219" s="13"/>
      <c r="F219" s="13"/>
      <c r="G219" s="12"/>
      <c r="H219" s="12"/>
      <c r="I219" s="19" t="str">
        <f aca="false">IF($B219="","",IFERROR(INDEX(Clients!$D$5:$D$204,MATCH($B219,Clients!$A$5:$A$204,0))&amp;"",""))</f>
        <v/>
      </c>
      <c r="J219" s="19" t="str">
        <f aca="false">IF($B219="","",IF($C219&lt;&gt;"",$C219,IFERROR(INDEX(Clients!$E$5:$E$204,MATCH($B219,Clients!$A$5:$A$204,0))&amp;"","")))</f>
        <v/>
      </c>
      <c r="K219" s="15" t="str">
        <f aca="false">IF($B219="","",IF($F219&lt;&gt;"",$F219,IFERROR(IF(AND(INDEX(Clients!$F$5:$F$204,MATCH($B219,Clients!$A$5:$A$204,0))&amp;""&lt;&gt;"",OR($C219="",$C219=INDEX(Clients!$E$5:$E$204,MATCH($B219,Clients!$A$5:$A$204,0)))),INDEX(Clients!$F$5:$F$204,MATCH($B219,Clients!$A$5:$A$204,0)),INDEX(Settings!$E$5:$E$19,MATCH($J219,Settings!$D$5:$D$19,0))),0)))</f>
        <v/>
      </c>
      <c r="L219" s="15" t="str">
        <f aca="false">IF($B219="","",$K219*IF($D219="",1,$D219)+$E219)</f>
        <v/>
      </c>
      <c r="M219" s="15" t="str">
        <f aca="false">IF($B219="","",ROUND($L219*Settings!$B$9,2))</f>
        <v/>
      </c>
      <c r="N219" s="15" t="str">
        <f aca="false">IF($B219="","",$L219+$M219)</f>
        <v/>
      </c>
      <c r="O219" s="19" t="str">
        <f aca="false">IF($Q219="","",Settings!$B$13&amp;TEXT(ROWS($A$5:$A219),"0000"))</f>
        <v/>
      </c>
      <c r="P219" s="19" t="str">
        <f aca="false">IF($O219="","",IFERROR(INDEX(Invoices!$I$5:$I$504,MATCH($O219,Invoices!$A$5:$A$504,0)),""))</f>
        <v/>
      </c>
      <c r="Q219" s="2" t="str">
        <f aca="false">IF(AND($A219&lt;&gt;"",$B219&lt;&gt;"",$G219="Completed"),COUNTIFS($A$5:$A219,"&lt;&gt;",$B$5:$B219,"&lt;&gt;",$G$5:$G219,"Completed"),"")</f>
        <v/>
      </c>
    </row>
    <row r="220" customFormat="false" ht="15" hidden="false" customHeight="false" outlineLevel="0" collapsed="false">
      <c r="A220" s="16"/>
      <c r="B220" s="12"/>
      <c r="C220" s="17"/>
      <c r="D220" s="18"/>
      <c r="E220" s="13"/>
      <c r="F220" s="13"/>
      <c r="G220" s="12"/>
      <c r="H220" s="12"/>
      <c r="I220" s="19" t="str">
        <f aca="false">IF($B220="","",IFERROR(INDEX(Clients!$D$5:$D$204,MATCH($B220,Clients!$A$5:$A$204,0))&amp;"",""))</f>
        <v/>
      </c>
      <c r="J220" s="19" t="str">
        <f aca="false">IF($B220="","",IF($C220&lt;&gt;"",$C220,IFERROR(INDEX(Clients!$E$5:$E$204,MATCH($B220,Clients!$A$5:$A$204,0))&amp;"","")))</f>
        <v/>
      </c>
      <c r="K220" s="15" t="str">
        <f aca="false">IF($B220="","",IF($F220&lt;&gt;"",$F220,IFERROR(IF(AND(INDEX(Clients!$F$5:$F$204,MATCH($B220,Clients!$A$5:$A$204,0))&amp;""&lt;&gt;"",OR($C220="",$C220=INDEX(Clients!$E$5:$E$204,MATCH($B220,Clients!$A$5:$A$204,0)))),INDEX(Clients!$F$5:$F$204,MATCH($B220,Clients!$A$5:$A$204,0)),INDEX(Settings!$E$5:$E$19,MATCH($J220,Settings!$D$5:$D$19,0))),0)))</f>
        <v/>
      </c>
      <c r="L220" s="15" t="str">
        <f aca="false">IF($B220="","",$K220*IF($D220="",1,$D220)+$E220)</f>
        <v/>
      </c>
      <c r="M220" s="15" t="str">
        <f aca="false">IF($B220="","",ROUND($L220*Settings!$B$9,2))</f>
        <v/>
      </c>
      <c r="N220" s="15" t="str">
        <f aca="false">IF($B220="","",$L220+$M220)</f>
        <v/>
      </c>
      <c r="O220" s="19" t="str">
        <f aca="false">IF($Q220="","",Settings!$B$13&amp;TEXT(ROWS($A$5:$A220),"0000"))</f>
        <v/>
      </c>
      <c r="P220" s="19" t="str">
        <f aca="false">IF($O220="","",IFERROR(INDEX(Invoices!$I$5:$I$504,MATCH($O220,Invoices!$A$5:$A$504,0)),""))</f>
        <v/>
      </c>
      <c r="Q220" s="2" t="str">
        <f aca="false">IF(AND($A220&lt;&gt;"",$B220&lt;&gt;"",$G220="Completed"),COUNTIFS($A$5:$A220,"&lt;&gt;",$B$5:$B220,"&lt;&gt;",$G$5:$G220,"Completed"),"")</f>
        <v/>
      </c>
    </row>
    <row r="221" customFormat="false" ht="15" hidden="false" customHeight="false" outlineLevel="0" collapsed="false">
      <c r="A221" s="16"/>
      <c r="B221" s="12"/>
      <c r="C221" s="17"/>
      <c r="D221" s="18"/>
      <c r="E221" s="13"/>
      <c r="F221" s="13"/>
      <c r="G221" s="12"/>
      <c r="H221" s="12"/>
      <c r="I221" s="19" t="str">
        <f aca="false">IF($B221="","",IFERROR(INDEX(Clients!$D$5:$D$204,MATCH($B221,Clients!$A$5:$A$204,0))&amp;"",""))</f>
        <v/>
      </c>
      <c r="J221" s="19" t="str">
        <f aca="false">IF($B221="","",IF($C221&lt;&gt;"",$C221,IFERROR(INDEX(Clients!$E$5:$E$204,MATCH($B221,Clients!$A$5:$A$204,0))&amp;"","")))</f>
        <v/>
      </c>
      <c r="K221" s="15" t="str">
        <f aca="false">IF($B221="","",IF($F221&lt;&gt;"",$F221,IFERROR(IF(AND(INDEX(Clients!$F$5:$F$204,MATCH($B221,Clients!$A$5:$A$204,0))&amp;""&lt;&gt;"",OR($C221="",$C221=INDEX(Clients!$E$5:$E$204,MATCH($B221,Clients!$A$5:$A$204,0)))),INDEX(Clients!$F$5:$F$204,MATCH($B221,Clients!$A$5:$A$204,0)),INDEX(Settings!$E$5:$E$19,MATCH($J221,Settings!$D$5:$D$19,0))),0)))</f>
        <v/>
      </c>
      <c r="L221" s="15" t="str">
        <f aca="false">IF($B221="","",$K221*IF($D221="",1,$D221)+$E221)</f>
        <v/>
      </c>
      <c r="M221" s="15" t="str">
        <f aca="false">IF($B221="","",ROUND($L221*Settings!$B$9,2))</f>
        <v/>
      </c>
      <c r="N221" s="15" t="str">
        <f aca="false">IF($B221="","",$L221+$M221)</f>
        <v/>
      </c>
      <c r="O221" s="19" t="str">
        <f aca="false">IF($Q221="","",Settings!$B$13&amp;TEXT(ROWS($A$5:$A221),"0000"))</f>
        <v/>
      </c>
      <c r="P221" s="19" t="str">
        <f aca="false">IF($O221="","",IFERROR(INDEX(Invoices!$I$5:$I$504,MATCH($O221,Invoices!$A$5:$A$504,0)),""))</f>
        <v/>
      </c>
      <c r="Q221" s="2" t="str">
        <f aca="false">IF(AND($A221&lt;&gt;"",$B221&lt;&gt;"",$G221="Completed"),COUNTIFS($A$5:$A221,"&lt;&gt;",$B$5:$B221,"&lt;&gt;",$G$5:$G221,"Completed"),"")</f>
        <v/>
      </c>
    </row>
    <row r="222" customFormat="false" ht="15" hidden="false" customHeight="false" outlineLevel="0" collapsed="false">
      <c r="A222" s="16"/>
      <c r="B222" s="12"/>
      <c r="C222" s="17"/>
      <c r="D222" s="18"/>
      <c r="E222" s="13"/>
      <c r="F222" s="13"/>
      <c r="G222" s="12"/>
      <c r="H222" s="12"/>
      <c r="I222" s="19" t="str">
        <f aca="false">IF($B222="","",IFERROR(INDEX(Clients!$D$5:$D$204,MATCH($B222,Clients!$A$5:$A$204,0))&amp;"",""))</f>
        <v/>
      </c>
      <c r="J222" s="19" t="str">
        <f aca="false">IF($B222="","",IF($C222&lt;&gt;"",$C222,IFERROR(INDEX(Clients!$E$5:$E$204,MATCH($B222,Clients!$A$5:$A$204,0))&amp;"","")))</f>
        <v/>
      </c>
      <c r="K222" s="15" t="str">
        <f aca="false">IF($B222="","",IF($F222&lt;&gt;"",$F222,IFERROR(IF(AND(INDEX(Clients!$F$5:$F$204,MATCH($B222,Clients!$A$5:$A$204,0))&amp;""&lt;&gt;"",OR($C222="",$C222=INDEX(Clients!$E$5:$E$204,MATCH($B222,Clients!$A$5:$A$204,0)))),INDEX(Clients!$F$5:$F$204,MATCH($B222,Clients!$A$5:$A$204,0)),INDEX(Settings!$E$5:$E$19,MATCH($J222,Settings!$D$5:$D$19,0))),0)))</f>
        <v/>
      </c>
      <c r="L222" s="15" t="str">
        <f aca="false">IF($B222="","",$K222*IF($D222="",1,$D222)+$E222)</f>
        <v/>
      </c>
      <c r="M222" s="15" t="str">
        <f aca="false">IF($B222="","",ROUND($L222*Settings!$B$9,2))</f>
        <v/>
      </c>
      <c r="N222" s="15" t="str">
        <f aca="false">IF($B222="","",$L222+$M222)</f>
        <v/>
      </c>
      <c r="O222" s="19" t="str">
        <f aca="false">IF($Q222="","",Settings!$B$13&amp;TEXT(ROWS($A$5:$A222),"0000"))</f>
        <v/>
      </c>
      <c r="P222" s="19" t="str">
        <f aca="false">IF($O222="","",IFERROR(INDEX(Invoices!$I$5:$I$504,MATCH($O222,Invoices!$A$5:$A$504,0)),""))</f>
        <v/>
      </c>
      <c r="Q222" s="2" t="str">
        <f aca="false">IF(AND($A222&lt;&gt;"",$B222&lt;&gt;"",$G222="Completed"),COUNTIFS($A$5:$A222,"&lt;&gt;",$B$5:$B222,"&lt;&gt;",$G$5:$G222,"Completed"),"")</f>
        <v/>
      </c>
    </row>
    <row r="223" customFormat="false" ht="15" hidden="false" customHeight="false" outlineLevel="0" collapsed="false">
      <c r="A223" s="16"/>
      <c r="B223" s="12"/>
      <c r="C223" s="17"/>
      <c r="D223" s="18"/>
      <c r="E223" s="13"/>
      <c r="F223" s="13"/>
      <c r="G223" s="12"/>
      <c r="H223" s="12"/>
      <c r="I223" s="19" t="str">
        <f aca="false">IF($B223="","",IFERROR(INDEX(Clients!$D$5:$D$204,MATCH($B223,Clients!$A$5:$A$204,0))&amp;"",""))</f>
        <v/>
      </c>
      <c r="J223" s="19" t="str">
        <f aca="false">IF($B223="","",IF($C223&lt;&gt;"",$C223,IFERROR(INDEX(Clients!$E$5:$E$204,MATCH($B223,Clients!$A$5:$A$204,0))&amp;"","")))</f>
        <v/>
      </c>
      <c r="K223" s="15" t="str">
        <f aca="false">IF($B223="","",IF($F223&lt;&gt;"",$F223,IFERROR(IF(AND(INDEX(Clients!$F$5:$F$204,MATCH($B223,Clients!$A$5:$A$204,0))&amp;""&lt;&gt;"",OR($C223="",$C223=INDEX(Clients!$E$5:$E$204,MATCH($B223,Clients!$A$5:$A$204,0)))),INDEX(Clients!$F$5:$F$204,MATCH($B223,Clients!$A$5:$A$204,0)),INDEX(Settings!$E$5:$E$19,MATCH($J223,Settings!$D$5:$D$19,0))),0)))</f>
        <v/>
      </c>
      <c r="L223" s="15" t="str">
        <f aca="false">IF($B223="","",$K223*IF($D223="",1,$D223)+$E223)</f>
        <v/>
      </c>
      <c r="M223" s="15" t="str">
        <f aca="false">IF($B223="","",ROUND($L223*Settings!$B$9,2))</f>
        <v/>
      </c>
      <c r="N223" s="15" t="str">
        <f aca="false">IF($B223="","",$L223+$M223)</f>
        <v/>
      </c>
      <c r="O223" s="19" t="str">
        <f aca="false">IF($Q223="","",Settings!$B$13&amp;TEXT(ROWS($A$5:$A223),"0000"))</f>
        <v/>
      </c>
      <c r="P223" s="19" t="str">
        <f aca="false">IF($O223="","",IFERROR(INDEX(Invoices!$I$5:$I$504,MATCH($O223,Invoices!$A$5:$A$504,0)),""))</f>
        <v/>
      </c>
      <c r="Q223" s="2" t="str">
        <f aca="false">IF(AND($A223&lt;&gt;"",$B223&lt;&gt;"",$G223="Completed"),COUNTIFS($A$5:$A223,"&lt;&gt;",$B$5:$B223,"&lt;&gt;",$G$5:$G223,"Completed"),"")</f>
        <v/>
      </c>
    </row>
    <row r="224" customFormat="false" ht="15" hidden="false" customHeight="false" outlineLevel="0" collapsed="false">
      <c r="A224" s="16"/>
      <c r="B224" s="12"/>
      <c r="C224" s="17"/>
      <c r="D224" s="18"/>
      <c r="E224" s="13"/>
      <c r="F224" s="13"/>
      <c r="G224" s="12"/>
      <c r="H224" s="12"/>
      <c r="I224" s="19" t="str">
        <f aca="false">IF($B224="","",IFERROR(INDEX(Clients!$D$5:$D$204,MATCH($B224,Clients!$A$5:$A$204,0))&amp;"",""))</f>
        <v/>
      </c>
      <c r="J224" s="19" t="str">
        <f aca="false">IF($B224="","",IF($C224&lt;&gt;"",$C224,IFERROR(INDEX(Clients!$E$5:$E$204,MATCH($B224,Clients!$A$5:$A$204,0))&amp;"","")))</f>
        <v/>
      </c>
      <c r="K224" s="15" t="str">
        <f aca="false">IF($B224="","",IF($F224&lt;&gt;"",$F224,IFERROR(IF(AND(INDEX(Clients!$F$5:$F$204,MATCH($B224,Clients!$A$5:$A$204,0))&amp;""&lt;&gt;"",OR($C224="",$C224=INDEX(Clients!$E$5:$E$204,MATCH($B224,Clients!$A$5:$A$204,0)))),INDEX(Clients!$F$5:$F$204,MATCH($B224,Clients!$A$5:$A$204,0)),INDEX(Settings!$E$5:$E$19,MATCH($J224,Settings!$D$5:$D$19,0))),0)))</f>
        <v/>
      </c>
      <c r="L224" s="15" t="str">
        <f aca="false">IF($B224="","",$K224*IF($D224="",1,$D224)+$E224)</f>
        <v/>
      </c>
      <c r="M224" s="15" t="str">
        <f aca="false">IF($B224="","",ROUND($L224*Settings!$B$9,2))</f>
        <v/>
      </c>
      <c r="N224" s="15" t="str">
        <f aca="false">IF($B224="","",$L224+$M224)</f>
        <v/>
      </c>
      <c r="O224" s="19" t="str">
        <f aca="false">IF($Q224="","",Settings!$B$13&amp;TEXT(ROWS($A$5:$A224),"0000"))</f>
        <v/>
      </c>
      <c r="P224" s="19" t="str">
        <f aca="false">IF($O224="","",IFERROR(INDEX(Invoices!$I$5:$I$504,MATCH($O224,Invoices!$A$5:$A$504,0)),""))</f>
        <v/>
      </c>
      <c r="Q224" s="2" t="str">
        <f aca="false">IF(AND($A224&lt;&gt;"",$B224&lt;&gt;"",$G224="Completed"),COUNTIFS($A$5:$A224,"&lt;&gt;",$B$5:$B224,"&lt;&gt;",$G$5:$G224,"Completed"),"")</f>
        <v/>
      </c>
    </row>
    <row r="225" customFormat="false" ht="15" hidden="false" customHeight="false" outlineLevel="0" collapsed="false">
      <c r="A225" s="16"/>
      <c r="B225" s="12"/>
      <c r="C225" s="17"/>
      <c r="D225" s="18"/>
      <c r="E225" s="13"/>
      <c r="F225" s="13"/>
      <c r="G225" s="12"/>
      <c r="H225" s="12"/>
      <c r="I225" s="19" t="str">
        <f aca="false">IF($B225="","",IFERROR(INDEX(Clients!$D$5:$D$204,MATCH($B225,Clients!$A$5:$A$204,0))&amp;"",""))</f>
        <v/>
      </c>
      <c r="J225" s="19" t="str">
        <f aca="false">IF($B225="","",IF($C225&lt;&gt;"",$C225,IFERROR(INDEX(Clients!$E$5:$E$204,MATCH($B225,Clients!$A$5:$A$204,0))&amp;"","")))</f>
        <v/>
      </c>
      <c r="K225" s="15" t="str">
        <f aca="false">IF($B225="","",IF($F225&lt;&gt;"",$F225,IFERROR(IF(AND(INDEX(Clients!$F$5:$F$204,MATCH($B225,Clients!$A$5:$A$204,0))&amp;""&lt;&gt;"",OR($C225="",$C225=INDEX(Clients!$E$5:$E$204,MATCH($B225,Clients!$A$5:$A$204,0)))),INDEX(Clients!$F$5:$F$204,MATCH($B225,Clients!$A$5:$A$204,0)),INDEX(Settings!$E$5:$E$19,MATCH($J225,Settings!$D$5:$D$19,0))),0)))</f>
        <v/>
      </c>
      <c r="L225" s="15" t="str">
        <f aca="false">IF($B225="","",$K225*IF($D225="",1,$D225)+$E225)</f>
        <v/>
      </c>
      <c r="M225" s="15" t="str">
        <f aca="false">IF($B225="","",ROUND($L225*Settings!$B$9,2))</f>
        <v/>
      </c>
      <c r="N225" s="15" t="str">
        <f aca="false">IF($B225="","",$L225+$M225)</f>
        <v/>
      </c>
      <c r="O225" s="19" t="str">
        <f aca="false">IF($Q225="","",Settings!$B$13&amp;TEXT(ROWS($A$5:$A225),"0000"))</f>
        <v/>
      </c>
      <c r="P225" s="19" t="str">
        <f aca="false">IF($O225="","",IFERROR(INDEX(Invoices!$I$5:$I$504,MATCH($O225,Invoices!$A$5:$A$504,0)),""))</f>
        <v/>
      </c>
      <c r="Q225" s="2" t="str">
        <f aca="false">IF(AND($A225&lt;&gt;"",$B225&lt;&gt;"",$G225="Completed"),COUNTIFS($A$5:$A225,"&lt;&gt;",$B$5:$B225,"&lt;&gt;",$G$5:$G225,"Completed"),"")</f>
        <v/>
      </c>
    </row>
    <row r="226" customFormat="false" ht="15" hidden="false" customHeight="false" outlineLevel="0" collapsed="false">
      <c r="A226" s="16"/>
      <c r="B226" s="12"/>
      <c r="C226" s="17"/>
      <c r="D226" s="18"/>
      <c r="E226" s="13"/>
      <c r="F226" s="13"/>
      <c r="G226" s="12"/>
      <c r="H226" s="12"/>
      <c r="I226" s="19" t="str">
        <f aca="false">IF($B226="","",IFERROR(INDEX(Clients!$D$5:$D$204,MATCH($B226,Clients!$A$5:$A$204,0))&amp;"",""))</f>
        <v/>
      </c>
      <c r="J226" s="19" t="str">
        <f aca="false">IF($B226="","",IF($C226&lt;&gt;"",$C226,IFERROR(INDEX(Clients!$E$5:$E$204,MATCH($B226,Clients!$A$5:$A$204,0))&amp;"","")))</f>
        <v/>
      </c>
      <c r="K226" s="15" t="str">
        <f aca="false">IF($B226="","",IF($F226&lt;&gt;"",$F226,IFERROR(IF(AND(INDEX(Clients!$F$5:$F$204,MATCH($B226,Clients!$A$5:$A$204,0))&amp;""&lt;&gt;"",OR($C226="",$C226=INDEX(Clients!$E$5:$E$204,MATCH($B226,Clients!$A$5:$A$204,0)))),INDEX(Clients!$F$5:$F$204,MATCH($B226,Clients!$A$5:$A$204,0)),INDEX(Settings!$E$5:$E$19,MATCH($J226,Settings!$D$5:$D$19,0))),0)))</f>
        <v/>
      </c>
      <c r="L226" s="15" t="str">
        <f aca="false">IF($B226="","",$K226*IF($D226="",1,$D226)+$E226)</f>
        <v/>
      </c>
      <c r="M226" s="15" t="str">
        <f aca="false">IF($B226="","",ROUND($L226*Settings!$B$9,2))</f>
        <v/>
      </c>
      <c r="N226" s="15" t="str">
        <f aca="false">IF($B226="","",$L226+$M226)</f>
        <v/>
      </c>
      <c r="O226" s="19" t="str">
        <f aca="false">IF($Q226="","",Settings!$B$13&amp;TEXT(ROWS($A$5:$A226),"0000"))</f>
        <v/>
      </c>
      <c r="P226" s="19" t="str">
        <f aca="false">IF($O226="","",IFERROR(INDEX(Invoices!$I$5:$I$504,MATCH($O226,Invoices!$A$5:$A$504,0)),""))</f>
        <v/>
      </c>
      <c r="Q226" s="2" t="str">
        <f aca="false">IF(AND($A226&lt;&gt;"",$B226&lt;&gt;"",$G226="Completed"),COUNTIFS($A$5:$A226,"&lt;&gt;",$B$5:$B226,"&lt;&gt;",$G$5:$G226,"Completed"),"")</f>
        <v/>
      </c>
    </row>
    <row r="227" customFormat="false" ht="15" hidden="false" customHeight="false" outlineLevel="0" collapsed="false">
      <c r="A227" s="16"/>
      <c r="B227" s="12"/>
      <c r="C227" s="17"/>
      <c r="D227" s="18"/>
      <c r="E227" s="13"/>
      <c r="F227" s="13"/>
      <c r="G227" s="12"/>
      <c r="H227" s="12"/>
      <c r="I227" s="19" t="str">
        <f aca="false">IF($B227="","",IFERROR(INDEX(Clients!$D$5:$D$204,MATCH($B227,Clients!$A$5:$A$204,0))&amp;"",""))</f>
        <v/>
      </c>
      <c r="J227" s="19" t="str">
        <f aca="false">IF($B227="","",IF($C227&lt;&gt;"",$C227,IFERROR(INDEX(Clients!$E$5:$E$204,MATCH($B227,Clients!$A$5:$A$204,0))&amp;"","")))</f>
        <v/>
      </c>
      <c r="K227" s="15" t="str">
        <f aca="false">IF($B227="","",IF($F227&lt;&gt;"",$F227,IFERROR(IF(AND(INDEX(Clients!$F$5:$F$204,MATCH($B227,Clients!$A$5:$A$204,0))&amp;""&lt;&gt;"",OR($C227="",$C227=INDEX(Clients!$E$5:$E$204,MATCH($B227,Clients!$A$5:$A$204,0)))),INDEX(Clients!$F$5:$F$204,MATCH($B227,Clients!$A$5:$A$204,0)),INDEX(Settings!$E$5:$E$19,MATCH($J227,Settings!$D$5:$D$19,0))),0)))</f>
        <v/>
      </c>
      <c r="L227" s="15" t="str">
        <f aca="false">IF($B227="","",$K227*IF($D227="",1,$D227)+$E227)</f>
        <v/>
      </c>
      <c r="M227" s="15" t="str">
        <f aca="false">IF($B227="","",ROUND($L227*Settings!$B$9,2))</f>
        <v/>
      </c>
      <c r="N227" s="15" t="str">
        <f aca="false">IF($B227="","",$L227+$M227)</f>
        <v/>
      </c>
      <c r="O227" s="19" t="str">
        <f aca="false">IF($Q227="","",Settings!$B$13&amp;TEXT(ROWS($A$5:$A227),"0000"))</f>
        <v/>
      </c>
      <c r="P227" s="19" t="str">
        <f aca="false">IF($O227="","",IFERROR(INDEX(Invoices!$I$5:$I$504,MATCH($O227,Invoices!$A$5:$A$504,0)),""))</f>
        <v/>
      </c>
      <c r="Q227" s="2" t="str">
        <f aca="false">IF(AND($A227&lt;&gt;"",$B227&lt;&gt;"",$G227="Completed"),COUNTIFS($A$5:$A227,"&lt;&gt;",$B$5:$B227,"&lt;&gt;",$G$5:$G227,"Completed"),"")</f>
        <v/>
      </c>
    </row>
    <row r="228" customFormat="false" ht="15" hidden="false" customHeight="false" outlineLevel="0" collapsed="false">
      <c r="A228" s="16"/>
      <c r="B228" s="12"/>
      <c r="C228" s="17"/>
      <c r="D228" s="18"/>
      <c r="E228" s="13"/>
      <c r="F228" s="13"/>
      <c r="G228" s="12"/>
      <c r="H228" s="12"/>
      <c r="I228" s="19" t="str">
        <f aca="false">IF($B228="","",IFERROR(INDEX(Clients!$D$5:$D$204,MATCH($B228,Clients!$A$5:$A$204,0))&amp;"",""))</f>
        <v/>
      </c>
      <c r="J228" s="19" t="str">
        <f aca="false">IF($B228="","",IF($C228&lt;&gt;"",$C228,IFERROR(INDEX(Clients!$E$5:$E$204,MATCH($B228,Clients!$A$5:$A$204,0))&amp;"","")))</f>
        <v/>
      </c>
      <c r="K228" s="15" t="str">
        <f aca="false">IF($B228="","",IF($F228&lt;&gt;"",$F228,IFERROR(IF(AND(INDEX(Clients!$F$5:$F$204,MATCH($B228,Clients!$A$5:$A$204,0))&amp;""&lt;&gt;"",OR($C228="",$C228=INDEX(Clients!$E$5:$E$204,MATCH($B228,Clients!$A$5:$A$204,0)))),INDEX(Clients!$F$5:$F$204,MATCH($B228,Clients!$A$5:$A$204,0)),INDEX(Settings!$E$5:$E$19,MATCH($J228,Settings!$D$5:$D$19,0))),0)))</f>
        <v/>
      </c>
      <c r="L228" s="15" t="str">
        <f aca="false">IF($B228="","",$K228*IF($D228="",1,$D228)+$E228)</f>
        <v/>
      </c>
      <c r="M228" s="15" t="str">
        <f aca="false">IF($B228="","",ROUND($L228*Settings!$B$9,2))</f>
        <v/>
      </c>
      <c r="N228" s="15" t="str">
        <f aca="false">IF($B228="","",$L228+$M228)</f>
        <v/>
      </c>
      <c r="O228" s="19" t="str">
        <f aca="false">IF($Q228="","",Settings!$B$13&amp;TEXT(ROWS($A$5:$A228),"0000"))</f>
        <v/>
      </c>
      <c r="P228" s="19" t="str">
        <f aca="false">IF($O228="","",IFERROR(INDEX(Invoices!$I$5:$I$504,MATCH($O228,Invoices!$A$5:$A$504,0)),""))</f>
        <v/>
      </c>
      <c r="Q228" s="2" t="str">
        <f aca="false">IF(AND($A228&lt;&gt;"",$B228&lt;&gt;"",$G228="Completed"),COUNTIFS($A$5:$A228,"&lt;&gt;",$B$5:$B228,"&lt;&gt;",$G$5:$G228,"Completed"),"")</f>
        <v/>
      </c>
    </row>
    <row r="229" customFormat="false" ht="15" hidden="false" customHeight="false" outlineLevel="0" collapsed="false">
      <c r="A229" s="16"/>
      <c r="B229" s="12"/>
      <c r="C229" s="17"/>
      <c r="D229" s="18"/>
      <c r="E229" s="13"/>
      <c r="F229" s="13"/>
      <c r="G229" s="12"/>
      <c r="H229" s="12"/>
      <c r="I229" s="19" t="str">
        <f aca="false">IF($B229="","",IFERROR(INDEX(Clients!$D$5:$D$204,MATCH($B229,Clients!$A$5:$A$204,0))&amp;"",""))</f>
        <v/>
      </c>
      <c r="J229" s="19" t="str">
        <f aca="false">IF($B229="","",IF($C229&lt;&gt;"",$C229,IFERROR(INDEX(Clients!$E$5:$E$204,MATCH($B229,Clients!$A$5:$A$204,0))&amp;"","")))</f>
        <v/>
      </c>
      <c r="K229" s="15" t="str">
        <f aca="false">IF($B229="","",IF($F229&lt;&gt;"",$F229,IFERROR(IF(AND(INDEX(Clients!$F$5:$F$204,MATCH($B229,Clients!$A$5:$A$204,0))&amp;""&lt;&gt;"",OR($C229="",$C229=INDEX(Clients!$E$5:$E$204,MATCH($B229,Clients!$A$5:$A$204,0)))),INDEX(Clients!$F$5:$F$204,MATCH($B229,Clients!$A$5:$A$204,0)),INDEX(Settings!$E$5:$E$19,MATCH($J229,Settings!$D$5:$D$19,0))),0)))</f>
        <v/>
      </c>
      <c r="L229" s="15" t="str">
        <f aca="false">IF($B229="","",$K229*IF($D229="",1,$D229)+$E229)</f>
        <v/>
      </c>
      <c r="M229" s="15" t="str">
        <f aca="false">IF($B229="","",ROUND($L229*Settings!$B$9,2))</f>
        <v/>
      </c>
      <c r="N229" s="15" t="str">
        <f aca="false">IF($B229="","",$L229+$M229)</f>
        <v/>
      </c>
      <c r="O229" s="19" t="str">
        <f aca="false">IF($Q229="","",Settings!$B$13&amp;TEXT(ROWS($A$5:$A229),"0000"))</f>
        <v/>
      </c>
      <c r="P229" s="19" t="str">
        <f aca="false">IF($O229="","",IFERROR(INDEX(Invoices!$I$5:$I$504,MATCH($O229,Invoices!$A$5:$A$504,0)),""))</f>
        <v/>
      </c>
      <c r="Q229" s="2" t="str">
        <f aca="false">IF(AND($A229&lt;&gt;"",$B229&lt;&gt;"",$G229="Completed"),COUNTIFS($A$5:$A229,"&lt;&gt;",$B$5:$B229,"&lt;&gt;",$G$5:$G229,"Completed"),"")</f>
        <v/>
      </c>
    </row>
    <row r="230" customFormat="false" ht="15" hidden="false" customHeight="false" outlineLevel="0" collapsed="false">
      <c r="A230" s="16"/>
      <c r="B230" s="12"/>
      <c r="C230" s="17"/>
      <c r="D230" s="18"/>
      <c r="E230" s="13"/>
      <c r="F230" s="13"/>
      <c r="G230" s="12"/>
      <c r="H230" s="12"/>
      <c r="I230" s="19" t="str">
        <f aca="false">IF($B230="","",IFERROR(INDEX(Clients!$D$5:$D$204,MATCH($B230,Clients!$A$5:$A$204,0))&amp;"",""))</f>
        <v/>
      </c>
      <c r="J230" s="19" t="str">
        <f aca="false">IF($B230="","",IF($C230&lt;&gt;"",$C230,IFERROR(INDEX(Clients!$E$5:$E$204,MATCH($B230,Clients!$A$5:$A$204,0))&amp;"","")))</f>
        <v/>
      </c>
      <c r="K230" s="15" t="str">
        <f aca="false">IF($B230="","",IF($F230&lt;&gt;"",$F230,IFERROR(IF(AND(INDEX(Clients!$F$5:$F$204,MATCH($B230,Clients!$A$5:$A$204,0))&amp;""&lt;&gt;"",OR($C230="",$C230=INDEX(Clients!$E$5:$E$204,MATCH($B230,Clients!$A$5:$A$204,0)))),INDEX(Clients!$F$5:$F$204,MATCH($B230,Clients!$A$5:$A$204,0)),INDEX(Settings!$E$5:$E$19,MATCH($J230,Settings!$D$5:$D$19,0))),0)))</f>
        <v/>
      </c>
      <c r="L230" s="15" t="str">
        <f aca="false">IF($B230="","",$K230*IF($D230="",1,$D230)+$E230)</f>
        <v/>
      </c>
      <c r="M230" s="15" t="str">
        <f aca="false">IF($B230="","",ROUND($L230*Settings!$B$9,2))</f>
        <v/>
      </c>
      <c r="N230" s="15" t="str">
        <f aca="false">IF($B230="","",$L230+$M230)</f>
        <v/>
      </c>
      <c r="O230" s="19" t="str">
        <f aca="false">IF($Q230="","",Settings!$B$13&amp;TEXT(ROWS($A$5:$A230),"0000"))</f>
        <v/>
      </c>
      <c r="P230" s="19" t="str">
        <f aca="false">IF($O230="","",IFERROR(INDEX(Invoices!$I$5:$I$504,MATCH($O230,Invoices!$A$5:$A$504,0)),""))</f>
        <v/>
      </c>
      <c r="Q230" s="2" t="str">
        <f aca="false">IF(AND($A230&lt;&gt;"",$B230&lt;&gt;"",$G230="Completed"),COUNTIFS($A$5:$A230,"&lt;&gt;",$B$5:$B230,"&lt;&gt;",$G$5:$G230,"Completed"),"")</f>
        <v/>
      </c>
    </row>
    <row r="231" customFormat="false" ht="15" hidden="false" customHeight="false" outlineLevel="0" collapsed="false">
      <c r="A231" s="16"/>
      <c r="B231" s="12"/>
      <c r="C231" s="17"/>
      <c r="D231" s="18"/>
      <c r="E231" s="13"/>
      <c r="F231" s="13"/>
      <c r="G231" s="12"/>
      <c r="H231" s="12"/>
      <c r="I231" s="19" t="str">
        <f aca="false">IF($B231="","",IFERROR(INDEX(Clients!$D$5:$D$204,MATCH($B231,Clients!$A$5:$A$204,0))&amp;"",""))</f>
        <v/>
      </c>
      <c r="J231" s="19" t="str">
        <f aca="false">IF($B231="","",IF($C231&lt;&gt;"",$C231,IFERROR(INDEX(Clients!$E$5:$E$204,MATCH($B231,Clients!$A$5:$A$204,0))&amp;"","")))</f>
        <v/>
      </c>
      <c r="K231" s="15" t="str">
        <f aca="false">IF($B231="","",IF($F231&lt;&gt;"",$F231,IFERROR(IF(AND(INDEX(Clients!$F$5:$F$204,MATCH($B231,Clients!$A$5:$A$204,0))&amp;""&lt;&gt;"",OR($C231="",$C231=INDEX(Clients!$E$5:$E$204,MATCH($B231,Clients!$A$5:$A$204,0)))),INDEX(Clients!$F$5:$F$204,MATCH($B231,Clients!$A$5:$A$204,0)),INDEX(Settings!$E$5:$E$19,MATCH($J231,Settings!$D$5:$D$19,0))),0)))</f>
        <v/>
      </c>
      <c r="L231" s="15" t="str">
        <f aca="false">IF($B231="","",$K231*IF($D231="",1,$D231)+$E231)</f>
        <v/>
      </c>
      <c r="M231" s="15" t="str">
        <f aca="false">IF($B231="","",ROUND($L231*Settings!$B$9,2))</f>
        <v/>
      </c>
      <c r="N231" s="15" t="str">
        <f aca="false">IF($B231="","",$L231+$M231)</f>
        <v/>
      </c>
      <c r="O231" s="19" t="str">
        <f aca="false">IF($Q231="","",Settings!$B$13&amp;TEXT(ROWS($A$5:$A231),"0000"))</f>
        <v/>
      </c>
      <c r="P231" s="19" t="str">
        <f aca="false">IF($O231="","",IFERROR(INDEX(Invoices!$I$5:$I$504,MATCH($O231,Invoices!$A$5:$A$504,0)),""))</f>
        <v/>
      </c>
      <c r="Q231" s="2" t="str">
        <f aca="false">IF(AND($A231&lt;&gt;"",$B231&lt;&gt;"",$G231="Completed"),COUNTIFS($A$5:$A231,"&lt;&gt;",$B$5:$B231,"&lt;&gt;",$G$5:$G231,"Completed"),"")</f>
        <v/>
      </c>
    </row>
    <row r="232" customFormat="false" ht="15" hidden="false" customHeight="false" outlineLevel="0" collapsed="false">
      <c r="A232" s="16"/>
      <c r="B232" s="12"/>
      <c r="C232" s="17"/>
      <c r="D232" s="18"/>
      <c r="E232" s="13"/>
      <c r="F232" s="13"/>
      <c r="G232" s="12"/>
      <c r="H232" s="12"/>
      <c r="I232" s="19" t="str">
        <f aca="false">IF($B232="","",IFERROR(INDEX(Clients!$D$5:$D$204,MATCH($B232,Clients!$A$5:$A$204,0))&amp;"",""))</f>
        <v/>
      </c>
      <c r="J232" s="19" t="str">
        <f aca="false">IF($B232="","",IF($C232&lt;&gt;"",$C232,IFERROR(INDEX(Clients!$E$5:$E$204,MATCH($B232,Clients!$A$5:$A$204,0))&amp;"","")))</f>
        <v/>
      </c>
      <c r="K232" s="15" t="str">
        <f aca="false">IF($B232="","",IF($F232&lt;&gt;"",$F232,IFERROR(IF(AND(INDEX(Clients!$F$5:$F$204,MATCH($B232,Clients!$A$5:$A$204,0))&amp;""&lt;&gt;"",OR($C232="",$C232=INDEX(Clients!$E$5:$E$204,MATCH($B232,Clients!$A$5:$A$204,0)))),INDEX(Clients!$F$5:$F$204,MATCH($B232,Clients!$A$5:$A$204,0)),INDEX(Settings!$E$5:$E$19,MATCH($J232,Settings!$D$5:$D$19,0))),0)))</f>
        <v/>
      </c>
      <c r="L232" s="15" t="str">
        <f aca="false">IF($B232="","",$K232*IF($D232="",1,$D232)+$E232)</f>
        <v/>
      </c>
      <c r="M232" s="15" t="str">
        <f aca="false">IF($B232="","",ROUND($L232*Settings!$B$9,2))</f>
        <v/>
      </c>
      <c r="N232" s="15" t="str">
        <f aca="false">IF($B232="","",$L232+$M232)</f>
        <v/>
      </c>
      <c r="O232" s="19" t="str">
        <f aca="false">IF($Q232="","",Settings!$B$13&amp;TEXT(ROWS($A$5:$A232),"0000"))</f>
        <v/>
      </c>
      <c r="P232" s="19" t="str">
        <f aca="false">IF($O232="","",IFERROR(INDEX(Invoices!$I$5:$I$504,MATCH($O232,Invoices!$A$5:$A$504,0)),""))</f>
        <v/>
      </c>
      <c r="Q232" s="2" t="str">
        <f aca="false">IF(AND($A232&lt;&gt;"",$B232&lt;&gt;"",$G232="Completed"),COUNTIFS($A$5:$A232,"&lt;&gt;",$B$5:$B232,"&lt;&gt;",$G$5:$G232,"Completed"),"")</f>
        <v/>
      </c>
    </row>
    <row r="233" customFormat="false" ht="15" hidden="false" customHeight="false" outlineLevel="0" collapsed="false">
      <c r="A233" s="16"/>
      <c r="B233" s="12"/>
      <c r="C233" s="17"/>
      <c r="D233" s="18"/>
      <c r="E233" s="13"/>
      <c r="F233" s="13"/>
      <c r="G233" s="12"/>
      <c r="H233" s="12"/>
      <c r="I233" s="19" t="str">
        <f aca="false">IF($B233="","",IFERROR(INDEX(Clients!$D$5:$D$204,MATCH($B233,Clients!$A$5:$A$204,0))&amp;"",""))</f>
        <v/>
      </c>
      <c r="J233" s="19" t="str">
        <f aca="false">IF($B233="","",IF($C233&lt;&gt;"",$C233,IFERROR(INDEX(Clients!$E$5:$E$204,MATCH($B233,Clients!$A$5:$A$204,0))&amp;"","")))</f>
        <v/>
      </c>
      <c r="K233" s="15" t="str">
        <f aca="false">IF($B233="","",IF($F233&lt;&gt;"",$F233,IFERROR(IF(AND(INDEX(Clients!$F$5:$F$204,MATCH($B233,Clients!$A$5:$A$204,0))&amp;""&lt;&gt;"",OR($C233="",$C233=INDEX(Clients!$E$5:$E$204,MATCH($B233,Clients!$A$5:$A$204,0)))),INDEX(Clients!$F$5:$F$204,MATCH($B233,Clients!$A$5:$A$204,0)),INDEX(Settings!$E$5:$E$19,MATCH($J233,Settings!$D$5:$D$19,0))),0)))</f>
        <v/>
      </c>
      <c r="L233" s="15" t="str">
        <f aca="false">IF($B233="","",$K233*IF($D233="",1,$D233)+$E233)</f>
        <v/>
      </c>
      <c r="M233" s="15" t="str">
        <f aca="false">IF($B233="","",ROUND($L233*Settings!$B$9,2))</f>
        <v/>
      </c>
      <c r="N233" s="15" t="str">
        <f aca="false">IF($B233="","",$L233+$M233)</f>
        <v/>
      </c>
      <c r="O233" s="19" t="str">
        <f aca="false">IF($Q233="","",Settings!$B$13&amp;TEXT(ROWS($A$5:$A233),"0000"))</f>
        <v/>
      </c>
      <c r="P233" s="19" t="str">
        <f aca="false">IF($O233="","",IFERROR(INDEX(Invoices!$I$5:$I$504,MATCH($O233,Invoices!$A$5:$A$504,0)),""))</f>
        <v/>
      </c>
      <c r="Q233" s="2" t="str">
        <f aca="false">IF(AND($A233&lt;&gt;"",$B233&lt;&gt;"",$G233="Completed"),COUNTIFS($A$5:$A233,"&lt;&gt;",$B$5:$B233,"&lt;&gt;",$G$5:$G233,"Completed"),"")</f>
        <v/>
      </c>
    </row>
    <row r="234" customFormat="false" ht="15" hidden="false" customHeight="false" outlineLevel="0" collapsed="false">
      <c r="A234" s="16"/>
      <c r="B234" s="12"/>
      <c r="C234" s="17"/>
      <c r="D234" s="18"/>
      <c r="E234" s="13"/>
      <c r="F234" s="13"/>
      <c r="G234" s="12"/>
      <c r="H234" s="12"/>
      <c r="I234" s="19" t="str">
        <f aca="false">IF($B234="","",IFERROR(INDEX(Clients!$D$5:$D$204,MATCH($B234,Clients!$A$5:$A$204,0))&amp;"",""))</f>
        <v/>
      </c>
      <c r="J234" s="19" t="str">
        <f aca="false">IF($B234="","",IF($C234&lt;&gt;"",$C234,IFERROR(INDEX(Clients!$E$5:$E$204,MATCH($B234,Clients!$A$5:$A$204,0))&amp;"","")))</f>
        <v/>
      </c>
      <c r="K234" s="15" t="str">
        <f aca="false">IF($B234="","",IF($F234&lt;&gt;"",$F234,IFERROR(IF(AND(INDEX(Clients!$F$5:$F$204,MATCH($B234,Clients!$A$5:$A$204,0))&amp;""&lt;&gt;"",OR($C234="",$C234=INDEX(Clients!$E$5:$E$204,MATCH($B234,Clients!$A$5:$A$204,0)))),INDEX(Clients!$F$5:$F$204,MATCH($B234,Clients!$A$5:$A$204,0)),INDEX(Settings!$E$5:$E$19,MATCH($J234,Settings!$D$5:$D$19,0))),0)))</f>
        <v/>
      </c>
      <c r="L234" s="15" t="str">
        <f aca="false">IF($B234="","",$K234*IF($D234="",1,$D234)+$E234)</f>
        <v/>
      </c>
      <c r="M234" s="15" t="str">
        <f aca="false">IF($B234="","",ROUND($L234*Settings!$B$9,2))</f>
        <v/>
      </c>
      <c r="N234" s="15" t="str">
        <f aca="false">IF($B234="","",$L234+$M234)</f>
        <v/>
      </c>
      <c r="O234" s="19" t="str">
        <f aca="false">IF($Q234="","",Settings!$B$13&amp;TEXT(ROWS($A$5:$A234),"0000"))</f>
        <v/>
      </c>
      <c r="P234" s="19" t="str">
        <f aca="false">IF($O234="","",IFERROR(INDEX(Invoices!$I$5:$I$504,MATCH($O234,Invoices!$A$5:$A$504,0)),""))</f>
        <v/>
      </c>
      <c r="Q234" s="2" t="str">
        <f aca="false">IF(AND($A234&lt;&gt;"",$B234&lt;&gt;"",$G234="Completed"),COUNTIFS($A$5:$A234,"&lt;&gt;",$B$5:$B234,"&lt;&gt;",$G$5:$G234,"Completed"),"")</f>
        <v/>
      </c>
    </row>
    <row r="235" customFormat="false" ht="15" hidden="false" customHeight="false" outlineLevel="0" collapsed="false">
      <c r="A235" s="16"/>
      <c r="B235" s="12"/>
      <c r="C235" s="17"/>
      <c r="D235" s="18"/>
      <c r="E235" s="13"/>
      <c r="F235" s="13"/>
      <c r="G235" s="12"/>
      <c r="H235" s="12"/>
      <c r="I235" s="19" t="str">
        <f aca="false">IF($B235="","",IFERROR(INDEX(Clients!$D$5:$D$204,MATCH($B235,Clients!$A$5:$A$204,0))&amp;"",""))</f>
        <v/>
      </c>
      <c r="J235" s="19" t="str">
        <f aca="false">IF($B235="","",IF($C235&lt;&gt;"",$C235,IFERROR(INDEX(Clients!$E$5:$E$204,MATCH($B235,Clients!$A$5:$A$204,0))&amp;"","")))</f>
        <v/>
      </c>
      <c r="K235" s="15" t="str">
        <f aca="false">IF($B235="","",IF($F235&lt;&gt;"",$F235,IFERROR(IF(AND(INDEX(Clients!$F$5:$F$204,MATCH($B235,Clients!$A$5:$A$204,0))&amp;""&lt;&gt;"",OR($C235="",$C235=INDEX(Clients!$E$5:$E$204,MATCH($B235,Clients!$A$5:$A$204,0)))),INDEX(Clients!$F$5:$F$204,MATCH($B235,Clients!$A$5:$A$204,0)),INDEX(Settings!$E$5:$E$19,MATCH($J235,Settings!$D$5:$D$19,0))),0)))</f>
        <v/>
      </c>
      <c r="L235" s="15" t="str">
        <f aca="false">IF($B235="","",$K235*IF($D235="",1,$D235)+$E235)</f>
        <v/>
      </c>
      <c r="M235" s="15" t="str">
        <f aca="false">IF($B235="","",ROUND($L235*Settings!$B$9,2))</f>
        <v/>
      </c>
      <c r="N235" s="15" t="str">
        <f aca="false">IF($B235="","",$L235+$M235)</f>
        <v/>
      </c>
      <c r="O235" s="19" t="str">
        <f aca="false">IF($Q235="","",Settings!$B$13&amp;TEXT(ROWS($A$5:$A235),"0000"))</f>
        <v/>
      </c>
      <c r="P235" s="19" t="str">
        <f aca="false">IF($O235="","",IFERROR(INDEX(Invoices!$I$5:$I$504,MATCH($O235,Invoices!$A$5:$A$504,0)),""))</f>
        <v/>
      </c>
      <c r="Q235" s="2" t="str">
        <f aca="false">IF(AND($A235&lt;&gt;"",$B235&lt;&gt;"",$G235="Completed"),COUNTIFS($A$5:$A235,"&lt;&gt;",$B$5:$B235,"&lt;&gt;",$G$5:$G235,"Completed"),"")</f>
        <v/>
      </c>
    </row>
    <row r="236" customFormat="false" ht="15" hidden="false" customHeight="false" outlineLevel="0" collapsed="false">
      <c r="A236" s="16"/>
      <c r="B236" s="12"/>
      <c r="C236" s="17"/>
      <c r="D236" s="18"/>
      <c r="E236" s="13"/>
      <c r="F236" s="13"/>
      <c r="G236" s="12"/>
      <c r="H236" s="12"/>
      <c r="I236" s="19" t="str">
        <f aca="false">IF($B236="","",IFERROR(INDEX(Clients!$D$5:$D$204,MATCH($B236,Clients!$A$5:$A$204,0))&amp;"",""))</f>
        <v/>
      </c>
      <c r="J236" s="19" t="str">
        <f aca="false">IF($B236="","",IF($C236&lt;&gt;"",$C236,IFERROR(INDEX(Clients!$E$5:$E$204,MATCH($B236,Clients!$A$5:$A$204,0))&amp;"","")))</f>
        <v/>
      </c>
      <c r="K236" s="15" t="str">
        <f aca="false">IF($B236="","",IF($F236&lt;&gt;"",$F236,IFERROR(IF(AND(INDEX(Clients!$F$5:$F$204,MATCH($B236,Clients!$A$5:$A$204,0))&amp;""&lt;&gt;"",OR($C236="",$C236=INDEX(Clients!$E$5:$E$204,MATCH($B236,Clients!$A$5:$A$204,0)))),INDEX(Clients!$F$5:$F$204,MATCH($B236,Clients!$A$5:$A$204,0)),INDEX(Settings!$E$5:$E$19,MATCH($J236,Settings!$D$5:$D$19,0))),0)))</f>
        <v/>
      </c>
      <c r="L236" s="15" t="str">
        <f aca="false">IF($B236="","",$K236*IF($D236="",1,$D236)+$E236)</f>
        <v/>
      </c>
      <c r="M236" s="15" t="str">
        <f aca="false">IF($B236="","",ROUND($L236*Settings!$B$9,2))</f>
        <v/>
      </c>
      <c r="N236" s="15" t="str">
        <f aca="false">IF($B236="","",$L236+$M236)</f>
        <v/>
      </c>
      <c r="O236" s="19" t="str">
        <f aca="false">IF($Q236="","",Settings!$B$13&amp;TEXT(ROWS($A$5:$A236),"0000"))</f>
        <v/>
      </c>
      <c r="P236" s="19" t="str">
        <f aca="false">IF($O236="","",IFERROR(INDEX(Invoices!$I$5:$I$504,MATCH($O236,Invoices!$A$5:$A$504,0)),""))</f>
        <v/>
      </c>
      <c r="Q236" s="2" t="str">
        <f aca="false">IF(AND($A236&lt;&gt;"",$B236&lt;&gt;"",$G236="Completed"),COUNTIFS($A$5:$A236,"&lt;&gt;",$B$5:$B236,"&lt;&gt;",$G$5:$G236,"Completed"),"")</f>
        <v/>
      </c>
    </row>
    <row r="237" customFormat="false" ht="15" hidden="false" customHeight="false" outlineLevel="0" collapsed="false">
      <c r="A237" s="16"/>
      <c r="B237" s="12"/>
      <c r="C237" s="17"/>
      <c r="D237" s="18"/>
      <c r="E237" s="13"/>
      <c r="F237" s="13"/>
      <c r="G237" s="12"/>
      <c r="H237" s="12"/>
      <c r="I237" s="19" t="str">
        <f aca="false">IF($B237="","",IFERROR(INDEX(Clients!$D$5:$D$204,MATCH($B237,Clients!$A$5:$A$204,0))&amp;"",""))</f>
        <v/>
      </c>
      <c r="J237" s="19" t="str">
        <f aca="false">IF($B237="","",IF($C237&lt;&gt;"",$C237,IFERROR(INDEX(Clients!$E$5:$E$204,MATCH($B237,Clients!$A$5:$A$204,0))&amp;"","")))</f>
        <v/>
      </c>
      <c r="K237" s="15" t="str">
        <f aca="false">IF($B237="","",IF($F237&lt;&gt;"",$F237,IFERROR(IF(AND(INDEX(Clients!$F$5:$F$204,MATCH($B237,Clients!$A$5:$A$204,0))&amp;""&lt;&gt;"",OR($C237="",$C237=INDEX(Clients!$E$5:$E$204,MATCH($B237,Clients!$A$5:$A$204,0)))),INDEX(Clients!$F$5:$F$204,MATCH($B237,Clients!$A$5:$A$204,0)),INDEX(Settings!$E$5:$E$19,MATCH($J237,Settings!$D$5:$D$19,0))),0)))</f>
        <v/>
      </c>
      <c r="L237" s="15" t="str">
        <f aca="false">IF($B237="","",$K237*IF($D237="",1,$D237)+$E237)</f>
        <v/>
      </c>
      <c r="M237" s="15" t="str">
        <f aca="false">IF($B237="","",ROUND($L237*Settings!$B$9,2))</f>
        <v/>
      </c>
      <c r="N237" s="15" t="str">
        <f aca="false">IF($B237="","",$L237+$M237)</f>
        <v/>
      </c>
      <c r="O237" s="19" t="str">
        <f aca="false">IF($Q237="","",Settings!$B$13&amp;TEXT(ROWS($A$5:$A237),"0000"))</f>
        <v/>
      </c>
      <c r="P237" s="19" t="str">
        <f aca="false">IF($O237="","",IFERROR(INDEX(Invoices!$I$5:$I$504,MATCH($O237,Invoices!$A$5:$A$504,0)),""))</f>
        <v/>
      </c>
      <c r="Q237" s="2" t="str">
        <f aca="false">IF(AND($A237&lt;&gt;"",$B237&lt;&gt;"",$G237="Completed"),COUNTIFS($A$5:$A237,"&lt;&gt;",$B$5:$B237,"&lt;&gt;",$G$5:$G237,"Completed"),"")</f>
        <v/>
      </c>
    </row>
    <row r="238" customFormat="false" ht="15" hidden="false" customHeight="false" outlineLevel="0" collapsed="false">
      <c r="A238" s="16"/>
      <c r="B238" s="12"/>
      <c r="C238" s="17"/>
      <c r="D238" s="18"/>
      <c r="E238" s="13"/>
      <c r="F238" s="13"/>
      <c r="G238" s="12"/>
      <c r="H238" s="12"/>
      <c r="I238" s="19" t="str">
        <f aca="false">IF($B238="","",IFERROR(INDEX(Clients!$D$5:$D$204,MATCH($B238,Clients!$A$5:$A$204,0))&amp;"",""))</f>
        <v/>
      </c>
      <c r="J238" s="19" t="str">
        <f aca="false">IF($B238="","",IF($C238&lt;&gt;"",$C238,IFERROR(INDEX(Clients!$E$5:$E$204,MATCH($B238,Clients!$A$5:$A$204,0))&amp;"","")))</f>
        <v/>
      </c>
      <c r="K238" s="15" t="str">
        <f aca="false">IF($B238="","",IF($F238&lt;&gt;"",$F238,IFERROR(IF(AND(INDEX(Clients!$F$5:$F$204,MATCH($B238,Clients!$A$5:$A$204,0))&amp;""&lt;&gt;"",OR($C238="",$C238=INDEX(Clients!$E$5:$E$204,MATCH($B238,Clients!$A$5:$A$204,0)))),INDEX(Clients!$F$5:$F$204,MATCH($B238,Clients!$A$5:$A$204,0)),INDEX(Settings!$E$5:$E$19,MATCH($J238,Settings!$D$5:$D$19,0))),0)))</f>
        <v/>
      </c>
      <c r="L238" s="15" t="str">
        <f aca="false">IF($B238="","",$K238*IF($D238="",1,$D238)+$E238)</f>
        <v/>
      </c>
      <c r="M238" s="15" t="str">
        <f aca="false">IF($B238="","",ROUND($L238*Settings!$B$9,2))</f>
        <v/>
      </c>
      <c r="N238" s="15" t="str">
        <f aca="false">IF($B238="","",$L238+$M238)</f>
        <v/>
      </c>
      <c r="O238" s="19" t="str">
        <f aca="false">IF($Q238="","",Settings!$B$13&amp;TEXT(ROWS($A$5:$A238),"0000"))</f>
        <v/>
      </c>
      <c r="P238" s="19" t="str">
        <f aca="false">IF($O238="","",IFERROR(INDEX(Invoices!$I$5:$I$504,MATCH($O238,Invoices!$A$5:$A$504,0)),""))</f>
        <v/>
      </c>
      <c r="Q238" s="2" t="str">
        <f aca="false">IF(AND($A238&lt;&gt;"",$B238&lt;&gt;"",$G238="Completed"),COUNTIFS($A$5:$A238,"&lt;&gt;",$B$5:$B238,"&lt;&gt;",$G$5:$G238,"Completed"),"")</f>
        <v/>
      </c>
    </row>
    <row r="239" customFormat="false" ht="15" hidden="false" customHeight="false" outlineLevel="0" collapsed="false">
      <c r="A239" s="16"/>
      <c r="B239" s="12"/>
      <c r="C239" s="17"/>
      <c r="D239" s="18"/>
      <c r="E239" s="13"/>
      <c r="F239" s="13"/>
      <c r="G239" s="12"/>
      <c r="H239" s="12"/>
      <c r="I239" s="19" t="str">
        <f aca="false">IF($B239="","",IFERROR(INDEX(Clients!$D$5:$D$204,MATCH($B239,Clients!$A$5:$A$204,0))&amp;"",""))</f>
        <v/>
      </c>
      <c r="J239" s="19" t="str">
        <f aca="false">IF($B239="","",IF($C239&lt;&gt;"",$C239,IFERROR(INDEX(Clients!$E$5:$E$204,MATCH($B239,Clients!$A$5:$A$204,0))&amp;"","")))</f>
        <v/>
      </c>
      <c r="K239" s="15" t="str">
        <f aca="false">IF($B239="","",IF($F239&lt;&gt;"",$F239,IFERROR(IF(AND(INDEX(Clients!$F$5:$F$204,MATCH($B239,Clients!$A$5:$A$204,0))&amp;""&lt;&gt;"",OR($C239="",$C239=INDEX(Clients!$E$5:$E$204,MATCH($B239,Clients!$A$5:$A$204,0)))),INDEX(Clients!$F$5:$F$204,MATCH($B239,Clients!$A$5:$A$204,0)),INDEX(Settings!$E$5:$E$19,MATCH($J239,Settings!$D$5:$D$19,0))),0)))</f>
        <v/>
      </c>
      <c r="L239" s="15" t="str">
        <f aca="false">IF($B239="","",$K239*IF($D239="",1,$D239)+$E239)</f>
        <v/>
      </c>
      <c r="M239" s="15" t="str">
        <f aca="false">IF($B239="","",ROUND($L239*Settings!$B$9,2))</f>
        <v/>
      </c>
      <c r="N239" s="15" t="str">
        <f aca="false">IF($B239="","",$L239+$M239)</f>
        <v/>
      </c>
      <c r="O239" s="19" t="str">
        <f aca="false">IF($Q239="","",Settings!$B$13&amp;TEXT(ROWS($A$5:$A239),"0000"))</f>
        <v/>
      </c>
      <c r="P239" s="19" t="str">
        <f aca="false">IF($O239="","",IFERROR(INDEX(Invoices!$I$5:$I$504,MATCH($O239,Invoices!$A$5:$A$504,0)),""))</f>
        <v/>
      </c>
      <c r="Q239" s="2" t="str">
        <f aca="false">IF(AND($A239&lt;&gt;"",$B239&lt;&gt;"",$G239="Completed"),COUNTIFS($A$5:$A239,"&lt;&gt;",$B$5:$B239,"&lt;&gt;",$G$5:$G239,"Completed"),"")</f>
        <v/>
      </c>
    </row>
    <row r="240" customFormat="false" ht="15" hidden="false" customHeight="false" outlineLevel="0" collapsed="false">
      <c r="A240" s="16"/>
      <c r="B240" s="12"/>
      <c r="C240" s="17"/>
      <c r="D240" s="18"/>
      <c r="E240" s="13"/>
      <c r="F240" s="13"/>
      <c r="G240" s="12"/>
      <c r="H240" s="12"/>
      <c r="I240" s="19" t="str">
        <f aca="false">IF($B240="","",IFERROR(INDEX(Clients!$D$5:$D$204,MATCH($B240,Clients!$A$5:$A$204,0))&amp;"",""))</f>
        <v/>
      </c>
      <c r="J240" s="19" t="str">
        <f aca="false">IF($B240="","",IF($C240&lt;&gt;"",$C240,IFERROR(INDEX(Clients!$E$5:$E$204,MATCH($B240,Clients!$A$5:$A$204,0))&amp;"","")))</f>
        <v/>
      </c>
      <c r="K240" s="15" t="str">
        <f aca="false">IF($B240="","",IF($F240&lt;&gt;"",$F240,IFERROR(IF(AND(INDEX(Clients!$F$5:$F$204,MATCH($B240,Clients!$A$5:$A$204,0))&amp;""&lt;&gt;"",OR($C240="",$C240=INDEX(Clients!$E$5:$E$204,MATCH($B240,Clients!$A$5:$A$204,0)))),INDEX(Clients!$F$5:$F$204,MATCH($B240,Clients!$A$5:$A$204,0)),INDEX(Settings!$E$5:$E$19,MATCH($J240,Settings!$D$5:$D$19,0))),0)))</f>
        <v/>
      </c>
      <c r="L240" s="15" t="str">
        <f aca="false">IF($B240="","",$K240*IF($D240="",1,$D240)+$E240)</f>
        <v/>
      </c>
      <c r="M240" s="15" t="str">
        <f aca="false">IF($B240="","",ROUND($L240*Settings!$B$9,2))</f>
        <v/>
      </c>
      <c r="N240" s="15" t="str">
        <f aca="false">IF($B240="","",$L240+$M240)</f>
        <v/>
      </c>
      <c r="O240" s="19" t="str">
        <f aca="false">IF($Q240="","",Settings!$B$13&amp;TEXT(ROWS($A$5:$A240),"0000"))</f>
        <v/>
      </c>
      <c r="P240" s="19" t="str">
        <f aca="false">IF($O240="","",IFERROR(INDEX(Invoices!$I$5:$I$504,MATCH($O240,Invoices!$A$5:$A$504,0)),""))</f>
        <v/>
      </c>
      <c r="Q240" s="2" t="str">
        <f aca="false">IF(AND($A240&lt;&gt;"",$B240&lt;&gt;"",$G240="Completed"),COUNTIFS($A$5:$A240,"&lt;&gt;",$B$5:$B240,"&lt;&gt;",$G$5:$G240,"Completed"),"")</f>
        <v/>
      </c>
    </row>
    <row r="241" customFormat="false" ht="15" hidden="false" customHeight="false" outlineLevel="0" collapsed="false">
      <c r="A241" s="16"/>
      <c r="B241" s="12"/>
      <c r="C241" s="17"/>
      <c r="D241" s="18"/>
      <c r="E241" s="13"/>
      <c r="F241" s="13"/>
      <c r="G241" s="12"/>
      <c r="H241" s="12"/>
      <c r="I241" s="19" t="str">
        <f aca="false">IF($B241="","",IFERROR(INDEX(Clients!$D$5:$D$204,MATCH($B241,Clients!$A$5:$A$204,0))&amp;"",""))</f>
        <v/>
      </c>
      <c r="J241" s="19" t="str">
        <f aca="false">IF($B241="","",IF($C241&lt;&gt;"",$C241,IFERROR(INDEX(Clients!$E$5:$E$204,MATCH($B241,Clients!$A$5:$A$204,0))&amp;"","")))</f>
        <v/>
      </c>
      <c r="K241" s="15" t="str">
        <f aca="false">IF($B241="","",IF($F241&lt;&gt;"",$F241,IFERROR(IF(AND(INDEX(Clients!$F$5:$F$204,MATCH($B241,Clients!$A$5:$A$204,0))&amp;""&lt;&gt;"",OR($C241="",$C241=INDEX(Clients!$E$5:$E$204,MATCH($B241,Clients!$A$5:$A$204,0)))),INDEX(Clients!$F$5:$F$204,MATCH($B241,Clients!$A$5:$A$204,0)),INDEX(Settings!$E$5:$E$19,MATCH($J241,Settings!$D$5:$D$19,0))),0)))</f>
        <v/>
      </c>
      <c r="L241" s="15" t="str">
        <f aca="false">IF($B241="","",$K241*IF($D241="",1,$D241)+$E241)</f>
        <v/>
      </c>
      <c r="M241" s="15" t="str">
        <f aca="false">IF($B241="","",ROUND($L241*Settings!$B$9,2))</f>
        <v/>
      </c>
      <c r="N241" s="15" t="str">
        <f aca="false">IF($B241="","",$L241+$M241)</f>
        <v/>
      </c>
      <c r="O241" s="19" t="str">
        <f aca="false">IF($Q241="","",Settings!$B$13&amp;TEXT(ROWS($A$5:$A241),"0000"))</f>
        <v/>
      </c>
      <c r="P241" s="19" t="str">
        <f aca="false">IF($O241="","",IFERROR(INDEX(Invoices!$I$5:$I$504,MATCH($O241,Invoices!$A$5:$A$504,0)),""))</f>
        <v/>
      </c>
      <c r="Q241" s="2" t="str">
        <f aca="false">IF(AND($A241&lt;&gt;"",$B241&lt;&gt;"",$G241="Completed"),COUNTIFS($A$5:$A241,"&lt;&gt;",$B$5:$B241,"&lt;&gt;",$G$5:$G241,"Completed"),"")</f>
        <v/>
      </c>
    </row>
    <row r="242" customFormat="false" ht="15" hidden="false" customHeight="false" outlineLevel="0" collapsed="false">
      <c r="A242" s="16"/>
      <c r="B242" s="12"/>
      <c r="C242" s="17"/>
      <c r="D242" s="18"/>
      <c r="E242" s="13"/>
      <c r="F242" s="13"/>
      <c r="G242" s="12"/>
      <c r="H242" s="12"/>
      <c r="I242" s="19" t="str">
        <f aca="false">IF($B242="","",IFERROR(INDEX(Clients!$D$5:$D$204,MATCH($B242,Clients!$A$5:$A$204,0))&amp;"",""))</f>
        <v/>
      </c>
      <c r="J242" s="19" t="str">
        <f aca="false">IF($B242="","",IF($C242&lt;&gt;"",$C242,IFERROR(INDEX(Clients!$E$5:$E$204,MATCH($B242,Clients!$A$5:$A$204,0))&amp;"","")))</f>
        <v/>
      </c>
      <c r="K242" s="15" t="str">
        <f aca="false">IF($B242="","",IF($F242&lt;&gt;"",$F242,IFERROR(IF(AND(INDEX(Clients!$F$5:$F$204,MATCH($B242,Clients!$A$5:$A$204,0))&amp;""&lt;&gt;"",OR($C242="",$C242=INDEX(Clients!$E$5:$E$204,MATCH($B242,Clients!$A$5:$A$204,0)))),INDEX(Clients!$F$5:$F$204,MATCH($B242,Clients!$A$5:$A$204,0)),INDEX(Settings!$E$5:$E$19,MATCH($J242,Settings!$D$5:$D$19,0))),0)))</f>
        <v/>
      </c>
      <c r="L242" s="15" t="str">
        <f aca="false">IF($B242="","",$K242*IF($D242="",1,$D242)+$E242)</f>
        <v/>
      </c>
      <c r="M242" s="15" t="str">
        <f aca="false">IF($B242="","",ROUND($L242*Settings!$B$9,2))</f>
        <v/>
      </c>
      <c r="N242" s="15" t="str">
        <f aca="false">IF($B242="","",$L242+$M242)</f>
        <v/>
      </c>
      <c r="O242" s="19" t="str">
        <f aca="false">IF($Q242="","",Settings!$B$13&amp;TEXT(ROWS($A$5:$A242),"0000"))</f>
        <v/>
      </c>
      <c r="P242" s="19" t="str">
        <f aca="false">IF($O242="","",IFERROR(INDEX(Invoices!$I$5:$I$504,MATCH($O242,Invoices!$A$5:$A$504,0)),""))</f>
        <v/>
      </c>
      <c r="Q242" s="2" t="str">
        <f aca="false">IF(AND($A242&lt;&gt;"",$B242&lt;&gt;"",$G242="Completed"),COUNTIFS($A$5:$A242,"&lt;&gt;",$B$5:$B242,"&lt;&gt;",$G$5:$G242,"Completed"),"")</f>
        <v/>
      </c>
    </row>
    <row r="243" customFormat="false" ht="15" hidden="false" customHeight="false" outlineLevel="0" collapsed="false">
      <c r="A243" s="16"/>
      <c r="B243" s="12"/>
      <c r="C243" s="17"/>
      <c r="D243" s="18"/>
      <c r="E243" s="13"/>
      <c r="F243" s="13"/>
      <c r="G243" s="12"/>
      <c r="H243" s="12"/>
      <c r="I243" s="19" t="str">
        <f aca="false">IF($B243="","",IFERROR(INDEX(Clients!$D$5:$D$204,MATCH($B243,Clients!$A$5:$A$204,0))&amp;"",""))</f>
        <v/>
      </c>
      <c r="J243" s="19" t="str">
        <f aca="false">IF($B243="","",IF($C243&lt;&gt;"",$C243,IFERROR(INDEX(Clients!$E$5:$E$204,MATCH($B243,Clients!$A$5:$A$204,0))&amp;"","")))</f>
        <v/>
      </c>
      <c r="K243" s="15" t="str">
        <f aca="false">IF($B243="","",IF($F243&lt;&gt;"",$F243,IFERROR(IF(AND(INDEX(Clients!$F$5:$F$204,MATCH($B243,Clients!$A$5:$A$204,0))&amp;""&lt;&gt;"",OR($C243="",$C243=INDEX(Clients!$E$5:$E$204,MATCH($B243,Clients!$A$5:$A$204,0)))),INDEX(Clients!$F$5:$F$204,MATCH($B243,Clients!$A$5:$A$204,0)),INDEX(Settings!$E$5:$E$19,MATCH($J243,Settings!$D$5:$D$19,0))),0)))</f>
        <v/>
      </c>
      <c r="L243" s="15" t="str">
        <f aca="false">IF($B243="","",$K243*IF($D243="",1,$D243)+$E243)</f>
        <v/>
      </c>
      <c r="M243" s="15" t="str">
        <f aca="false">IF($B243="","",ROUND($L243*Settings!$B$9,2))</f>
        <v/>
      </c>
      <c r="N243" s="15" t="str">
        <f aca="false">IF($B243="","",$L243+$M243)</f>
        <v/>
      </c>
      <c r="O243" s="19" t="str">
        <f aca="false">IF($Q243="","",Settings!$B$13&amp;TEXT(ROWS($A$5:$A243),"0000"))</f>
        <v/>
      </c>
      <c r="P243" s="19" t="str">
        <f aca="false">IF($O243="","",IFERROR(INDEX(Invoices!$I$5:$I$504,MATCH($O243,Invoices!$A$5:$A$504,0)),""))</f>
        <v/>
      </c>
      <c r="Q243" s="2" t="str">
        <f aca="false">IF(AND($A243&lt;&gt;"",$B243&lt;&gt;"",$G243="Completed"),COUNTIFS($A$5:$A243,"&lt;&gt;",$B$5:$B243,"&lt;&gt;",$G$5:$G243,"Completed"),"")</f>
        <v/>
      </c>
    </row>
    <row r="244" customFormat="false" ht="15" hidden="false" customHeight="false" outlineLevel="0" collapsed="false">
      <c r="A244" s="16"/>
      <c r="B244" s="12"/>
      <c r="C244" s="17"/>
      <c r="D244" s="18"/>
      <c r="E244" s="13"/>
      <c r="F244" s="13"/>
      <c r="G244" s="12"/>
      <c r="H244" s="12"/>
      <c r="I244" s="19" t="str">
        <f aca="false">IF($B244="","",IFERROR(INDEX(Clients!$D$5:$D$204,MATCH($B244,Clients!$A$5:$A$204,0))&amp;"",""))</f>
        <v/>
      </c>
      <c r="J244" s="19" t="str">
        <f aca="false">IF($B244="","",IF($C244&lt;&gt;"",$C244,IFERROR(INDEX(Clients!$E$5:$E$204,MATCH($B244,Clients!$A$5:$A$204,0))&amp;"","")))</f>
        <v/>
      </c>
      <c r="K244" s="15" t="str">
        <f aca="false">IF($B244="","",IF($F244&lt;&gt;"",$F244,IFERROR(IF(AND(INDEX(Clients!$F$5:$F$204,MATCH($B244,Clients!$A$5:$A$204,0))&amp;""&lt;&gt;"",OR($C244="",$C244=INDEX(Clients!$E$5:$E$204,MATCH($B244,Clients!$A$5:$A$204,0)))),INDEX(Clients!$F$5:$F$204,MATCH($B244,Clients!$A$5:$A$204,0)),INDEX(Settings!$E$5:$E$19,MATCH($J244,Settings!$D$5:$D$19,0))),0)))</f>
        <v/>
      </c>
      <c r="L244" s="15" t="str">
        <f aca="false">IF($B244="","",$K244*IF($D244="",1,$D244)+$E244)</f>
        <v/>
      </c>
      <c r="M244" s="15" t="str">
        <f aca="false">IF($B244="","",ROUND($L244*Settings!$B$9,2))</f>
        <v/>
      </c>
      <c r="N244" s="15" t="str">
        <f aca="false">IF($B244="","",$L244+$M244)</f>
        <v/>
      </c>
      <c r="O244" s="19" t="str">
        <f aca="false">IF($Q244="","",Settings!$B$13&amp;TEXT(ROWS($A$5:$A244),"0000"))</f>
        <v/>
      </c>
      <c r="P244" s="19" t="str">
        <f aca="false">IF($O244="","",IFERROR(INDEX(Invoices!$I$5:$I$504,MATCH($O244,Invoices!$A$5:$A$504,0)),""))</f>
        <v/>
      </c>
      <c r="Q244" s="2" t="str">
        <f aca="false">IF(AND($A244&lt;&gt;"",$B244&lt;&gt;"",$G244="Completed"),COUNTIFS($A$5:$A244,"&lt;&gt;",$B$5:$B244,"&lt;&gt;",$G$5:$G244,"Completed"),"")</f>
        <v/>
      </c>
    </row>
    <row r="245" customFormat="false" ht="15" hidden="false" customHeight="false" outlineLevel="0" collapsed="false">
      <c r="A245" s="16"/>
      <c r="B245" s="12"/>
      <c r="C245" s="17"/>
      <c r="D245" s="18"/>
      <c r="E245" s="13"/>
      <c r="F245" s="13"/>
      <c r="G245" s="12"/>
      <c r="H245" s="12"/>
      <c r="I245" s="19" t="str">
        <f aca="false">IF($B245="","",IFERROR(INDEX(Clients!$D$5:$D$204,MATCH($B245,Clients!$A$5:$A$204,0))&amp;"",""))</f>
        <v/>
      </c>
      <c r="J245" s="19" t="str">
        <f aca="false">IF($B245="","",IF($C245&lt;&gt;"",$C245,IFERROR(INDEX(Clients!$E$5:$E$204,MATCH($B245,Clients!$A$5:$A$204,0))&amp;"","")))</f>
        <v/>
      </c>
      <c r="K245" s="15" t="str">
        <f aca="false">IF($B245="","",IF($F245&lt;&gt;"",$F245,IFERROR(IF(AND(INDEX(Clients!$F$5:$F$204,MATCH($B245,Clients!$A$5:$A$204,0))&amp;""&lt;&gt;"",OR($C245="",$C245=INDEX(Clients!$E$5:$E$204,MATCH($B245,Clients!$A$5:$A$204,0)))),INDEX(Clients!$F$5:$F$204,MATCH($B245,Clients!$A$5:$A$204,0)),INDEX(Settings!$E$5:$E$19,MATCH($J245,Settings!$D$5:$D$19,0))),0)))</f>
        <v/>
      </c>
      <c r="L245" s="15" t="str">
        <f aca="false">IF($B245="","",$K245*IF($D245="",1,$D245)+$E245)</f>
        <v/>
      </c>
      <c r="M245" s="15" t="str">
        <f aca="false">IF($B245="","",ROUND($L245*Settings!$B$9,2))</f>
        <v/>
      </c>
      <c r="N245" s="15" t="str">
        <f aca="false">IF($B245="","",$L245+$M245)</f>
        <v/>
      </c>
      <c r="O245" s="19" t="str">
        <f aca="false">IF($Q245="","",Settings!$B$13&amp;TEXT(ROWS($A$5:$A245),"0000"))</f>
        <v/>
      </c>
      <c r="P245" s="19" t="str">
        <f aca="false">IF($O245="","",IFERROR(INDEX(Invoices!$I$5:$I$504,MATCH($O245,Invoices!$A$5:$A$504,0)),""))</f>
        <v/>
      </c>
      <c r="Q245" s="2" t="str">
        <f aca="false">IF(AND($A245&lt;&gt;"",$B245&lt;&gt;"",$G245="Completed"),COUNTIFS($A$5:$A245,"&lt;&gt;",$B$5:$B245,"&lt;&gt;",$G$5:$G245,"Completed"),"")</f>
        <v/>
      </c>
    </row>
    <row r="246" customFormat="false" ht="15" hidden="false" customHeight="false" outlineLevel="0" collapsed="false">
      <c r="A246" s="16"/>
      <c r="B246" s="12"/>
      <c r="C246" s="17"/>
      <c r="D246" s="18"/>
      <c r="E246" s="13"/>
      <c r="F246" s="13"/>
      <c r="G246" s="12"/>
      <c r="H246" s="12"/>
      <c r="I246" s="19" t="str">
        <f aca="false">IF($B246="","",IFERROR(INDEX(Clients!$D$5:$D$204,MATCH($B246,Clients!$A$5:$A$204,0))&amp;"",""))</f>
        <v/>
      </c>
      <c r="J246" s="19" t="str">
        <f aca="false">IF($B246="","",IF($C246&lt;&gt;"",$C246,IFERROR(INDEX(Clients!$E$5:$E$204,MATCH($B246,Clients!$A$5:$A$204,0))&amp;"","")))</f>
        <v/>
      </c>
      <c r="K246" s="15" t="str">
        <f aca="false">IF($B246="","",IF($F246&lt;&gt;"",$F246,IFERROR(IF(AND(INDEX(Clients!$F$5:$F$204,MATCH($B246,Clients!$A$5:$A$204,0))&amp;""&lt;&gt;"",OR($C246="",$C246=INDEX(Clients!$E$5:$E$204,MATCH($B246,Clients!$A$5:$A$204,0)))),INDEX(Clients!$F$5:$F$204,MATCH($B246,Clients!$A$5:$A$204,0)),INDEX(Settings!$E$5:$E$19,MATCH($J246,Settings!$D$5:$D$19,0))),0)))</f>
        <v/>
      </c>
      <c r="L246" s="15" t="str">
        <f aca="false">IF($B246="","",$K246*IF($D246="",1,$D246)+$E246)</f>
        <v/>
      </c>
      <c r="M246" s="15" t="str">
        <f aca="false">IF($B246="","",ROUND($L246*Settings!$B$9,2))</f>
        <v/>
      </c>
      <c r="N246" s="15" t="str">
        <f aca="false">IF($B246="","",$L246+$M246)</f>
        <v/>
      </c>
      <c r="O246" s="19" t="str">
        <f aca="false">IF($Q246="","",Settings!$B$13&amp;TEXT(ROWS($A$5:$A246),"0000"))</f>
        <v/>
      </c>
      <c r="P246" s="19" t="str">
        <f aca="false">IF($O246="","",IFERROR(INDEX(Invoices!$I$5:$I$504,MATCH($O246,Invoices!$A$5:$A$504,0)),""))</f>
        <v/>
      </c>
      <c r="Q246" s="2" t="str">
        <f aca="false">IF(AND($A246&lt;&gt;"",$B246&lt;&gt;"",$G246="Completed"),COUNTIFS($A$5:$A246,"&lt;&gt;",$B$5:$B246,"&lt;&gt;",$G$5:$G246,"Completed"),"")</f>
        <v/>
      </c>
    </row>
    <row r="247" customFormat="false" ht="15" hidden="false" customHeight="false" outlineLevel="0" collapsed="false">
      <c r="A247" s="16"/>
      <c r="B247" s="12"/>
      <c r="C247" s="17"/>
      <c r="D247" s="18"/>
      <c r="E247" s="13"/>
      <c r="F247" s="13"/>
      <c r="G247" s="12"/>
      <c r="H247" s="12"/>
      <c r="I247" s="19" t="str">
        <f aca="false">IF($B247="","",IFERROR(INDEX(Clients!$D$5:$D$204,MATCH($B247,Clients!$A$5:$A$204,0))&amp;"",""))</f>
        <v/>
      </c>
      <c r="J247" s="19" t="str">
        <f aca="false">IF($B247="","",IF($C247&lt;&gt;"",$C247,IFERROR(INDEX(Clients!$E$5:$E$204,MATCH($B247,Clients!$A$5:$A$204,0))&amp;"","")))</f>
        <v/>
      </c>
      <c r="K247" s="15" t="str">
        <f aca="false">IF($B247="","",IF($F247&lt;&gt;"",$F247,IFERROR(IF(AND(INDEX(Clients!$F$5:$F$204,MATCH($B247,Clients!$A$5:$A$204,0))&amp;""&lt;&gt;"",OR($C247="",$C247=INDEX(Clients!$E$5:$E$204,MATCH($B247,Clients!$A$5:$A$204,0)))),INDEX(Clients!$F$5:$F$204,MATCH($B247,Clients!$A$5:$A$204,0)),INDEX(Settings!$E$5:$E$19,MATCH($J247,Settings!$D$5:$D$19,0))),0)))</f>
        <v/>
      </c>
      <c r="L247" s="15" t="str">
        <f aca="false">IF($B247="","",$K247*IF($D247="",1,$D247)+$E247)</f>
        <v/>
      </c>
      <c r="M247" s="15" t="str">
        <f aca="false">IF($B247="","",ROUND($L247*Settings!$B$9,2))</f>
        <v/>
      </c>
      <c r="N247" s="15" t="str">
        <f aca="false">IF($B247="","",$L247+$M247)</f>
        <v/>
      </c>
      <c r="O247" s="19" t="str">
        <f aca="false">IF($Q247="","",Settings!$B$13&amp;TEXT(ROWS($A$5:$A247),"0000"))</f>
        <v/>
      </c>
      <c r="P247" s="19" t="str">
        <f aca="false">IF($O247="","",IFERROR(INDEX(Invoices!$I$5:$I$504,MATCH($O247,Invoices!$A$5:$A$504,0)),""))</f>
        <v/>
      </c>
      <c r="Q247" s="2" t="str">
        <f aca="false">IF(AND($A247&lt;&gt;"",$B247&lt;&gt;"",$G247="Completed"),COUNTIFS($A$5:$A247,"&lt;&gt;",$B$5:$B247,"&lt;&gt;",$G$5:$G247,"Completed"),"")</f>
        <v/>
      </c>
    </row>
    <row r="248" customFormat="false" ht="15" hidden="false" customHeight="false" outlineLevel="0" collapsed="false">
      <c r="A248" s="16"/>
      <c r="B248" s="12"/>
      <c r="C248" s="17"/>
      <c r="D248" s="18"/>
      <c r="E248" s="13"/>
      <c r="F248" s="13"/>
      <c r="G248" s="12"/>
      <c r="H248" s="12"/>
      <c r="I248" s="19" t="str">
        <f aca="false">IF($B248="","",IFERROR(INDEX(Clients!$D$5:$D$204,MATCH($B248,Clients!$A$5:$A$204,0))&amp;"",""))</f>
        <v/>
      </c>
      <c r="J248" s="19" t="str">
        <f aca="false">IF($B248="","",IF($C248&lt;&gt;"",$C248,IFERROR(INDEX(Clients!$E$5:$E$204,MATCH($B248,Clients!$A$5:$A$204,0))&amp;"","")))</f>
        <v/>
      </c>
      <c r="K248" s="15" t="str">
        <f aca="false">IF($B248="","",IF($F248&lt;&gt;"",$F248,IFERROR(IF(AND(INDEX(Clients!$F$5:$F$204,MATCH($B248,Clients!$A$5:$A$204,0))&amp;""&lt;&gt;"",OR($C248="",$C248=INDEX(Clients!$E$5:$E$204,MATCH($B248,Clients!$A$5:$A$204,0)))),INDEX(Clients!$F$5:$F$204,MATCH($B248,Clients!$A$5:$A$204,0)),INDEX(Settings!$E$5:$E$19,MATCH($J248,Settings!$D$5:$D$19,0))),0)))</f>
        <v/>
      </c>
      <c r="L248" s="15" t="str">
        <f aca="false">IF($B248="","",$K248*IF($D248="",1,$D248)+$E248)</f>
        <v/>
      </c>
      <c r="M248" s="15" t="str">
        <f aca="false">IF($B248="","",ROUND($L248*Settings!$B$9,2))</f>
        <v/>
      </c>
      <c r="N248" s="15" t="str">
        <f aca="false">IF($B248="","",$L248+$M248)</f>
        <v/>
      </c>
      <c r="O248" s="19" t="str">
        <f aca="false">IF($Q248="","",Settings!$B$13&amp;TEXT(ROWS($A$5:$A248),"0000"))</f>
        <v/>
      </c>
      <c r="P248" s="19" t="str">
        <f aca="false">IF($O248="","",IFERROR(INDEX(Invoices!$I$5:$I$504,MATCH($O248,Invoices!$A$5:$A$504,0)),""))</f>
        <v/>
      </c>
      <c r="Q248" s="2" t="str">
        <f aca="false">IF(AND($A248&lt;&gt;"",$B248&lt;&gt;"",$G248="Completed"),COUNTIFS($A$5:$A248,"&lt;&gt;",$B$5:$B248,"&lt;&gt;",$G$5:$G248,"Completed"),"")</f>
        <v/>
      </c>
    </row>
    <row r="249" customFormat="false" ht="15" hidden="false" customHeight="false" outlineLevel="0" collapsed="false">
      <c r="A249" s="16"/>
      <c r="B249" s="12"/>
      <c r="C249" s="17"/>
      <c r="D249" s="18"/>
      <c r="E249" s="13"/>
      <c r="F249" s="13"/>
      <c r="G249" s="12"/>
      <c r="H249" s="12"/>
      <c r="I249" s="19" t="str">
        <f aca="false">IF($B249="","",IFERROR(INDEX(Clients!$D$5:$D$204,MATCH($B249,Clients!$A$5:$A$204,0))&amp;"",""))</f>
        <v/>
      </c>
      <c r="J249" s="19" t="str">
        <f aca="false">IF($B249="","",IF($C249&lt;&gt;"",$C249,IFERROR(INDEX(Clients!$E$5:$E$204,MATCH($B249,Clients!$A$5:$A$204,0))&amp;"","")))</f>
        <v/>
      </c>
      <c r="K249" s="15" t="str">
        <f aca="false">IF($B249="","",IF($F249&lt;&gt;"",$F249,IFERROR(IF(AND(INDEX(Clients!$F$5:$F$204,MATCH($B249,Clients!$A$5:$A$204,0))&amp;""&lt;&gt;"",OR($C249="",$C249=INDEX(Clients!$E$5:$E$204,MATCH($B249,Clients!$A$5:$A$204,0)))),INDEX(Clients!$F$5:$F$204,MATCH($B249,Clients!$A$5:$A$204,0)),INDEX(Settings!$E$5:$E$19,MATCH($J249,Settings!$D$5:$D$19,0))),0)))</f>
        <v/>
      </c>
      <c r="L249" s="15" t="str">
        <f aca="false">IF($B249="","",$K249*IF($D249="",1,$D249)+$E249)</f>
        <v/>
      </c>
      <c r="M249" s="15" t="str">
        <f aca="false">IF($B249="","",ROUND($L249*Settings!$B$9,2))</f>
        <v/>
      </c>
      <c r="N249" s="15" t="str">
        <f aca="false">IF($B249="","",$L249+$M249)</f>
        <v/>
      </c>
      <c r="O249" s="19" t="str">
        <f aca="false">IF($Q249="","",Settings!$B$13&amp;TEXT(ROWS($A$5:$A249),"0000"))</f>
        <v/>
      </c>
      <c r="P249" s="19" t="str">
        <f aca="false">IF($O249="","",IFERROR(INDEX(Invoices!$I$5:$I$504,MATCH($O249,Invoices!$A$5:$A$504,0)),""))</f>
        <v/>
      </c>
      <c r="Q249" s="2" t="str">
        <f aca="false">IF(AND($A249&lt;&gt;"",$B249&lt;&gt;"",$G249="Completed"),COUNTIFS($A$5:$A249,"&lt;&gt;",$B$5:$B249,"&lt;&gt;",$G$5:$G249,"Completed"),"")</f>
        <v/>
      </c>
    </row>
    <row r="250" customFormat="false" ht="15" hidden="false" customHeight="false" outlineLevel="0" collapsed="false">
      <c r="A250" s="16"/>
      <c r="B250" s="12"/>
      <c r="C250" s="17"/>
      <c r="D250" s="18"/>
      <c r="E250" s="13"/>
      <c r="F250" s="13"/>
      <c r="G250" s="12"/>
      <c r="H250" s="12"/>
      <c r="I250" s="19" t="str">
        <f aca="false">IF($B250="","",IFERROR(INDEX(Clients!$D$5:$D$204,MATCH($B250,Clients!$A$5:$A$204,0))&amp;"",""))</f>
        <v/>
      </c>
      <c r="J250" s="19" t="str">
        <f aca="false">IF($B250="","",IF($C250&lt;&gt;"",$C250,IFERROR(INDEX(Clients!$E$5:$E$204,MATCH($B250,Clients!$A$5:$A$204,0))&amp;"","")))</f>
        <v/>
      </c>
      <c r="K250" s="15" t="str">
        <f aca="false">IF($B250="","",IF($F250&lt;&gt;"",$F250,IFERROR(IF(AND(INDEX(Clients!$F$5:$F$204,MATCH($B250,Clients!$A$5:$A$204,0))&amp;""&lt;&gt;"",OR($C250="",$C250=INDEX(Clients!$E$5:$E$204,MATCH($B250,Clients!$A$5:$A$204,0)))),INDEX(Clients!$F$5:$F$204,MATCH($B250,Clients!$A$5:$A$204,0)),INDEX(Settings!$E$5:$E$19,MATCH($J250,Settings!$D$5:$D$19,0))),0)))</f>
        <v/>
      </c>
      <c r="L250" s="15" t="str">
        <f aca="false">IF($B250="","",$K250*IF($D250="",1,$D250)+$E250)</f>
        <v/>
      </c>
      <c r="M250" s="15" t="str">
        <f aca="false">IF($B250="","",ROUND($L250*Settings!$B$9,2))</f>
        <v/>
      </c>
      <c r="N250" s="15" t="str">
        <f aca="false">IF($B250="","",$L250+$M250)</f>
        <v/>
      </c>
      <c r="O250" s="19" t="str">
        <f aca="false">IF($Q250="","",Settings!$B$13&amp;TEXT(ROWS($A$5:$A250),"0000"))</f>
        <v/>
      </c>
      <c r="P250" s="19" t="str">
        <f aca="false">IF($O250="","",IFERROR(INDEX(Invoices!$I$5:$I$504,MATCH($O250,Invoices!$A$5:$A$504,0)),""))</f>
        <v/>
      </c>
      <c r="Q250" s="2" t="str">
        <f aca="false">IF(AND($A250&lt;&gt;"",$B250&lt;&gt;"",$G250="Completed"),COUNTIFS($A$5:$A250,"&lt;&gt;",$B$5:$B250,"&lt;&gt;",$G$5:$G250,"Completed"),"")</f>
        <v/>
      </c>
    </row>
    <row r="251" customFormat="false" ht="15" hidden="false" customHeight="false" outlineLevel="0" collapsed="false">
      <c r="A251" s="16"/>
      <c r="B251" s="12"/>
      <c r="C251" s="17"/>
      <c r="D251" s="18"/>
      <c r="E251" s="13"/>
      <c r="F251" s="13"/>
      <c r="G251" s="12"/>
      <c r="H251" s="12"/>
      <c r="I251" s="19" t="str">
        <f aca="false">IF($B251="","",IFERROR(INDEX(Clients!$D$5:$D$204,MATCH($B251,Clients!$A$5:$A$204,0))&amp;"",""))</f>
        <v/>
      </c>
      <c r="J251" s="19" t="str">
        <f aca="false">IF($B251="","",IF($C251&lt;&gt;"",$C251,IFERROR(INDEX(Clients!$E$5:$E$204,MATCH($B251,Clients!$A$5:$A$204,0))&amp;"","")))</f>
        <v/>
      </c>
      <c r="K251" s="15" t="str">
        <f aca="false">IF($B251="","",IF($F251&lt;&gt;"",$F251,IFERROR(IF(AND(INDEX(Clients!$F$5:$F$204,MATCH($B251,Clients!$A$5:$A$204,0))&amp;""&lt;&gt;"",OR($C251="",$C251=INDEX(Clients!$E$5:$E$204,MATCH($B251,Clients!$A$5:$A$204,0)))),INDEX(Clients!$F$5:$F$204,MATCH($B251,Clients!$A$5:$A$204,0)),INDEX(Settings!$E$5:$E$19,MATCH($J251,Settings!$D$5:$D$19,0))),0)))</f>
        <v/>
      </c>
      <c r="L251" s="15" t="str">
        <f aca="false">IF($B251="","",$K251*IF($D251="",1,$D251)+$E251)</f>
        <v/>
      </c>
      <c r="M251" s="15" t="str">
        <f aca="false">IF($B251="","",ROUND($L251*Settings!$B$9,2))</f>
        <v/>
      </c>
      <c r="N251" s="15" t="str">
        <f aca="false">IF($B251="","",$L251+$M251)</f>
        <v/>
      </c>
      <c r="O251" s="19" t="str">
        <f aca="false">IF($Q251="","",Settings!$B$13&amp;TEXT(ROWS($A$5:$A251),"0000"))</f>
        <v/>
      </c>
      <c r="P251" s="19" t="str">
        <f aca="false">IF($O251="","",IFERROR(INDEX(Invoices!$I$5:$I$504,MATCH($O251,Invoices!$A$5:$A$504,0)),""))</f>
        <v/>
      </c>
      <c r="Q251" s="2" t="str">
        <f aca="false">IF(AND($A251&lt;&gt;"",$B251&lt;&gt;"",$G251="Completed"),COUNTIFS($A$5:$A251,"&lt;&gt;",$B$5:$B251,"&lt;&gt;",$G$5:$G251,"Completed"),"")</f>
        <v/>
      </c>
    </row>
    <row r="252" customFormat="false" ht="15" hidden="false" customHeight="false" outlineLevel="0" collapsed="false">
      <c r="A252" s="16"/>
      <c r="B252" s="12"/>
      <c r="C252" s="17"/>
      <c r="D252" s="18"/>
      <c r="E252" s="13"/>
      <c r="F252" s="13"/>
      <c r="G252" s="12"/>
      <c r="H252" s="12"/>
      <c r="I252" s="19" t="str">
        <f aca="false">IF($B252="","",IFERROR(INDEX(Clients!$D$5:$D$204,MATCH($B252,Clients!$A$5:$A$204,0))&amp;"",""))</f>
        <v/>
      </c>
      <c r="J252" s="19" t="str">
        <f aca="false">IF($B252="","",IF($C252&lt;&gt;"",$C252,IFERROR(INDEX(Clients!$E$5:$E$204,MATCH($B252,Clients!$A$5:$A$204,0))&amp;"","")))</f>
        <v/>
      </c>
      <c r="K252" s="15" t="str">
        <f aca="false">IF($B252="","",IF($F252&lt;&gt;"",$F252,IFERROR(IF(AND(INDEX(Clients!$F$5:$F$204,MATCH($B252,Clients!$A$5:$A$204,0))&amp;""&lt;&gt;"",OR($C252="",$C252=INDEX(Clients!$E$5:$E$204,MATCH($B252,Clients!$A$5:$A$204,0)))),INDEX(Clients!$F$5:$F$204,MATCH($B252,Clients!$A$5:$A$204,0)),INDEX(Settings!$E$5:$E$19,MATCH($J252,Settings!$D$5:$D$19,0))),0)))</f>
        <v/>
      </c>
      <c r="L252" s="15" t="str">
        <f aca="false">IF($B252="","",$K252*IF($D252="",1,$D252)+$E252)</f>
        <v/>
      </c>
      <c r="M252" s="15" t="str">
        <f aca="false">IF($B252="","",ROUND($L252*Settings!$B$9,2))</f>
        <v/>
      </c>
      <c r="N252" s="15" t="str">
        <f aca="false">IF($B252="","",$L252+$M252)</f>
        <v/>
      </c>
      <c r="O252" s="19" t="str">
        <f aca="false">IF($Q252="","",Settings!$B$13&amp;TEXT(ROWS($A$5:$A252),"0000"))</f>
        <v/>
      </c>
      <c r="P252" s="19" t="str">
        <f aca="false">IF($O252="","",IFERROR(INDEX(Invoices!$I$5:$I$504,MATCH($O252,Invoices!$A$5:$A$504,0)),""))</f>
        <v/>
      </c>
      <c r="Q252" s="2" t="str">
        <f aca="false">IF(AND($A252&lt;&gt;"",$B252&lt;&gt;"",$G252="Completed"),COUNTIFS($A$5:$A252,"&lt;&gt;",$B$5:$B252,"&lt;&gt;",$G$5:$G252,"Completed"),"")</f>
        <v/>
      </c>
    </row>
    <row r="253" customFormat="false" ht="15" hidden="false" customHeight="false" outlineLevel="0" collapsed="false">
      <c r="A253" s="16"/>
      <c r="B253" s="12"/>
      <c r="C253" s="17"/>
      <c r="D253" s="18"/>
      <c r="E253" s="13"/>
      <c r="F253" s="13"/>
      <c r="G253" s="12"/>
      <c r="H253" s="12"/>
      <c r="I253" s="19" t="str">
        <f aca="false">IF($B253="","",IFERROR(INDEX(Clients!$D$5:$D$204,MATCH($B253,Clients!$A$5:$A$204,0))&amp;"",""))</f>
        <v/>
      </c>
      <c r="J253" s="19" t="str">
        <f aca="false">IF($B253="","",IF($C253&lt;&gt;"",$C253,IFERROR(INDEX(Clients!$E$5:$E$204,MATCH($B253,Clients!$A$5:$A$204,0))&amp;"","")))</f>
        <v/>
      </c>
      <c r="K253" s="15" t="str">
        <f aca="false">IF($B253="","",IF($F253&lt;&gt;"",$F253,IFERROR(IF(AND(INDEX(Clients!$F$5:$F$204,MATCH($B253,Clients!$A$5:$A$204,0))&amp;""&lt;&gt;"",OR($C253="",$C253=INDEX(Clients!$E$5:$E$204,MATCH($B253,Clients!$A$5:$A$204,0)))),INDEX(Clients!$F$5:$F$204,MATCH($B253,Clients!$A$5:$A$204,0)),INDEX(Settings!$E$5:$E$19,MATCH($J253,Settings!$D$5:$D$19,0))),0)))</f>
        <v/>
      </c>
      <c r="L253" s="15" t="str">
        <f aca="false">IF($B253="","",$K253*IF($D253="",1,$D253)+$E253)</f>
        <v/>
      </c>
      <c r="M253" s="15" t="str">
        <f aca="false">IF($B253="","",ROUND($L253*Settings!$B$9,2))</f>
        <v/>
      </c>
      <c r="N253" s="15" t="str">
        <f aca="false">IF($B253="","",$L253+$M253)</f>
        <v/>
      </c>
      <c r="O253" s="19" t="str">
        <f aca="false">IF($Q253="","",Settings!$B$13&amp;TEXT(ROWS($A$5:$A253),"0000"))</f>
        <v/>
      </c>
      <c r="P253" s="19" t="str">
        <f aca="false">IF($O253="","",IFERROR(INDEX(Invoices!$I$5:$I$504,MATCH($O253,Invoices!$A$5:$A$504,0)),""))</f>
        <v/>
      </c>
      <c r="Q253" s="2" t="str">
        <f aca="false">IF(AND($A253&lt;&gt;"",$B253&lt;&gt;"",$G253="Completed"),COUNTIFS($A$5:$A253,"&lt;&gt;",$B$5:$B253,"&lt;&gt;",$G$5:$G253,"Completed"),"")</f>
        <v/>
      </c>
    </row>
    <row r="254" customFormat="false" ht="15" hidden="false" customHeight="false" outlineLevel="0" collapsed="false">
      <c r="A254" s="16"/>
      <c r="B254" s="12"/>
      <c r="C254" s="17"/>
      <c r="D254" s="18"/>
      <c r="E254" s="13"/>
      <c r="F254" s="13"/>
      <c r="G254" s="12"/>
      <c r="H254" s="12"/>
      <c r="I254" s="19" t="str">
        <f aca="false">IF($B254="","",IFERROR(INDEX(Clients!$D$5:$D$204,MATCH($B254,Clients!$A$5:$A$204,0))&amp;"",""))</f>
        <v/>
      </c>
      <c r="J254" s="19" t="str">
        <f aca="false">IF($B254="","",IF($C254&lt;&gt;"",$C254,IFERROR(INDEX(Clients!$E$5:$E$204,MATCH($B254,Clients!$A$5:$A$204,0))&amp;"","")))</f>
        <v/>
      </c>
      <c r="K254" s="15" t="str">
        <f aca="false">IF($B254="","",IF($F254&lt;&gt;"",$F254,IFERROR(IF(AND(INDEX(Clients!$F$5:$F$204,MATCH($B254,Clients!$A$5:$A$204,0))&amp;""&lt;&gt;"",OR($C254="",$C254=INDEX(Clients!$E$5:$E$204,MATCH($B254,Clients!$A$5:$A$204,0)))),INDEX(Clients!$F$5:$F$204,MATCH($B254,Clients!$A$5:$A$204,0)),INDEX(Settings!$E$5:$E$19,MATCH($J254,Settings!$D$5:$D$19,0))),0)))</f>
        <v/>
      </c>
      <c r="L254" s="15" t="str">
        <f aca="false">IF($B254="","",$K254*IF($D254="",1,$D254)+$E254)</f>
        <v/>
      </c>
      <c r="M254" s="15" t="str">
        <f aca="false">IF($B254="","",ROUND($L254*Settings!$B$9,2))</f>
        <v/>
      </c>
      <c r="N254" s="15" t="str">
        <f aca="false">IF($B254="","",$L254+$M254)</f>
        <v/>
      </c>
      <c r="O254" s="19" t="str">
        <f aca="false">IF($Q254="","",Settings!$B$13&amp;TEXT(ROWS($A$5:$A254),"0000"))</f>
        <v/>
      </c>
      <c r="P254" s="19" t="str">
        <f aca="false">IF($O254="","",IFERROR(INDEX(Invoices!$I$5:$I$504,MATCH($O254,Invoices!$A$5:$A$504,0)),""))</f>
        <v/>
      </c>
      <c r="Q254" s="2" t="str">
        <f aca="false">IF(AND($A254&lt;&gt;"",$B254&lt;&gt;"",$G254="Completed"),COUNTIFS($A$5:$A254,"&lt;&gt;",$B$5:$B254,"&lt;&gt;",$G$5:$G254,"Completed"),"")</f>
        <v/>
      </c>
    </row>
    <row r="255" customFormat="false" ht="15" hidden="false" customHeight="false" outlineLevel="0" collapsed="false">
      <c r="A255" s="16"/>
      <c r="B255" s="12"/>
      <c r="C255" s="17"/>
      <c r="D255" s="18"/>
      <c r="E255" s="13"/>
      <c r="F255" s="13"/>
      <c r="G255" s="12"/>
      <c r="H255" s="12"/>
      <c r="I255" s="19" t="str">
        <f aca="false">IF($B255="","",IFERROR(INDEX(Clients!$D$5:$D$204,MATCH($B255,Clients!$A$5:$A$204,0))&amp;"",""))</f>
        <v/>
      </c>
      <c r="J255" s="19" t="str">
        <f aca="false">IF($B255="","",IF($C255&lt;&gt;"",$C255,IFERROR(INDEX(Clients!$E$5:$E$204,MATCH($B255,Clients!$A$5:$A$204,0))&amp;"","")))</f>
        <v/>
      </c>
      <c r="K255" s="15" t="str">
        <f aca="false">IF($B255="","",IF($F255&lt;&gt;"",$F255,IFERROR(IF(AND(INDEX(Clients!$F$5:$F$204,MATCH($B255,Clients!$A$5:$A$204,0))&amp;""&lt;&gt;"",OR($C255="",$C255=INDEX(Clients!$E$5:$E$204,MATCH($B255,Clients!$A$5:$A$204,0)))),INDEX(Clients!$F$5:$F$204,MATCH($B255,Clients!$A$5:$A$204,0)),INDEX(Settings!$E$5:$E$19,MATCH($J255,Settings!$D$5:$D$19,0))),0)))</f>
        <v/>
      </c>
      <c r="L255" s="15" t="str">
        <f aca="false">IF($B255="","",$K255*IF($D255="",1,$D255)+$E255)</f>
        <v/>
      </c>
      <c r="M255" s="15" t="str">
        <f aca="false">IF($B255="","",ROUND($L255*Settings!$B$9,2))</f>
        <v/>
      </c>
      <c r="N255" s="15" t="str">
        <f aca="false">IF($B255="","",$L255+$M255)</f>
        <v/>
      </c>
      <c r="O255" s="19" t="str">
        <f aca="false">IF($Q255="","",Settings!$B$13&amp;TEXT(ROWS($A$5:$A255),"0000"))</f>
        <v/>
      </c>
      <c r="P255" s="19" t="str">
        <f aca="false">IF($O255="","",IFERROR(INDEX(Invoices!$I$5:$I$504,MATCH($O255,Invoices!$A$5:$A$504,0)),""))</f>
        <v/>
      </c>
      <c r="Q255" s="2" t="str">
        <f aca="false">IF(AND($A255&lt;&gt;"",$B255&lt;&gt;"",$G255="Completed"),COUNTIFS($A$5:$A255,"&lt;&gt;",$B$5:$B255,"&lt;&gt;",$G$5:$G255,"Completed"),"")</f>
        <v/>
      </c>
    </row>
    <row r="256" customFormat="false" ht="15" hidden="false" customHeight="false" outlineLevel="0" collapsed="false">
      <c r="A256" s="16"/>
      <c r="B256" s="12"/>
      <c r="C256" s="17"/>
      <c r="D256" s="18"/>
      <c r="E256" s="13"/>
      <c r="F256" s="13"/>
      <c r="G256" s="12"/>
      <c r="H256" s="12"/>
      <c r="I256" s="19" t="str">
        <f aca="false">IF($B256="","",IFERROR(INDEX(Clients!$D$5:$D$204,MATCH($B256,Clients!$A$5:$A$204,0))&amp;"",""))</f>
        <v/>
      </c>
      <c r="J256" s="19" t="str">
        <f aca="false">IF($B256="","",IF($C256&lt;&gt;"",$C256,IFERROR(INDEX(Clients!$E$5:$E$204,MATCH($B256,Clients!$A$5:$A$204,0))&amp;"","")))</f>
        <v/>
      </c>
      <c r="K256" s="15" t="str">
        <f aca="false">IF($B256="","",IF($F256&lt;&gt;"",$F256,IFERROR(IF(AND(INDEX(Clients!$F$5:$F$204,MATCH($B256,Clients!$A$5:$A$204,0))&amp;""&lt;&gt;"",OR($C256="",$C256=INDEX(Clients!$E$5:$E$204,MATCH($B256,Clients!$A$5:$A$204,0)))),INDEX(Clients!$F$5:$F$204,MATCH($B256,Clients!$A$5:$A$204,0)),INDEX(Settings!$E$5:$E$19,MATCH($J256,Settings!$D$5:$D$19,0))),0)))</f>
        <v/>
      </c>
      <c r="L256" s="15" t="str">
        <f aca="false">IF($B256="","",$K256*IF($D256="",1,$D256)+$E256)</f>
        <v/>
      </c>
      <c r="M256" s="15" t="str">
        <f aca="false">IF($B256="","",ROUND($L256*Settings!$B$9,2))</f>
        <v/>
      </c>
      <c r="N256" s="15" t="str">
        <f aca="false">IF($B256="","",$L256+$M256)</f>
        <v/>
      </c>
      <c r="O256" s="19" t="str">
        <f aca="false">IF($Q256="","",Settings!$B$13&amp;TEXT(ROWS($A$5:$A256),"0000"))</f>
        <v/>
      </c>
      <c r="P256" s="19" t="str">
        <f aca="false">IF($O256="","",IFERROR(INDEX(Invoices!$I$5:$I$504,MATCH($O256,Invoices!$A$5:$A$504,0)),""))</f>
        <v/>
      </c>
      <c r="Q256" s="2" t="str">
        <f aca="false">IF(AND($A256&lt;&gt;"",$B256&lt;&gt;"",$G256="Completed"),COUNTIFS($A$5:$A256,"&lt;&gt;",$B$5:$B256,"&lt;&gt;",$G$5:$G256,"Completed"),"")</f>
        <v/>
      </c>
    </row>
    <row r="257" customFormat="false" ht="15" hidden="false" customHeight="false" outlineLevel="0" collapsed="false">
      <c r="A257" s="16"/>
      <c r="B257" s="12"/>
      <c r="C257" s="17"/>
      <c r="D257" s="18"/>
      <c r="E257" s="13"/>
      <c r="F257" s="13"/>
      <c r="G257" s="12"/>
      <c r="H257" s="12"/>
      <c r="I257" s="19" t="str">
        <f aca="false">IF($B257="","",IFERROR(INDEX(Clients!$D$5:$D$204,MATCH($B257,Clients!$A$5:$A$204,0))&amp;"",""))</f>
        <v/>
      </c>
      <c r="J257" s="19" t="str">
        <f aca="false">IF($B257="","",IF($C257&lt;&gt;"",$C257,IFERROR(INDEX(Clients!$E$5:$E$204,MATCH($B257,Clients!$A$5:$A$204,0))&amp;"","")))</f>
        <v/>
      </c>
      <c r="K257" s="15" t="str">
        <f aca="false">IF($B257="","",IF($F257&lt;&gt;"",$F257,IFERROR(IF(AND(INDEX(Clients!$F$5:$F$204,MATCH($B257,Clients!$A$5:$A$204,0))&amp;""&lt;&gt;"",OR($C257="",$C257=INDEX(Clients!$E$5:$E$204,MATCH($B257,Clients!$A$5:$A$204,0)))),INDEX(Clients!$F$5:$F$204,MATCH($B257,Clients!$A$5:$A$204,0)),INDEX(Settings!$E$5:$E$19,MATCH($J257,Settings!$D$5:$D$19,0))),0)))</f>
        <v/>
      </c>
      <c r="L257" s="15" t="str">
        <f aca="false">IF($B257="","",$K257*IF($D257="",1,$D257)+$E257)</f>
        <v/>
      </c>
      <c r="M257" s="15" t="str">
        <f aca="false">IF($B257="","",ROUND($L257*Settings!$B$9,2))</f>
        <v/>
      </c>
      <c r="N257" s="15" t="str">
        <f aca="false">IF($B257="","",$L257+$M257)</f>
        <v/>
      </c>
      <c r="O257" s="19" t="str">
        <f aca="false">IF($Q257="","",Settings!$B$13&amp;TEXT(ROWS($A$5:$A257),"0000"))</f>
        <v/>
      </c>
      <c r="P257" s="19" t="str">
        <f aca="false">IF($O257="","",IFERROR(INDEX(Invoices!$I$5:$I$504,MATCH($O257,Invoices!$A$5:$A$504,0)),""))</f>
        <v/>
      </c>
      <c r="Q257" s="2" t="str">
        <f aca="false">IF(AND($A257&lt;&gt;"",$B257&lt;&gt;"",$G257="Completed"),COUNTIFS($A$5:$A257,"&lt;&gt;",$B$5:$B257,"&lt;&gt;",$G$5:$G257,"Completed"),"")</f>
        <v/>
      </c>
    </row>
    <row r="258" customFormat="false" ht="15" hidden="false" customHeight="false" outlineLevel="0" collapsed="false">
      <c r="A258" s="16"/>
      <c r="B258" s="12"/>
      <c r="C258" s="17"/>
      <c r="D258" s="18"/>
      <c r="E258" s="13"/>
      <c r="F258" s="13"/>
      <c r="G258" s="12"/>
      <c r="H258" s="12"/>
      <c r="I258" s="19" t="str">
        <f aca="false">IF($B258="","",IFERROR(INDEX(Clients!$D$5:$D$204,MATCH($B258,Clients!$A$5:$A$204,0))&amp;"",""))</f>
        <v/>
      </c>
      <c r="J258" s="19" t="str">
        <f aca="false">IF($B258="","",IF($C258&lt;&gt;"",$C258,IFERROR(INDEX(Clients!$E$5:$E$204,MATCH($B258,Clients!$A$5:$A$204,0))&amp;"","")))</f>
        <v/>
      </c>
      <c r="K258" s="15" t="str">
        <f aca="false">IF($B258="","",IF($F258&lt;&gt;"",$F258,IFERROR(IF(AND(INDEX(Clients!$F$5:$F$204,MATCH($B258,Clients!$A$5:$A$204,0))&amp;""&lt;&gt;"",OR($C258="",$C258=INDEX(Clients!$E$5:$E$204,MATCH($B258,Clients!$A$5:$A$204,0)))),INDEX(Clients!$F$5:$F$204,MATCH($B258,Clients!$A$5:$A$204,0)),INDEX(Settings!$E$5:$E$19,MATCH($J258,Settings!$D$5:$D$19,0))),0)))</f>
        <v/>
      </c>
      <c r="L258" s="15" t="str">
        <f aca="false">IF($B258="","",$K258*IF($D258="",1,$D258)+$E258)</f>
        <v/>
      </c>
      <c r="M258" s="15" t="str">
        <f aca="false">IF($B258="","",ROUND($L258*Settings!$B$9,2))</f>
        <v/>
      </c>
      <c r="N258" s="15" t="str">
        <f aca="false">IF($B258="","",$L258+$M258)</f>
        <v/>
      </c>
      <c r="O258" s="19" t="str">
        <f aca="false">IF($Q258="","",Settings!$B$13&amp;TEXT(ROWS($A$5:$A258),"0000"))</f>
        <v/>
      </c>
      <c r="P258" s="19" t="str">
        <f aca="false">IF($O258="","",IFERROR(INDEX(Invoices!$I$5:$I$504,MATCH($O258,Invoices!$A$5:$A$504,0)),""))</f>
        <v/>
      </c>
      <c r="Q258" s="2" t="str">
        <f aca="false">IF(AND($A258&lt;&gt;"",$B258&lt;&gt;"",$G258="Completed"),COUNTIFS($A$5:$A258,"&lt;&gt;",$B$5:$B258,"&lt;&gt;",$G$5:$G258,"Completed"),"")</f>
        <v/>
      </c>
    </row>
    <row r="259" customFormat="false" ht="15" hidden="false" customHeight="false" outlineLevel="0" collapsed="false">
      <c r="A259" s="16"/>
      <c r="B259" s="12"/>
      <c r="C259" s="17"/>
      <c r="D259" s="18"/>
      <c r="E259" s="13"/>
      <c r="F259" s="13"/>
      <c r="G259" s="12"/>
      <c r="H259" s="12"/>
      <c r="I259" s="19" t="str">
        <f aca="false">IF($B259="","",IFERROR(INDEX(Clients!$D$5:$D$204,MATCH($B259,Clients!$A$5:$A$204,0))&amp;"",""))</f>
        <v/>
      </c>
      <c r="J259" s="19" t="str">
        <f aca="false">IF($B259="","",IF($C259&lt;&gt;"",$C259,IFERROR(INDEX(Clients!$E$5:$E$204,MATCH($B259,Clients!$A$5:$A$204,0))&amp;"","")))</f>
        <v/>
      </c>
      <c r="K259" s="15" t="str">
        <f aca="false">IF($B259="","",IF($F259&lt;&gt;"",$F259,IFERROR(IF(AND(INDEX(Clients!$F$5:$F$204,MATCH($B259,Clients!$A$5:$A$204,0))&amp;""&lt;&gt;"",OR($C259="",$C259=INDEX(Clients!$E$5:$E$204,MATCH($B259,Clients!$A$5:$A$204,0)))),INDEX(Clients!$F$5:$F$204,MATCH($B259,Clients!$A$5:$A$204,0)),INDEX(Settings!$E$5:$E$19,MATCH($J259,Settings!$D$5:$D$19,0))),0)))</f>
        <v/>
      </c>
      <c r="L259" s="15" t="str">
        <f aca="false">IF($B259="","",$K259*IF($D259="",1,$D259)+$E259)</f>
        <v/>
      </c>
      <c r="M259" s="15" t="str">
        <f aca="false">IF($B259="","",ROUND($L259*Settings!$B$9,2))</f>
        <v/>
      </c>
      <c r="N259" s="15" t="str">
        <f aca="false">IF($B259="","",$L259+$M259)</f>
        <v/>
      </c>
      <c r="O259" s="19" t="str">
        <f aca="false">IF($Q259="","",Settings!$B$13&amp;TEXT(ROWS($A$5:$A259),"0000"))</f>
        <v/>
      </c>
      <c r="P259" s="19" t="str">
        <f aca="false">IF($O259="","",IFERROR(INDEX(Invoices!$I$5:$I$504,MATCH($O259,Invoices!$A$5:$A$504,0)),""))</f>
        <v/>
      </c>
      <c r="Q259" s="2" t="str">
        <f aca="false">IF(AND($A259&lt;&gt;"",$B259&lt;&gt;"",$G259="Completed"),COUNTIFS($A$5:$A259,"&lt;&gt;",$B$5:$B259,"&lt;&gt;",$G$5:$G259,"Completed"),"")</f>
        <v/>
      </c>
    </row>
    <row r="260" customFormat="false" ht="15" hidden="false" customHeight="false" outlineLevel="0" collapsed="false">
      <c r="A260" s="16"/>
      <c r="B260" s="12"/>
      <c r="C260" s="17"/>
      <c r="D260" s="18"/>
      <c r="E260" s="13"/>
      <c r="F260" s="13"/>
      <c r="G260" s="12"/>
      <c r="H260" s="12"/>
      <c r="I260" s="19" t="str">
        <f aca="false">IF($B260="","",IFERROR(INDEX(Clients!$D$5:$D$204,MATCH($B260,Clients!$A$5:$A$204,0))&amp;"",""))</f>
        <v/>
      </c>
      <c r="J260" s="19" t="str">
        <f aca="false">IF($B260="","",IF($C260&lt;&gt;"",$C260,IFERROR(INDEX(Clients!$E$5:$E$204,MATCH($B260,Clients!$A$5:$A$204,0))&amp;"","")))</f>
        <v/>
      </c>
      <c r="K260" s="15" t="str">
        <f aca="false">IF($B260="","",IF($F260&lt;&gt;"",$F260,IFERROR(IF(AND(INDEX(Clients!$F$5:$F$204,MATCH($B260,Clients!$A$5:$A$204,0))&amp;""&lt;&gt;"",OR($C260="",$C260=INDEX(Clients!$E$5:$E$204,MATCH($B260,Clients!$A$5:$A$204,0)))),INDEX(Clients!$F$5:$F$204,MATCH($B260,Clients!$A$5:$A$204,0)),INDEX(Settings!$E$5:$E$19,MATCH($J260,Settings!$D$5:$D$19,0))),0)))</f>
        <v/>
      </c>
      <c r="L260" s="15" t="str">
        <f aca="false">IF($B260="","",$K260*IF($D260="",1,$D260)+$E260)</f>
        <v/>
      </c>
      <c r="M260" s="15" t="str">
        <f aca="false">IF($B260="","",ROUND($L260*Settings!$B$9,2))</f>
        <v/>
      </c>
      <c r="N260" s="15" t="str">
        <f aca="false">IF($B260="","",$L260+$M260)</f>
        <v/>
      </c>
      <c r="O260" s="19" t="str">
        <f aca="false">IF($Q260="","",Settings!$B$13&amp;TEXT(ROWS($A$5:$A260),"0000"))</f>
        <v/>
      </c>
      <c r="P260" s="19" t="str">
        <f aca="false">IF($O260="","",IFERROR(INDEX(Invoices!$I$5:$I$504,MATCH($O260,Invoices!$A$5:$A$504,0)),""))</f>
        <v/>
      </c>
      <c r="Q260" s="2" t="str">
        <f aca="false">IF(AND($A260&lt;&gt;"",$B260&lt;&gt;"",$G260="Completed"),COUNTIFS($A$5:$A260,"&lt;&gt;",$B$5:$B260,"&lt;&gt;",$G$5:$G260,"Completed"),"")</f>
        <v/>
      </c>
    </row>
    <row r="261" customFormat="false" ht="15" hidden="false" customHeight="false" outlineLevel="0" collapsed="false">
      <c r="A261" s="16"/>
      <c r="B261" s="12"/>
      <c r="C261" s="17"/>
      <c r="D261" s="18"/>
      <c r="E261" s="13"/>
      <c r="F261" s="13"/>
      <c r="G261" s="12"/>
      <c r="H261" s="12"/>
      <c r="I261" s="19" t="str">
        <f aca="false">IF($B261="","",IFERROR(INDEX(Clients!$D$5:$D$204,MATCH($B261,Clients!$A$5:$A$204,0))&amp;"",""))</f>
        <v/>
      </c>
      <c r="J261" s="19" t="str">
        <f aca="false">IF($B261="","",IF($C261&lt;&gt;"",$C261,IFERROR(INDEX(Clients!$E$5:$E$204,MATCH($B261,Clients!$A$5:$A$204,0))&amp;"","")))</f>
        <v/>
      </c>
      <c r="K261" s="15" t="str">
        <f aca="false">IF($B261="","",IF($F261&lt;&gt;"",$F261,IFERROR(IF(AND(INDEX(Clients!$F$5:$F$204,MATCH($B261,Clients!$A$5:$A$204,0))&amp;""&lt;&gt;"",OR($C261="",$C261=INDEX(Clients!$E$5:$E$204,MATCH($B261,Clients!$A$5:$A$204,0)))),INDEX(Clients!$F$5:$F$204,MATCH($B261,Clients!$A$5:$A$204,0)),INDEX(Settings!$E$5:$E$19,MATCH($J261,Settings!$D$5:$D$19,0))),0)))</f>
        <v/>
      </c>
      <c r="L261" s="15" t="str">
        <f aca="false">IF($B261="","",$K261*IF($D261="",1,$D261)+$E261)</f>
        <v/>
      </c>
      <c r="M261" s="15" t="str">
        <f aca="false">IF($B261="","",ROUND($L261*Settings!$B$9,2))</f>
        <v/>
      </c>
      <c r="N261" s="15" t="str">
        <f aca="false">IF($B261="","",$L261+$M261)</f>
        <v/>
      </c>
      <c r="O261" s="19" t="str">
        <f aca="false">IF($Q261="","",Settings!$B$13&amp;TEXT(ROWS($A$5:$A261),"0000"))</f>
        <v/>
      </c>
      <c r="P261" s="19" t="str">
        <f aca="false">IF($O261="","",IFERROR(INDEX(Invoices!$I$5:$I$504,MATCH($O261,Invoices!$A$5:$A$504,0)),""))</f>
        <v/>
      </c>
      <c r="Q261" s="2" t="str">
        <f aca="false">IF(AND($A261&lt;&gt;"",$B261&lt;&gt;"",$G261="Completed"),COUNTIFS($A$5:$A261,"&lt;&gt;",$B$5:$B261,"&lt;&gt;",$G$5:$G261,"Completed"),"")</f>
        <v/>
      </c>
    </row>
    <row r="262" customFormat="false" ht="15" hidden="false" customHeight="false" outlineLevel="0" collapsed="false">
      <c r="A262" s="16"/>
      <c r="B262" s="12"/>
      <c r="C262" s="17"/>
      <c r="D262" s="18"/>
      <c r="E262" s="13"/>
      <c r="F262" s="13"/>
      <c r="G262" s="12"/>
      <c r="H262" s="12"/>
      <c r="I262" s="19" t="str">
        <f aca="false">IF($B262="","",IFERROR(INDEX(Clients!$D$5:$D$204,MATCH($B262,Clients!$A$5:$A$204,0))&amp;"",""))</f>
        <v/>
      </c>
      <c r="J262" s="19" t="str">
        <f aca="false">IF($B262="","",IF($C262&lt;&gt;"",$C262,IFERROR(INDEX(Clients!$E$5:$E$204,MATCH($B262,Clients!$A$5:$A$204,0))&amp;"","")))</f>
        <v/>
      </c>
      <c r="K262" s="15" t="str">
        <f aca="false">IF($B262="","",IF($F262&lt;&gt;"",$F262,IFERROR(IF(AND(INDEX(Clients!$F$5:$F$204,MATCH($B262,Clients!$A$5:$A$204,0))&amp;""&lt;&gt;"",OR($C262="",$C262=INDEX(Clients!$E$5:$E$204,MATCH($B262,Clients!$A$5:$A$204,0)))),INDEX(Clients!$F$5:$F$204,MATCH($B262,Clients!$A$5:$A$204,0)),INDEX(Settings!$E$5:$E$19,MATCH($J262,Settings!$D$5:$D$19,0))),0)))</f>
        <v/>
      </c>
      <c r="L262" s="15" t="str">
        <f aca="false">IF($B262="","",$K262*IF($D262="",1,$D262)+$E262)</f>
        <v/>
      </c>
      <c r="M262" s="15" t="str">
        <f aca="false">IF($B262="","",ROUND($L262*Settings!$B$9,2))</f>
        <v/>
      </c>
      <c r="N262" s="15" t="str">
        <f aca="false">IF($B262="","",$L262+$M262)</f>
        <v/>
      </c>
      <c r="O262" s="19" t="str">
        <f aca="false">IF($Q262="","",Settings!$B$13&amp;TEXT(ROWS($A$5:$A262),"0000"))</f>
        <v/>
      </c>
      <c r="P262" s="19" t="str">
        <f aca="false">IF($O262="","",IFERROR(INDEX(Invoices!$I$5:$I$504,MATCH($O262,Invoices!$A$5:$A$504,0)),""))</f>
        <v/>
      </c>
      <c r="Q262" s="2" t="str">
        <f aca="false">IF(AND($A262&lt;&gt;"",$B262&lt;&gt;"",$G262="Completed"),COUNTIFS($A$5:$A262,"&lt;&gt;",$B$5:$B262,"&lt;&gt;",$G$5:$G262,"Completed"),"")</f>
        <v/>
      </c>
    </row>
    <row r="263" customFormat="false" ht="15" hidden="false" customHeight="false" outlineLevel="0" collapsed="false">
      <c r="A263" s="16"/>
      <c r="B263" s="12"/>
      <c r="C263" s="17"/>
      <c r="D263" s="18"/>
      <c r="E263" s="13"/>
      <c r="F263" s="13"/>
      <c r="G263" s="12"/>
      <c r="H263" s="12"/>
      <c r="I263" s="19" t="str">
        <f aca="false">IF($B263="","",IFERROR(INDEX(Clients!$D$5:$D$204,MATCH($B263,Clients!$A$5:$A$204,0))&amp;"",""))</f>
        <v/>
      </c>
      <c r="J263" s="19" t="str">
        <f aca="false">IF($B263="","",IF($C263&lt;&gt;"",$C263,IFERROR(INDEX(Clients!$E$5:$E$204,MATCH($B263,Clients!$A$5:$A$204,0))&amp;"","")))</f>
        <v/>
      </c>
      <c r="K263" s="15" t="str">
        <f aca="false">IF($B263="","",IF($F263&lt;&gt;"",$F263,IFERROR(IF(AND(INDEX(Clients!$F$5:$F$204,MATCH($B263,Clients!$A$5:$A$204,0))&amp;""&lt;&gt;"",OR($C263="",$C263=INDEX(Clients!$E$5:$E$204,MATCH($B263,Clients!$A$5:$A$204,0)))),INDEX(Clients!$F$5:$F$204,MATCH($B263,Clients!$A$5:$A$204,0)),INDEX(Settings!$E$5:$E$19,MATCH($J263,Settings!$D$5:$D$19,0))),0)))</f>
        <v/>
      </c>
      <c r="L263" s="15" t="str">
        <f aca="false">IF($B263="","",$K263*IF($D263="",1,$D263)+$E263)</f>
        <v/>
      </c>
      <c r="M263" s="15" t="str">
        <f aca="false">IF($B263="","",ROUND($L263*Settings!$B$9,2))</f>
        <v/>
      </c>
      <c r="N263" s="15" t="str">
        <f aca="false">IF($B263="","",$L263+$M263)</f>
        <v/>
      </c>
      <c r="O263" s="19" t="str">
        <f aca="false">IF($Q263="","",Settings!$B$13&amp;TEXT(ROWS($A$5:$A263),"0000"))</f>
        <v/>
      </c>
      <c r="P263" s="19" t="str">
        <f aca="false">IF($O263="","",IFERROR(INDEX(Invoices!$I$5:$I$504,MATCH($O263,Invoices!$A$5:$A$504,0)),""))</f>
        <v/>
      </c>
      <c r="Q263" s="2" t="str">
        <f aca="false">IF(AND($A263&lt;&gt;"",$B263&lt;&gt;"",$G263="Completed"),COUNTIFS($A$5:$A263,"&lt;&gt;",$B$5:$B263,"&lt;&gt;",$G$5:$G263,"Completed"),"")</f>
        <v/>
      </c>
    </row>
    <row r="264" customFormat="false" ht="15" hidden="false" customHeight="false" outlineLevel="0" collapsed="false">
      <c r="A264" s="16"/>
      <c r="B264" s="12"/>
      <c r="C264" s="17"/>
      <c r="D264" s="18"/>
      <c r="E264" s="13"/>
      <c r="F264" s="13"/>
      <c r="G264" s="12"/>
      <c r="H264" s="12"/>
      <c r="I264" s="19" t="str">
        <f aca="false">IF($B264="","",IFERROR(INDEX(Clients!$D$5:$D$204,MATCH($B264,Clients!$A$5:$A$204,0))&amp;"",""))</f>
        <v/>
      </c>
      <c r="J264" s="19" t="str">
        <f aca="false">IF($B264="","",IF($C264&lt;&gt;"",$C264,IFERROR(INDEX(Clients!$E$5:$E$204,MATCH($B264,Clients!$A$5:$A$204,0))&amp;"","")))</f>
        <v/>
      </c>
      <c r="K264" s="15" t="str">
        <f aca="false">IF($B264="","",IF($F264&lt;&gt;"",$F264,IFERROR(IF(AND(INDEX(Clients!$F$5:$F$204,MATCH($B264,Clients!$A$5:$A$204,0))&amp;""&lt;&gt;"",OR($C264="",$C264=INDEX(Clients!$E$5:$E$204,MATCH($B264,Clients!$A$5:$A$204,0)))),INDEX(Clients!$F$5:$F$204,MATCH($B264,Clients!$A$5:$A$204,0)),INDEX(Settings!$E$5:$E$19,MATCH($J264,Settings!$D$5:$D$19,0))),0)))</f>
        <v/>
      </c>
      <c r="L264" s="15" t="str">
        <f aca="false">IF($B264="","",$K264*IF($D264="",1,$D264)+$E264)</f>
        <v/>
      </c>
      <c r="M264" s="15" t="str">
        <f aca="false">IF($B264="","",ROUND($L264*Settings!$B$9,2))</f>
        <v/>
      </c>
      <c r="N264" s="15" t="str">
        <f aca="false">IF($B264="","",$L264+$M264)</f>
        <v/>
      </c>
      <c r="O264" s="19" t="str">
        <f aca="false">IF($Q264="","",Settings!$B$13&amp;TEXT(ROWS($A$5:$A264),"0000"))</f>
        <v/>
      </c>
      <c r="P264" s="19" t="str">
        <f aca="false">IF($O264="","",IFERROR(INDEX(Invoices!$I$5:$I$504,MATCH($O264,Invoices!$A$5:$A$504,0)),""))</f>
        <v/>
      </c>
      <c r="Q264" s="2" t="str">
        <f aca="false">IF(AND($A264&lt;&gt;"",$B264&lt;&gt;"",$G264="Completed"),COUNTIFS($A$5:$A264,"&lt;&gt;",$B$5:$B264,"&lt;&gt;",$G$5:$G264,"Completed"),"")</f>
        <v/>
      </c>
    </row>
    <row r="265" customFormat="false" ht="15" hidden="false" customHeight="false" outlineLevel="0" collapsed="false">
      <c r="A265" s="16"/>
      <c r="B265" s="12"/>
      <c r="C265" s="17"/>
      <c r="D265" s="18"/>
      <c r="E265" s="13"/>
      <c r="F265" s="13"/>
      <c r="G265" s="12"/>
      <c r="H265" s="12"/>
      <c r="I265" s="19" t="str">
        <f aca="false">IF($B265="","",IFERROR(INDEX(Clients!$D$5:$D$204,MATCH($B265,Clients!$A$5:$A$204,0))&amp;"",""))</f>
        <v/>
      </c>
      <c r="J265" s="19" t="str">
        <f aca="false">IF($B265="","",IF($C265&lt;&gt;"",$C265,IFERROR(INDEX(Clients!$E$5:$E$204,MATCH($B265,Clients!$A$5:$A$204,0))&amp;"","")))</f>
        <v/>
      </c>
      <c r="K265" s="15" t="str">
        <f aca="false">IF($B265="","",IF($F265&lt;&gt;"",$F265,IFERROR(IF(AND(INDEX(Clients!$F$5:$F$204,MATCH($B265,Clients!$A$5:$A$204,0))&amp;""&lt;&gt;"",OR($C265="",$C265=INDEX(Clients!$E$5:$E$204,MATCH($B265,Clients!$A$5:$A$204,0)))),INDEX(Clients!$F$5:$F$204,MATCH($B265,Clients!$A$5:$A$204,0)),INDEX(Settings!$E$5:$E$19,MATCH($J265,Settings!$D$5:$D$19,0))),0)))</f>
        <v/>
      </c>
      <c r="L265" s="15" t="str">
        <f aca="false">IF($B265="","",$K265*IF($D265="",1,$D265)+$E265)</f>
        <v/>
      </c>
      <c r="M265" s="15" t="str">
        <f aca="false">IF($B265="","",ROUND($L265*Settings!$B$9,2))</f>
        <v/>
      </c>
      <c r="N265" s="15" t="str">
        <f aca="false">IF($B265="","",$L265+$M265)</f>
        <v/>
      </c>
      <c r="O265" s="19" t="str">
        <f aca="false">IF($Q265="","",Settings!$B$13&amp;TEXT(ROWS($A$5:$A265),"0000"))</f>
        <v/>
      </c>
      <c r="P265" s="19" t="str">
        <f aca="false">IF($O265="","",IFERROR(INDEX(Invoices!$I$5:$I$504,MATCH($O265,Invoices!$A$5:$A$504,0)),""))</f>
        <v/>
      </c>
      <c r="Q265" s="2" t="str">
        <f aca="false">IF(AND($A265&lt;&gt;"",$B265&lt;&gt;"",$G265="Completed"),COUNTIFS($A$5:$A265,"&lt;&gt;",$B$5:$B265,"&lt;&gt;",$G$5:$G265,"Completed"),"")</f>
        <v/>
      </c>
    </row>
    <row r="266" customFormat="false" ht="15" hidden="false" customHeight="false" outlineLevel="0" collapsed="false">
      <c r="A266" s="16"/>
      <c r="B266" s="12"/>
      <c r="C266" s="17"/>
      <c r="D266" s="18"/>
      <c r="E266" s="13"/>
      <c r="F266" s="13"/>
      <c r="G266" s="12"/>
      <c r="H266" s="12"/>
      <c r="I266" s="19" t="str">
        <f aca="false">IF($B266="","",IFERROR(INDEX(Clients!$D$5:$D$204,MATCH($B266,Clients!$A$5:$A$204,0))&amp;"",""))</f>
        <v/>
      </c>
      <c r="J266" s="19" t="str">
        <f aca="false">IF($B266="","",IF($C266&lt;&gt;"",$C266,IFERROR(INDEX(Clients!$E$5:$E$204,MATCH($B266,Clients!$A$5:$A$204,0))&amp;"","")))</f>
        <v/>
      </c>
      <c r="K266" s="15" t="str">
        <f aca="false">IF($B266="","",IF($F266&lt;&gt;"",$F266,IFERROR(IF(AND(INDEX(Clients!$F$5:$F$204,MATCH($B266,Clients!$A$5:$A$204,0))&amp;""&lt;&gt;"",OR($C266="",$C266=INDEX(Clients!$E$5:$E$204,MATCH($B266,Clients!$A$5:$A$204,0)))),INDEX(Clients!$F$5:$F$204,MATCH($B266,Clients!$A$5:$A$204,0)),INDEX(Settings!$E$5:$E$19,MATCH($J266,Settings!$D$5:$D$19,0))),0)))</f>
        <v/>
      </c>
      <c r="L266" s="15" t="str">
        <f aca="false">IF($B266="","",$K266*IF($D266="",1,$D266)+$E266)</f>
        <v/>
      </c>
      <c r="M266" s="15" t="str">
        <f aca="false">IF($B266="","",ROUND($L266*Settings!$B$9,2))</f>
        <v/>
      </c>
      <c r="N266" s="15" t="str">
        <f aca="false">IF($B266="","",$L266+$M266)</f>
        <v/>
      </c>
      <c r="O266" s="19" t="str">
        <f aca="false">IF($Q266="","",Settings!$B$13&amp;TEXT(ROWS($A$5:$A266),"0000"))</f>
        <v/>
      </c>
      <c r="P266" s="19" t="str">
        <f aca="false">IF($O266="","",IFERROR(INDEX(Invoices!$I$5:$I$504,MATCH($O266,Invoices!$A$5:$A$504,0)),""))</f>
        <v/>
      </c>
      <c r="Q266" s="2" t="str">
        <f aca="false">IF(AND($A266&lt;&gt;"",$B266&lt;&gt;"",$G266="Completed"),COUNTIFS($A$5:$A266,"&lt;&gt;",$B$5:$B266,"&lt;&gt;",$G$5:$G266,"Completed"),"")</f>
        <v/>
      </c>
    </row>
    <row r="267" customFormat="false" ht="15" hidden="false" customHeight="false" outlineLevel="0" collapsed="false">
      <c r="A267" s="16"/>
      <c r="B267" s="12"/>
      <c r="C267" s="17"/>
      <c r="D267" s="18"/>
      <c r="E267" s="13"/>
      <c r="F267" s="13"/>
      <c r="G267" s="12"/>
      <c r="H267" s="12"/>
      <c r="I267" s="19" t="str">
        <f aca="false">IF($B267="","",IFERROR(INDEX(Clients!$D$5:$D$204,MATCH($B267,Clients!$A$5:$A$204,0))&amp;"",""))</f>
        <v/>
      </c>
      <c r="J267" s="19" t="str">
        <f aca="false">IF($B267="","",IF($C267&lt;&gt;"",$C267,IFERROR(INDEX(Clients!$E$5:$E$204,MATCH($B267,Clients!$A$5:$A$204,0))&amp;"","")))</f>
        <v/>
      </c>
      <c r="K267" s="15" t="str">
        <f aca="false">IF($B267="","",IF($F267&lt;&gt;"",$F267,IFERROR(IF(AND(INDEX(Clients!$F$5:$F$204,MATCH($B267,Clients!$A$5:$A$204,0))&amp;""&lt;&gt;"",OR($C267="",$C267=INDEX(Clients!$E$5:$E$204,MATCH($B267,Clients!$A$5:$A$204,0)))),INDEX(Clients!$F$5:$F$204,MATCH($B267,Clients!$A$5:$A$204,0)),INDEX(Settings!$E$5:$E$19,MATCH($J267,Settings!$D$5:$D$19,0))),0)))</f>
        <v/>
      </c>
      <c r="L267" s="15" t="str">
        <f aca="false">IF($B267="","",$K267*IF($D267="",1,$D267)+$E267)</f>
        <v/>
      </c>
      <c r="M267" s="15" t="str">
        <f aca="false">IF($B267="","",ROUND($L267*Settings!$B$9,2))</f>
        <v/>
      </c>
      <c r="N267" s="15" t="str">
        <f aca="false">IF($B267="","",$L267+$M267)</f>
        <v/>
      </c>
      <c r="O267" s="19" t="str">
        <f aca="false">IF($Q267="","",Settings!$B$13&amp;TEXT(ROWS($A$5:$A267),"0000"))</f>
        <v/>
      </c>
      <c r="P267" s="19" t="str">
        <f aca="false">IF($O267="","",IFERROR(INDEX(Invoices!$I$5:$I$504,MATCH($O267,Invoices!$A$5:$A$504,0)),""))</f>
        <v/>
      </c>
      <c r="Q267" s="2" t="str">
        <f aca="false">IF(AND($A267&lt;&gt;"",$B267&lt;&gt;"",$G267="Completed"),COUNTIFS($A$5:$A267,"&lt;&gt;",$B$5:$B267,"&lt;&gt;",$G$5:$G267,"Completed"),"")</f>
        <v/>
      </c>
    </row>
    <row r="268" customFormat="false" ht="15" hidden="false" customHeight="false" outlineLevel="0" collapsed="false">
      <c r="A268" s="16"/>
      <c r="B268" s="12"/>
      <c r="C268" s="17"/>
      <c r="D268" s="18"/>
      <c r="E268" s="13"/>
      <c r="F268" s="13"/>
      <c r="G268" s="12"/>
      <c r="H268" s="12"/>
      <c r="I268" s="19" t="str">
        <f aca="false">IF($B268="","",IFERROR(INDEX(Clients!$D$5:$D$204,MATCH($B268,Clients!$A$5:$A$204,0))&amp;"",""))</f>
        <v/>
      </c>
      <c r="J268" s="19" t="str">
        <f aca="false">IF($B268="","",IF($C268&lt;&gt;"",$C268,IFERROR(INDEX(Clients!$E$5:$E$204,MATCH($B268,Clients!$A$5:$A$204,0))&amp;"","")))</f>
        <v/>
      </c>
      <c r="K268" s="15" t="str">
        <f aca="false">IF($B268="","",IF($F268&lt;&gt;"",$F268,IFERROR(IF(AND(INDEX(Clients!$F$5:$F$204,MATCH($B268,Clients!$A$5:$A$204,0))&amp;""&lt;&gt;"",OR($C268="",$C268=INDEX(Clients!$E$5:$E$204,MATCH($B268,Clients!$A$5:$A$204,0)))),INDEX(Clients!$F$5:$F$204,MATCH($B268,Clients!$A$5:$A$204,0)),INDEX(Settings!$E$5:$E$19,MATCH($J268,Settings!$D$5:$D$19,0))),0)))</f>
        <v/>
      </c>
      <c r="L268" s="15" t="str">
        <f aca="false">IF($B268="","",$K268*IF($D268="",1,$D268)+$E268)</f>
        <v/>
      </c>
      <c r="M268" s="15" t="str">
        <f aca="false">IF($B268="","",ROUND($L268*Settings!$B$9,2))</f>
        <v/>
      </c>
      <c r="N268" s="15" t="str">
        <f aca="false">IF($B268="","",$L268+$M268)</f>
        <v/>
      </c>
      <c r="O268" s="19" t="str">
        <f aca="false">IF($Q268="","",Settings!$B$13&amp;TEXT(ROWS($A$5:$A268),"0000"))</f>
        <v/>
      </c>
      <c r="P268" s="19" t="str">
        <f aca="false">IF($O268="","",IFERROR(INDEX(Invoices!$I$5:$I$504,MATCH($O268,Invoices!$A$5:$A$504,0)),""))</f>
        <v/>
      </c>
      <c r="Q268" s="2" t="str">
        <f aca="false">IF(AND($A268&lt;&gt;"",$B268&lt;&gt;"",$G268="Completed"),COUNTIFS($A$5:$A268,"&lt;&gt;",$B$5:$B268,"&lt;&gt;",$G$5:$G268,"Completed"),"")</f>
        <v/>
      </c>
    </row>
    <row r="269" customFormat="false" ht="15" hidden="false" customHeight="false" outlineLevel="0" collapsed="false">
      <c r="A269" s="16"/>
      <c r="B269" s="12"/>
      <c r="C269" s="17"/>
      <c r="D269" s="18"/>
      <c r="E269" s="13"/>
      <c r="F269" s="13"/>
      <c r="G269" s="12"/>
      <c r="H269" s="12"/>
      <c r="I269" s="19" t="str">
        <f aca="false">IF($B269="","",IFERROR(INDEX(Clients!$D$5:$D$204,MATCH($B269,Clients!$A$5:$A$204,0))&amp;"",""))</f>
        <v/>
      </c>
      <c r="J269" s="19" t="str">
        <f aca="false">IF($B269="","",IF($C269&lt;&gt;"",$C269,IFERROR(INDEX(Clients!$E$5:$E$204,MATCH($B269,Clients!$A$5:$A$204,0))&amp;"","")))</f>
        <v/>
      </c>
      <c r="K269" s="15" t="str">
        <f aca="false">IF($B269="","",IF($F269&lt;&gt;"",$F269,IFERROR(IF(AND(INDEX(Clients!$F$5:$F$204,MATCH($B269,Clients!$A$5:$A$204,0))&amp;""&lt;&gt;"",OR($C269="",$C269=INDEX(Clients!$E$5:$E$204,MATCH($B269,Clients!$A$5:$A$204,0)))),INDEX(Clients!$F$5:$F$204,MATCH($B269,Clients!$A$5:$A$204,0)),INDEX(Settings!$E$5:$E$19,MATCH($J269,Settings!$D$5:$D$19,0))),0)))</f>
        <v/>
      </c>
      <c r="L269" s="15" t="str">
        <f aca="false">IF($B269="","",$K269*IF($D269="",1,$D269)+$E269)</f>
        <v/>
      </c>
      <c r="M269" s="15" t="str">
        <f aca="false">IF($B269="","",ROUND($L269*Settings!$B$9,2))</f>
        <v/>
      </c>
      <c r="N269" s="15" t="str">
        <f aca="false">IF($B269="","",$L269+$M269)</f>
        <v/>
      </c>
      <c r="O269" s="19" t="str">
        <f aca="false">IF($Q269="","",Settings!$B$13&amp;TEXT(ROWS($A$5:$A269),"0000"))</f>
        <v/>
      </c>
      <c r="P269" s="19" t="str">
        <f aca="false">IF($O269="","",IFERROR(INDEX(Invoices!$I$5:$I$504,MATCH($O269,Invoices!$A$5:$A$504,0)),""))</f>
        <v/>
      </c>
      <c r="Q269" s="2" t="str">
        <f aca="false">IF(AND($A269&lt;&gt;"",$B269&lt;&gt;"",$G269="Completed"),COUNTIFS($A$5:$A269,"&lt;&gt;",$B$5:$B269,"&lt;&gt;",$G$5:$G269,"Completed"),"")</f>
        <v/>
      </c>
    </row>
    <row r="270" customFormat="false" ht="15" hidden="false" customHeight="false" outlineLevel="0" collapsed="false">
      <c r="A270" s="16"/>
      <c r="B270" s="12"/>
      <c r="C270" s="17"/>
      <c r="D270" s="18"/>
      <c r="E270" s="13"/>
      <c r="F270" s="13"/>
      <c r="G270" s="12"/>
      <c r="H270" s="12"/>
      <c r="I270" s="19" t="str">
        <f aca="false">IF($B270="","",IFERROR(INDEX(Clients!$D$5:$D$204,MATCH($B270,Clients!$A$5:$A$204,0))&amp;"",""))</f>
        <v/>
      </c>
      <c r="J270" s="19" t="str">
        <f aca="false">IF($B270="","",IF($C270&lt;&gt;"",$C270,IFERROR(INDEX(Clients!$E$5:$E$204,MATCH($B270,Clients!$A$5:$A$204,0))&amp;"","")))</f>
        <v/>
      </c>
      <c r="K270" s="15" t="str">
        <f aca="false">IF($B270="","",IF($F270&lt;&gt;"",$F270,IFERROR(IF(AND(INDEX(Clients!$F$5:$F$204,MATCH($B270,Clients!$A$5:$A$204,0))&amp;""&lt;&gt;"",OR($C270="",$C270=INDEX(Clients!$E$5:$E$204,MATCH($B270,Clients!$A$5:$A$204,0)))),INDEX(Clients!$F$5:$F$204,MATCH($B270,Clients!$A$5:$A$204,0)),INDEX(Settings!$E$5:$E$19,MATCH($J270,Settings!$D$5:$D$19,0))),0)))</f>
        <v/>
      </c>
      <c r="L270" s="15" t="str">
        <f aca="false">IF($B270="","",$K270*IF($D270="",1,$D270)+$E270)</f>
        <v/>
      </c>
      <c r="M270" s="15" t="str">
        <f aca="false">IF($B270="","",ROUND($L270*Settings!$B$9,2))</f>
        <v/>
      </c>
      <c r="N270" s="15" t="str">
        <f aca="false">IF($B270="","",$L270+$M270)</f>
        <v/>
      </c>
      <c r="O270" s="19" t="str">
        <f aca="false">IF($Q270="","",Settings!$B$13&amp;TEXT(ROWS($A$5:$A270),"0000"))</f>
        <v/>
      </c>
      <c r="P270" s="19" t="str">
        <f aca="false">IF($O270="","",IFERROR(INDEX(Invoices!$I$5:$I$504,MATCH($O270,Invoices!$A$5:$A$504,0)),""))</f>
        <v/>
      </c>
      <c r="Q270" s="2" t="str">
        <f aca="false">IF(AND($A270&lt;&gt;"",$B270&lt;&gt;"",$G270="Completed"),COUNTIFS($A$5:$A270,"&lt;&gt;",$B$5:$B270,"&lt;&gt;",$G$5:$G270,"Completed"),"")</f>
        <v/>
      </c>
    </row>
    <row r="271" customFormat="false" ht="15" hidden="false" customHeight="false" outlineLevel="0" collapsed="false">
      <c r="A271" s="16"/>
      <c r="B271" s="12"/>
      <c r="C271" s="17"/>
      <c r="D271" s="18"/>
      <c r="E271" s="13"/>
      <c r="F271" s="13"/>
      <c r="G271" s="12"/>
      <c r="H271" s="12"/>
      <c r="I271" s="19" t="str">
        <f aca="false">IF($B271="","",IFERROR(INDEX(Clients!$D$5:$D$204,MATCH($B271,Clients!$A$5:$A$204,0))&amp;"",""))</f>
        <v/>
      </c>
      <c r="J271" s="19" t="str">
        <f aca="false">IF($B271="","",IF($C271&lt;&gt;"",$C271,IFERROR(INDEX(Clients!$E$5:$E$204,MATCH($B271,Clients!$A$5:$A$204,0))&amp;"","")))</f>
        <v/>
      </c>
      <c r="K271" s="15" t="str">
        <f aca="false">IF($B271="","",IF($F271&lt;&gt;"",$F271,IFERROR(IF(AND(INDEX(Clients!$F$5:$F$204,MATCH($B271,Clients!$A$5:$A$204,0))&amp;""&lt;&gt;"",OR($C271="",$C271=INDEX(Clients!$E$5:$E$204,MATCH($B271,Clients!$A$5:$A$204,0)))),INDEX(Clients!$F$5:$F$204,MATCH($B271,Clients!$A$5:$A$204,0)),INDEX(Settings!$E$5:$E$19,MATCH($J271,Settings!$D$5:$D$19,0))),0)))</f>
        <v/>
      </c>
      <c r="L271" s="15" t="str">
        <f aca="false">IF($B271="","",$K271*IF($D271="",1,$D271)+$E271)</f>
        <v/>
      </c>
      <c r="M271" s="15" t="str">
        <f aca="false">IF($B271="","",ROUND($L271*Settings!$B$9,2))</f>
        <v/>
      </c>
      <c r="N271" s="15" t="str">
        <f aca="false">IF($B271="","",$L271+$M271)</f>
        <v/>
      </c>
      <c r="O271" s="19" t="str">
        <f aca="false">IF($Q271="","",Settings!$B$13&amp;TEXT(ROWS($A$5:$A271),"0000"))</f>
        <v/>
      </c>
      <c r="P271" s="19" t="str">
        <f aca="false">IF($O271="","",IFERROR(INDEX(Invoices!$I$5:$I$504,MATCH($O271,Invoices!$A$5:$A$504,0)),""))</f>
        <v/>
      </c>
      <c r="Q271" s="2" t="str">
        <f aca="false">IF(AND($A271&lt;&gt;"",$B271&lt;&gt;"",$G271="Completed"),COUNTIFS($A$5:$A271,"&lt;&gt;",$B$5:$B271,"&lt;&gt;",$G$5:$G271,"Completed"),"")</f>
        <v/>
      </c>
    </row>
    <row r="272" customFormat="false" ht="15" hidden="false" customHeight="false" outlineLevel="0" collapsed="false">
      <c r="A272" s="16"/>
      <c r="B272" s="12"/>
      <c r="C272" s="17"/>
      <c r="D272" s="18"/>
      <c r="E272" s="13"/>
      <c r="F272" s="13"/>
      <c r="G272" s="12"/>
      <c r="H272" s="12"/>
      <c r="I272" s="19" t="str">
        <f aca="false">IF($B272="","",IFERROR(INDEX(Clients!$D$5:$D$204,MATCH($B272,Clients!$A$5:$A$204,0))&amp;"",""))</f>
        <v/>
      </c>
      <c r="J272" s="19" t="str">
        <f aca="false">IF($B272="","",IF($C272&lt;&gt;"",$C272,IFERROR(INDEX(Clients!$E$5:$E$204,MATCH($B272,Clients!$A$5:$A$204,0))&amp;"","")))</f>
        <v/>
      </c>
      <c r="K272" s="15" t="str">
        <f aca="false">IF($B272="","",IF($F272&lt;&gt;"",$F272,IFERROR(IF(AND(INDEX(Clients!$F$5:$F$204,MATCH($B272,Clients!$A$5:$A$204,0))&amp;""&lt;&gt;"",OR($C272="",$C272=INDEX(Clients!$E$5:$E$204,MATCH($B272,Clients!$A$5:$A$204,0)))),INDEX(Clients!$F$5:$F$204,MATCH($B272,Clients!$A$5:$A$204,0)),INDEX(Settings!$E$5:$E$19,MATCH($J272,Settings!$D$5:$D$19,0))),0)))</f>
        <v/>
      </c>
      <c r="L272" s="15" t="str">
        <f aca="false">IF($B272="","",$K272*IF($D272="",1,$D272)+$E272)</f>
        <v/>
      </c>
      <c r="M272" s="15" t="str">
        <f aca="false">IF($B272="","",ROUND($L272*Settings!$B$9,2))</f>
        <v/>
      </c>
      <c r="N272" s="15" t="str">
        <f aca="false">IF($B272="","",$L272+$M272)</f>
        <v/>
      </c>
      <c r="O272" s="19" t="str">
        <f aca="false">IF($Q272="","",Settings!$B$13&amp;TEXT(ROWS($A$5:$A272),"0000"))</f>
        <v/>
      </c>
      <c r="P272" s="19" t="str">
        <f aca="false">IF($O272="","",IFERROR(INDEX(Invoices!$I$5:$I$504,MATCH($O272,Invoices!$A$5:$A$504,0)),""))</f>
        <v/>
      </c>
      <c r="Q272" s="2" t="str">
        <f aca="false">IF(AND($A272&lt;&gt;"",$B272&lt;&gt;"",$G272="Completed"),COUNTIFS($A$5:$A272,"&lt;&gt;",$B$5:$B272,"&lt;&gt;",$G$5:$G272,"Completed"),"")</f>
        <v/>
      </c>
    </row>
    <row r="273" customFormat="false" ht="15" hidden="false" customHeight="false" outlineLevel="0" collapsed="false">
      <c r="A273" s="16"/>
      <c r="B273" s="12"/>
      <c r="C273" s="17"/>
      <c r="D273" s="18"/>
      <c r="E273" s="13"/>
      <c r="F273" s="13"/>
      <c r="G273" s="12"/>
      <c r="H273" s="12"/>
      <c r="I273" s="19" t="str">
        <f aca="false">IF($B273="","",IFERROR(INDEX(Clients!$D$5:$D$204,MATCH($B273,Clients!$A$5:$A$204,0))&amp;"",""))</f>
        <v/>
      </c>
      <c r="J273" s="19" t="str">
        <f aca="false">IF($B273="","",IF($C273&lt;&gt;"",$C273,IFERROR(INDEX(Clients!$E$5:$E$204,MATCH($B273,Clients!$A$5:$A$204,0))&amp;"","")))</f>
        <v/>
      </c>
      <c r="K273" s="15" t="str">
        <f aca="false">IF($B273="","",IF($F273&lt;&gt;"",$F273,IFERROR(IF(AND(INDEX(Clients!$F$5:$F$204,MATCH($B273,Clients!$A$5:$A$204,0))&amp;""&lt;&gt;"",OR($C273="",$C273=INDEX(Clients!$E$5:$E$204,MATCH($B273,Clients!$A$5:$A$204,0)))),INDEX(Clients!$F$5:$F$204,MATCH($B273,Clients!$A$5:$A$204,0)),INDEX(Settings!$E$5:$E$19,MATCH($J273,Settings!$D$5:$D$19,0))),0)))</f>
        <v/>
      </c>
      <c r="L273" s="15" t="str">
        <f aca="false">IF($B273="","",$K273*IF($D273="",1,$D273)+$E273)</f>
        <v/>
      </c>
      <c r="M273" s="15" t="str">
        <f aca="false">IF($B273="","",ROUND($L273*Settings!$B$9,2))</f>
        <v/>
      </c>
      <c r="N273" s="15" t="str">
        <f aca="false">IF($B273="","",$L273+$M273)</f>
        <v/>
      </c>
      <c r="O273" s="19" t="str">
        <f aca="false">IF($Q273="","",Settings!$B$13&amp;TEXT(ROWS($A$5:$A273),"0000"))</f>
        <v/>
      </c>
      <c r="P273" s="19" t="str">
        <f aca="false">IF($O273="","",IFERROR(INDEX(Invoices!$I$5:$I$504,MATCH($O273,Invoices!$A$5:$A$504,0)),""))</f>
        <v/>
      </c>
      <c r="Q273" s="2" t="str">
        <f aca="false">IF(AND($A273&lt;&gt;"",$B273&lt;&gt;"",$G273="Completed"),COUNTIFS($A$5:$A273,"&lt;&gt;",$B$5:$B273,"&lt;&gt;",$G$5:$G273,"Completed"),"")</f>
        <v/>
      </c>
    </row>
    <row r="274" customFormat="false" ht="15" hidden="false" customHeight="false" outlineLevel="0" collapsed="false">
      <c r="A274" s="16"/>
      <c r="B274" s="12"/>
      <c r="C274" s="17"/>
      <c r="D274" s="18"/>
      <c r="E274" s="13"/>
      <c r="F274" s="13"/>
      <c r="G274" s="12"/>
      <c r="H274" s="12"/>
      <c r="I274" s="19" t="str">
        <f aca="false">IF($B274="","",IFERROR(INDEX(Clients!$D$5:$D$204,MATCH($B274,Clients!$A$5:$A$204,0))&amp;"",""))</f>
        <v/>
      </c>
      <c r="J274" s="19" t="str">
        <f aca="false">IF($B274="","",IF($C274&lt;&gt;"",$C274,IFERROR(INDEX(Clients!$E$5:$E$204,MATCH($B274,Clients!$A$5:$A$204,0))&amp;"","")))</f>
        <v/>
      </c>
      <c r="K274" s="15" t="str">
        <f aca="false">IF($B274="","",IF($F274&lt;&gt;"",$F274,IFERROR(IF(AND(INDEX(Clients!$F$5:$F$204,MATCH($B274,Clients!$A$5:$A$204,0))&amp;""&lt;&gt;"",OR($C274="",$C274=INDEX(Clients!$E$5:$E$204,MATCH($B274,Clients!$A$5:$A$204,0)))),INDEX(Clients!$F$5:$F$204,MATCH($B274,Clients!$A$5:$A$204,0)),INDEX(Settings!$E$5:$E$19,MATCH($J274,Settings!$D$5:$D$19,0))),0)))</f>
        <v/>
      </c>
      <c r="L274" s="15" t="str">
        <f aca="false">IF($B274="","",$K274*IF($D274="",1,$D274)+$E274)</f>
        <v/>
      </c>
      <c r="M274" s="15" t="str">
        <f aca="false">IF($B274="","",ROUND($L274*Settings!$B$9,2))</f>
        <v/>
      </c>
      <c r="N274" s="15" t="str">
        <f aca="false">IF($B274="","",$L274+$M274)</f>
        <v/>
      </c>
      <c r="O274" s="19" t="str">
        <f aca="false">IF($Q274="","",Settings!$B$13&amp;TEXT(ROWS($A$5:$A274),"0000"))</f>
        <v/>
      </c>
      <c r="P274" s="19" t="str">
        <f aca="false">IF($O274="","",IFERROR(INDEX(Invoices!$I$5:$I$504,MATCH($O274,Invoices!$A$5:$A$504,0)),""))</f>
        <v/>
      </c>
      <c r="Q274" s="2" t="str">
        <f aca="false">IF(AND($A274&lt;&gt;"",$B274&lt;&gt;"",$G274="Completed"),COUNTIFS($A$5:$A274,"&lt;&gt;",$B$5:$B274,"&lt;&gt;",$G$5:$G274,"Completed"),"")</f>
        <v/>
      </c>
    </row>
    <row r="275" customFormat="false" ht="15" hidden="false" customHeight="false" outlineLevel="0" collapsed="false">
      <c r="A275" s="16"/>
      <c r="B275" s="12"/>
      <c r="C275" s="17"/>
      <c r="D275" s="18"/>
      <c r="E275" s="13"/>
      <c r="F275" s="13"/>
      <c r="G275" s="12"/>
      <c r="H275" s="12"/>
      <c r="I275" s="19" t="str">
        <f aca="false">IF($B275="","",IFERROR(INDEX(Clients!$D$5:$D$204,MATCH($B275,Clients!$A$5:$A$204,0))&amp;"",""))</f>
        <v/>
      </c>
      <c r="J275" s="19" t="str">
        <f aca="false">IF($B275="","",IF($C275&lt;&gt;"",$C275,IFERROR(INDEX(Clients!$E$5:$E$204,MATCH($B275,Clients!$A$5:$A$204,0))&amp;"","")))</f>
        <v/>
      </c>
      <c r="K275" s="15" t="str">
        <f aca="false">IF($B275="","",IF($F275&lt;&gt;"",$F275,IFERROR(IF(AND(INDEX(Clients!$F$5:$F$204,MATCH($B275,Clients!$A$5:$A$204,0))&amp;""&lt;&gt;"",OR($C275="",$C275=INDEX(Clients!$E$5:$E$204,MATCH($B275,Clients!$A$5:$A$204,0)))),INDEX(Clients!$F$5:$F$204,MATCH($B275,Clients!$A$5:$A$204,0)),INDEX(Settings!$E$5:$E$19,MATCH($J275,Settings!$D$5:$D$19,0))),0)))</f>
        <v/>
      </c>
      <c r="L275" s="15" t="str">
        <f aca="false">IF($B275="","",$K275*IF($D275="",1,$D275)+$E275)</f>
        <v/>
      </c>
      <c r="M275" s="15" t="str">
        <f aca="false">IF($B275="","",ROUND($L275*Settings!$B$9,2))</f>
        <v/>
      </c>
      <c r="N275" s="15" t="str">
        <f aca="false">IF($B275="","",$L275+$M275)</f>
        <v/>
      </c>
      <c r="O275" s="19" t="str">
        <f aca="false">IF($Q275="","",Settings!$B$13&amp;TEXT(ROWS($A$5:$A275),"0000"))</f>
        <v/>
      </c>
      <c r="P275" s="19" t="str">
        <f aca="false">IF($O275="","",IFERROR(INDEX(Invoices!$I$5:$I$504,MATCH($O275,Invoices!$A$5:$A$504,0)),""))</f>
        <v/>
      </c>
      <c r="Q275" s="2" t="str">
        <f aca="false">IF(AND($A275&lt;&gt;"",$B275&lt;&gt;"",$G275="Completed"),COUNTIFS($A$5:$A275,"&lt;&gt;",$B$5:$B275,"&lt;&gt;",$G$5:$G275,"Completed"),"")</f>
        <v/>
      </c>
    </row>
    <row r="276" customFormat="false" ht="15" hidden="false" customHeight="false" outlineLevel="0" collapsed="false">
      <c r="A276" s="16"/>
      <c r="B276" s="12"/>
      <c r="C276" s="17"/>
      <c r="D276" s="18"/>
      <c r="E276" s="13"/>
      <c r="F276" s="13"/>
      <c r="G276" s="12"/>
      <c r="H276" s="12"/>
      <c r="I276" s="19" t="str">
        <f aca="false">IF($B276="","",IFERROR(INDEX(Clients!$D$5:$D$204,MATCH($B276,Clients!$A$5:$A$204,0))&amp;"",""))</f>
        <v/>
      </c>
      <c r="J276" s="19" t="str">
        <f aca="false">IF($B276="","",IF($C276&lt;&gt;"",$C276,IFERROR(INDEX(Clients!$E$5:$E$204,MATCH($B276,Clients!$A$5:$A$204,0))&amp;"","")))</f>
        <v/>
      </c>
      <c r="K276" s="15" t="str">
        <f aca="false">IF($B276="","",IF($F276&lt;&gt;"",$F276,IFERROR(IF(AND(INDEX(Clients!$F$5:$F$204,MATCH($B276,Clients!$A$5:$A$204,0))&amp;""&lt;&gt;"",OR($C276="",$C276=INDEX(Clients!$E$5:$E$204,MATCH($B276,Clients!$A$5:$A$204,0)))),INDEX(Clients!$F$5:$F$204,MATCH($B276,Clients!$A$5:$A$204,0)),INDEX(Settings!$E$5:$E$19,MATCH($J276,Settings!$D$5:$D$19,0))),0)))</f>
        <v/>
      </c>
      <c r="L276" s="15" t="str">
        <f aca="false">IF($B276="","",$K276*IF($D276="",1,$D276)+$E276)</f>
        <v/>
      </c>
      <c r="M276" s="15" t="str">
        <f aca="false">IF($B276="","",ROUND($L276*Settings!$B$9,2))</f>
        <v/>
      </c>
      <c r="N276" s="15" t="str">
        <f aca="false">IF($B276="","",$L276+$M276)</f>
        <v/>
      </c>
      <c r="O276" s="19" t="str">
        <f aca="false">IF($Q276="","",Settings!$B$13&amp;TEXT(ROWS($A$5:$A276),"0000"))</f>
        <v/>
      </c>
      <c r="P276" s="19" t="str">
        <f aca="false">IF($O276="","",IFERROR(INDEX(Invoices!$I$5:$I$504,MATCH($O276,Invoices!$A$5:$A$504,0)),""))</f>
        <v/>
      </c>
      <c r="Q276" s="2" t="str">
        <f aca="false">IF(AND($A276&lt;&gt;"",$B276&lt;&gt;"",$G276="Completed"),COUNTIFS($A$5:$A276,"&lt;&gt;",$B$5:$B276,"&lt;&gt;",$G$5:$G276,"Completed"),"")</f>
        <v/>
      </c>
    </row>
    <row r="277" customFormat="false" ht="15" hidden="false" customHeight="false" outlineLevel="0" collapsed="false">
      <c r="A277" s="16"/>
      <c r="B277" s="12"/>
      <c r="C277" s="17"/>
      <c r="D277" s="18"/>
      <c r="E277" s="13"/>
      <c r="F277" s="13"/>
      <c r="G277" s="12"/>
      <c r="H277" s="12"/>
      <c r="I277" s="19" t="str">
        <f aca="false">IF($B277="","",IFERROR(INDEX(Clients!$D$5:$D$204,MATCH($B277,Clients!$A$5:$A$204,0))&amp;"",""))</f>
        <v/>
      </c>
      <c r="J277" s="19" t="str">
        <f aca="false">IF($B277="","",IF($C277&lt;&gt;"",$C277,IFERROR(INDEX(Clients!$E$5:$E$204,MATCH($B277,Clients!$A$5:$A$204,0))&amp;"","")))</f>
        <v/>
      </c>
      <c r="K277" s="15" t="str">
        <f aca="false">IF($B277="","",IF($F277&lt;&gt;"",$F277,IFERROR(IF(AND(INDEX(Clients!$F$5:$F$204,MATCH($B277,Clients!$A$5:$A$204,0))&amp;""&lt;&gt;"",OR($C277="",$C277=INDEX(Clients!$E$5:$E$204,MATCH($B277,Clients!$A$5:$A$204,0)))),INDEX(Clients!$F$5:$F$204,MATCH($B277,Clients!$A$5:$A$204,0)),INDEX(Settings!$E$5:$E$19,MATCH($J277,Settings!$D$5:$D$19,0))),0)))</f>
        <v/>
      </c>
      <c r="L277" s="15" t="str">
        <f aca="false">IF($B277="","",$K277*IF($D277="",1,$D277)+$E277)</f>
        <v/>
      </c>
      <c r="M277" s="15" t="str">
        <f aca="false">IF($B277="","",ROUND($L277*Settings!$B$9,2))</f>
        <v/>
      </c>
      <c r="N277" s="15" t="str">
        <f aca="false">IF($B277="","",$L277+$M277)</f>
        <v/>
      </c>
      <c r="O277" s="19" t="str">
        <f aca="false">IF($Q277="","",Settings!$B$13&amp;TEXT(ROWS($A$5:$A277),"0000"))</f>
        <v/>
      </c>
      <c r="P277" s="19" t="str">
        <f aca="false">IF($O277="","",IFERROR(INDEX(Invoices!$I$5:$I$504,MATCH($O277,Invoices!$A$5:$A$504,0)),""))</f>
        <v/>
      </c>
      <c r="Q277" s="2" t="str">
        <f aca="false">IF(AND($A277&lt;&gt;"",$B277&lt;&gt;"",$G277="Completed"),COUNTIFS($A$5:$A277,"&lt;&gt;",$B$5:$B277,"&lt;&gt;",$G$5:$G277,"Completed"),"")</f>
        <v/>
      </c>
    </row>
    <row r="278" customFormat="false" ht="15" hidden="false" customHeight="false" outlineLevel="0" collapsed="false">
      <c r="A278" s="16"/>
      <c r="B278" s="12"/>
      <c r="C278" s="17"/>
      <c r="D278" s="18"/>
      <c r="E278" s="13"/>
      <c r="F278" s="13"/>
      <c r="G278" s="12"/>
      <c r="H278" s="12"/>
      <c r="I278" s="19" t="str">
        <f aca="false">IF($B278="","",IFERROR(INDEX(Clients!$D$5:$D$204,MATCH($B278,Clients!$A$5:$A$204,0))&amp;"",""))</f>
        <v/>
      </c>
      <c r="J278" s="19" t="str">
        <f aca="false">IF($B278="","",IF($C278&lt;&gt;"",$C278,IFERROR(INDEX(Clients!$E$5:$E$204,MATCH($B278,Clients!$A$5:$A$204,0))&amp;"","")))</f>
        <v/>
      </c>
      <c r="K278" s="15" t="str">
        <f aca="false">IF($B278="","",IF($F278&lt;&gt;"",$F278,IFERROR(IF(AND(INDEX(Clients!$F$5:$F$204,MATCH($B278,Clients!$A$5:$A$204,0))&amp;""&lt;&gt;"",OR($C278="",$C278=INDEX(Clients!$E$5:$E$204,MATCH($B278,Clients!$A$5:$A$204,0)))),INDEX(Clients!$F$5:$F$204,MATCH($B278,Clients!$A$5:$A$204,0)),INDEX(Settings!$E$5:$E$19,MATCH($J278,Settings!$D$5:$D$19,0))),0)))</f>
        <v/>
      </c>
      <c r="L278" s="15" t="str">
        <f aca="false">IF($B278="","",$K278*IF($D278="",1,$D278)+$E278)</f>
        <v/>
      </c>
      <c r="M278" s="15" t="str">
        <f aca="false">IF($B278="","",ROUND($L278*Settings!$B$9,2))</f>
        <v/>
      </c>
      <c r="N278" s="15" t="str">
        <f aca="false">IF($B278="","",$L278+$M278)</f>
        <v/>
      </c>
      <c r="O278" s="19" t="str">
        <f aca="false">IF($Q278="","",Settings!$B$13&amp;TEXT(ROWS($A$5:$A278),"0000"))</f>
        <v/>
      </c>
      <c r="P278" s="19" t="str">
        <f aca="false">IF($O278="","",IFERROR(INDEX(Invoices!$I$5:$I$504,MATCH($O278,Invoices!$A$5:$A$504,0)),""))</f>
        <v/>
      </c>
      <c r="Q278" s="2" t="str">
        <f aca="false">IF(AND($A278&lt;&gt;"",$B278&lt;&gt;"",$G278="Completed"),COUNTIFS($A$5:$A278,"&lt;&gt;",$B$5:$B278,"&lt;&gt;",$G$5:$G278,"Completed"),"")</f>
        <v/>
      </c>
    </row>
    <row r="279" customFormat="false" ht="15" hidden="false" customHeight="false" outlineLevel="0" collapsed="false">
      <c r="A279" s="16"/>
      <c r="B279" s="12"/>
      <c r="C279" s="17"/>
      <c r="D279" s="18"/>
      <c r="E279" s="13"/>
      <c r="F279" s="13"/>
      <c r="G279" s="12"/>
      <c r="H279" s="12"/>
      <c r="I279" s="19" t="str">
        <f aca="false">IF($B279="","",IFERROR(INDEX(Clients!$D$5:$D$204,MATCH($B279,Clients!$A$5:$A$204,0))&amp;"",""))</f>
        <v/>
      </c>
      <c r="J279" s="19" t="str">
        <f aca="false">IF($B279="","",IF($C279&lt;&gt;"",$C279,IFERROR(INDEX(Clients!$E$5:$E$204,MATCH($B279,Clients!$A$5:$A$204,0))&amp;"","")))</f>
        <v/>
      </c>
      <c r="K279" s="15" t="str">
        <f aca="false">IF($B279="","",IF($F279&lt;&gt;"",$F279,IFERROR(IF(AND(INDEX(Clients!$F$5:$F$204,MATCH($B279,Clients!$A$5:$A$204,0))&amp;""&lt;&gt;"",OR($C279="",$C279=INDEX(Clients!$E$5:$E$204,MATCH($B279,Clients!$A$5:$A$204,0)))),INDEX(Clients!$F$5:$F$204,MATCH($B279,Clients!$A$5:$A$204,0)),INDEX(Settings!$E$5:$E$19,MATCH($J279,Settings!$D$5:$D$19,0))),0)))</f>
        <v/>
      </c>
      <c r="L279" s="15" t="str">
        <f aca="false">IF($B279="","",$K279*IF($D279="",1,$D279)+$E279)</f>
        <v/>
      </c>
      <c r="M279" s="15" t="str">
        <f aca="false">IF($B279="","",ROUND($L279*Settings!$B$9,2))</f>
        <v/>
      </c>
      <c r="N279" s="15" t="str">
        <f aca="false">IF($B279="","",$L279+$M279)</f>
        <v/>
      </c>
      <c r="O279" s="19" t="str">
        <f aca="false">IF($Q279="","",Settings!$B$13&amp;TEXT(ROWS($A$5:$A279),"0000"))</f>
        <v/>
      </c>
      <c r="P279" s="19" t="str">
        <f aca="false">IF($O279="","",IFERROR(INDEX(Invoices!$I$5:$I$504,MATCH($O279,Invoices!$A$5:$A$504,0)),""))</f>
        <v/>
      </c>
      <c r="Q279" s="2" t="str">
        <f aca="false">IF(AND($A279&lt;&gt;"",$B279&lt;&gt;"",$G279="Completed"),COUNTIFS($A$5:$A279,"&lt;&gt;",$B$5:$B279,"&lt;&gt;",$G$5:$G279,"Completed"),"")</f>
        <v/>
      </c>
    </row>
    <row r="280" customFormat="false" ht="15" hidden="false" customHeight="false" outlineLevel="0" collapsed="false">
      <c r="A280" s="16"/>
      <c r="B280" s="12"/>
      <c r="C280" s="17"/>
      <c r="D280" s="18"/>
      <c r="E280" s="13"/>
      <c r="F280" s="13"/>
      <c r="G280" s="12"/>
      <c r="H280" s="12"/>
      <c r="I280" s="19" t="str">
        <f aca="false">IF($B280="","",IFERROR(INDEX(Clients!$D$5:$D$204,MATCH($B280,Clients!$A$5:$A$204,0))&amp;"",""))</f>
        <v/>
      </c>
      <c r="J280" s="19" t="str">
        <f aca="false">IF($B280="","",IF($C280&lt;&gt;"",$C280,IFERROR(INDEX(Clients!$E$5:$E$204,MATCH($B280,Clients!$A$5:$A$204,0))&amp;"","")))</f>
        <v/>
      </c>
      <c r="K280" s="15" t="str">
        <f aca="false">IF($B280="","",IF($F280&lt;&gt;"",$F280,IFERROR(IF(AND(INDEX(Clients!$F$5:$F$204,MATCH($B280,Clients!$A$5:$A$204,0))&amp;""&lt;&gt;"",OR($C280="",$C280=INDEX(Clients!$E$5:$E$204,MATCH($B280,Clients!$A$5:$A$204,0)))),INDEX(Clients!$F$5:$F$204,MATCH($B280,Clients!$A$5:$A$204,0)),INDEX(Settings!$E$5:$E$19,MATCH($J280,Settings!$D$5:$D$19,0))),0)))</f>
        <v/>
      </c>
      <c r="L280" s="15" t="str">
        <f aca="false">IF($B280="","",$K280*IF($D280="",1,$D280)+$E280)</f>
        <v/>
      </c>
      <c r="M280" s="15" t="str">
        <f aca="false">IF($B280="","",ROUND($L280*Settings!$B$9,2))</f>
        <v/>
      </c>
      <c r="N280" s="15" t="str">
        <f aca="false">IF($B280="","",$L280+$M280)</f>
        <v/>
      </c>
      <c r="O280" s="19" t="str">
        <f aca="false">IF($Q280="","",Settings!$B$13&amp;TEXT(ROWS($A$5:$A280),"0000"))</f>
        <v/>
      </c>
      <c r="P280" s="19" t="str">
        <f aca="false">IF($O280="","",IFERROR(INDEX(Invoices!$I$5:$I$504,MATCH($O280,Invoices!$A$5:$A$504,0)),""))</f>
        <v/>
      </c>
      <c r="Q280" s="2" t="str">
        <f aca="false">IF(AND($A280&lt;&gt;"",$B280&lt;&gt;"",$G280="Completed"),COUNTIFS($A$5:$A280,"&lt;&gt;",$B$5:$B280,"&lt;&gt;",$G$5:$G280,"Completed"),"")</f>
        <v/>
      </c>
    </row>
    <row r="281" customFormat="false" ht="15" hidden="false" customHeight="false" outlineLevel="0" collapsed="false">
      <c r="A281" s="16"/>
      <c r="B281" s="12"/>
      <c r="C281" s="17"/>
      <c r="D281" s="18"/>
      <c r="E281" s="13"/>
      <c r="F281" s="13"/>
      <c r="G281" s="12"/>
      <c r="H281" s="12"/>
      <c r="I281" s="19" t="str">
        <f aca="false">IF($B281="","",IFERROR(INDEX(Clients!$D$5:$D$204,MATCH($B281,Clients!$A$5:$A$204,0))&amp;"",""))</f>
        <v/>
      </c>
      <c r="J281" s="19" t="str">
        <f aca="false">IF($B281="","",IF($C281&lt;&gt;"",$C281,IFERROR(INDEX(Clients!$E$5:$E$204,MATCH($B281,Clients!$A$5:$A$204,0))&amp;"","")))</f>
        <v/>
      </c>
      <c r="K281" s="15" t="str">
        <f aca="false">IF($B281="","",IF($F281&lt;&gt;"",$F281,IFERROR(IF(AND(INDEX(Clients!$F$5:$F$204,MATCH($B281,Clients!$A$5:$A$204,0))&amp;""&lt;&gt;"",OR($C281="",$C281=INDEX(Clients!$E$5:$E$204,MATCH($B281,Clients!$A$5:$A$204,0)))),INDEX(Clients!$F$5:$F$204,MATCH($B281,Clients!$A$5:$A$204,0)),INDEX(Settings!$E$5:$E$19,MATCH($J281,Settings!$D$5:$D$19,0))),0)))</f>
        <v/>
      </c>
      <c r="L281" s="15" t="str">
        <f aca="false">IF($B281="","",$K281*IF($D281="",1,$D281)+$E281)</f>
        <v/>
      </c>
      <c r="M281" s="15" t="str">
        <f aca="false">IF($B281="","",ROUND($L281*Settings!$B$9,2))</f>
        <v/>
      </c>
      <c r="N281" s="15" t="str">
        <f aca="false">IF($B281="","",$L281+$M281)</f>
        <v/>
      </c>
      <c r="O281" s="19" t="str">
        <f aca="false">IF($Q281="","",Settings!$B$13&amp;TEXT(ROWS($A$5:$A281),"0000"))</f>
        <v/>
      </c>
      <c r="P281" s="19" t="str">
        <f aca="false">IF($O281="","",IFERROR(INDEX(Invoices!$I$5:$I$504,MATCH($O281,Invoices!$A$5:$A$504,0)),""))</f>
        <v/>
      </c>
      <c r="Q281" s="2" t="str">
        <f aca="false">IF(AND($A281&lt;&gt;"",$B281&lt;&gt;"",$G281="Completed"),COUNTIFS($A$5:$A281,"&lt;&gt;",$B$5:$B281,"&lt;&gt;",$G$5:$G281,"Completed"),"")</f>
        <v/>
      </c>
    </row>
    <row r="282" customFormat="false" ht="15" hidden="false" customHeight="false" outlineLevel="0" collapsed="false">
      <c r="A282" s="16"/>
      <c r="B282" s="12"/>
      <c r="C282" s="17"/>
      <c r="D282" s="18"/>
      <c r="E282" s="13"/>
      <c r="F282" s="13"/>
      <c r="G282" s="12"/>
      <c r="H282" s="12"/>
      <c r="I282" s="19" t="str">
        <f aca="false">IF($B282="","",IFERROR(INDEX(Clients!$D$5:$D$204,MATCH($B282,Clients!$A$5:$A$204,0))&amp;"",""))</f>
        <v/>
      </c>
      <c r="J282" s="19" t="str">
        <f aca="false">IF($B282="","",IF($C282&lt;&gt;"",$C282,IFERROR(INDEX(Clients!$E$5:$E$204,MATCH($B282,Clients!$A$5:$A$204,0))&amp;"","")))</f>
        <v/>
      </c>
      <c r="K282" s="15" t="str">
        <f aca="false">IF($B282="","",IF($F282&lt;&gt;"",$F282,IFERROR(IF(AND(INDEX(Clients!$F$5:$F$204,MATCH($B282,Clients!$A$5:$A$204,0))&amp;""&lt;&gt;"",OR($C282="",$C282=INDEX(Clients!$E$5:$E$204,MATCH($B282,Clients!$A$5:$A$204,0)))),INDEX(Clients!$F$5:$F$204,MATCH($B282,Clients!$A$5:$A$204,0)),INDEX(Settings!$E$5:$E$19,MATCH($J282,Settings!$D$5:$D$19,0))),0)))</f>
        <v/>
      </c>
      <c r="L282" s="15" t="str">
        <f aca="false">IF($B282="","",$K282*IF($D282="",1,$D282)+$E282)</f>
        <v/>
      </c>
      <c r="M282" s="15" t="str">
        <f aca="false">IF($B282="","",ROUND($L282*Settings!$B$9,2))</f>
        <v/>
      </c>
      <c r="N282" s="15" t="str">
        <f aca="false">IF($B282="","",$L282+$M282)</f>
        <v/>
      </c>
      <c r="O282" s="19" t="str">
        <f aca="false">IF($Q282="","",Settings!$B$13&amp;TEXT(ROWS($A$5:$A282),"0000"))</f>
        <v/>
      </c>
      <c r="P282" s="19" t="str">
        <f aca="false">IF($O282="","",IFERROR(INDEX(Invoices!$I$5:$I$504,MATCH($O282,Invoices!$A$5:$A$504,0)),""))</f>
        <v/>
      </c>
      <c r="Q282" s="2" t="str">
        <f aca="false">IF(AND($A282&lt;&gt;"",$B282&lt;&gt;"",$G282="Completed"),COUNTIFS($A$5:$A282,"&lt;&gt;",$B$5:$B282,"&lt;&gt;",$G$5:$G282,"Completed"),"")</f>
        <v/>
      </c>
    </row>
    <row r="283" customFormat="false" ht="15" hidden="false" customHeight="false" outlineLevel="0" collapsed="false">
      <c r="A283" s="16"/>
      <c r="B283" s="12"/>
      <c r="C283" s="17"/>
      <c r="D283" s="18"/>
      <c r="E283" s="13"/>
      <c r="F283" s="13"/>
      <c r="G283" s="12"/>
      <c r="H283" s="12"/>
      <c r="I283" s="19" t="str">
        <f aca="false">IF($B283="","",IFERROR(INDEX(Clients!$D$5:$D$204,MATCH($B283,Clients!$A$5:$A$204,0))&amp;"",""))</f>
        <v/>
      </c>
      <c r="J283" s="19" t="str">
        <f aca="false">IF($B283="","",IF($C283&lt;&gt;"",$C283,IFERROR(INDEX(Clients!$E$5:$E$204,MATCH($B283,Clients!$A$5:$A$204,0))&amp;"","")))</f>
        <v/>
      </c>
      <c r="K283" s="15" t="str">
        <f aca="false">IF($B283="","",IF($F283&lt;&gt;"",$F283,IFERROR(IF(AND(INDEX(Clients!$F$5:$F$204,MATCH($B283,Clients!$A$5:$A$204,0))&amp;""&lt;&gt;"",OR($C283="",$C283=INDEX(Clients!$E$5:$E$204,MATCH($B283,Clients!$A$5:$A$204,0)))),INDEX(Clients!$F$5:$F$204,MATCH($B283,Clients!$A$5:$A$204,0)),INDEX(Settings!$E$5:$E$19,MATCH($J283,Settings!$D$5:$D$19,0))),0)))</f>
        <v/>
      </c>
      <c r="L283" s="15" t="str">
        <f aca="false">IF($B283="","",$K283*IF($D283="",1,$D283)+$E283)</f>
        <v/>
      </c>
      <c r="M283" s="15" t="str">
        <f aca="false">IF($B283="","",ROUND($L283*Settings!$B$9,2))</f>
        <v/>
      </c>
      <c r="N283" s="15" t="str">
        <f aca="false">IF($B283="","",$L283+$M283)</f>
        <v/>
      </c>
      <c r="O283" s="19" t="str">
        <f aca="false">IF($Q283="","",Settings!$B$13&amp;TEXT(ROWS($A$5:$A283),"0000"))</f>
        <v/>
      </c>
      <c r="P283" s="19" t="str">
        <f aca="false">IF($O283="","",IFERROR(INDEX(Invoices!$I$5:$I$504,MATCH($O283,Invoices!$A$5:$A$504,0)),""))</f>
        <v/>
      </c>
      <c r="Q283" s="2" t="str">
        <f aca="false">IF(AND($A283&lt;&gt;"",$B283&lt;&gt;"",$G283="Completed"),COUNTIFS($A$5:$A283,"&lt;&gt;",$B$5:$B283,"&lt;&gt;",$G$5:$G283,"Completed"),"")</f>
        <v/>
      </c>
    </row>
    <row r="284" customFormat="false" ht="15" hidden="false" customHeight="false" outlineLevel="0" collapsed="false">
      <c r="A284" s="16"/>
      <c r="B284" s="12"/>
      <c r="C284" s="17"/>
      <c r="D284" s="18"/>
      <c r="E284" s="13"/>
      <c r="F284" s="13"/>
      <c r="G284" s="12"/>
      <c r="H284" s="12"/>
      <c r="I284" s="19" t="str">
        <f aca="false">IF($B284="","",IFERROR(INDEX(Clients!$D$5:$D$204,MATCH($B284,Clients!$A$5:$A$204,0))&amp;"",""))</f>
        <v/>
      </c>
      <c r="J284" s="19" t="str">
        <f aca="false">IF($B284="","",IF($C284&lt;&gt;"",$C284,IFERROR(INDEX(Clients!$E$5:$E$204,MATCH($B284,Clients!$A$5:$A$204,0))&amp;"","")))</f>
        <v/>
      </c>
      <c r="K284" s="15" t="str">
        <f aca="false">IF($B284="","",IF($F284&lt;&gt;"",$F284,IFERROR(IF(AND(INDEX(Clients!$F$5:$F$204,MATCH($B284,Clients!$A$5:$A$204,0))&amp;""&lt;&gt;"",OR($C284="",$C284=INDEX(Clients!$E$5:$E$204,MATCH($B284,Clients!$A$5:$A$204,0)))),INDEX(Clients!$F$5:$F$204,MATCH($B284,Clients!$A$5:$A$204,0)),INDEX(Settings!$E$5:$E$19,MATCH($J284,Settings!$D$5:$D$19,0))),0)))</f>
        <v/>
      </c>
      <c r="L284" s="15" t="str">
        <f aca="false">IF($B284="","",$K284*IF($D284="",1,$D284)+$E284)</f>
        <v/>
      </c>
      <c r="M284" s="15" t="str">
        <f aca="false">IF($B284="","",ROUND($L284*Settings!$B$9,2))</f>
        <v/>
      </c>
      <c r="N284" s="15" t="str">
        <f aca="false">IF($B284="","",$L284+$M284)</f>
        <v/>
      </c>
      <c r="O284" s="19" t="str">
        <f aca="false">IF($Q284="","",Settings!$B$13&amp;TEXT(ROWS($A$5:$A284),"0000"))</f>
        <v/>
      </c>
      <c r="P284" s="19" t="str">
        <f aca="false">IF($O284="","",IFERROR(INDEX(Invoices!$I$5:$I$504,MATCH($O284,Invoices!$A$5:$A$504,0)),""))</f>
        <v/>
      </c>
      <c r="Q284" s="2" t="str">
        <f aca="false">IF(AND($A284&lt;&gt;"",$B284&lt;&gt;"",$G284="Completed"),COUNTIFS($A$5:$A284,"&lt;&gt;",$B$5:$B284,"&lt;&gt;",$G$5:$G284,"Completed"),"")</f>
        <v/>
      </c>
    </row>
    <row r="285" customFormat="false" ht="15" hidden="false" customHeight="false" outlineLevel="0" collapsed="false">
      <c r="A285" s="16"/>
      <c r="B285" s="12"/>
      <c r="C285" s="17"/>
      <c r="D285" s="18"/>
      <c r="E285" s="13"/>
      <c r="F285" s="13"/>
      <c r="G285" s="12"/>
      <c r="H285" s="12"/>
      <c r="I285" s="19" t="str">
        <f aca="false">IF($B285="","",IFERROR(INDEX(Clients!$D$5:$D$204,MATCH($B285,Clients!$A$5:$A$204,0))&amp;"",""))</f>
        <v/>
      </c>
      <c r="J285" s="19" t="str">
        <f aca="false">IF($B285="","",IF($C285&lt;&gt;"",$C285,IFERROR(INDEX(Clients!$E$5:$E$204,MATCH($B285,Clients!$A$5:$A$204,0))&amp;"","")))</f>
        <v/>
      </c>
      <c r="K285" s="15" t="str">
        <f aca="false">IF($B285="","",IF($F285&lt;&gt;"",$F285,IFERROR(IF(AND(INDEX(Clients!$F$5:$F$204,MATCH($B285,Clients!$A$5:$A$204,0))&amp;""&lt;&gt;"",OR($C285="",$C285=INDEX(Clients!$E$5:$E$204,MATCH($B285,Clients!$A$5:$A$204,0)))),INDEX(Clients!$F$5:$F$204,MATCH($B285,Clients!$A$5:$A$204,0)),INDEX(Settings!$E$5:$E$19,MATCH($J285,Settings!$D$5:$D$19,0))),0)))</f>
        <v/>
      </c>
      <c r="L285" s="15" t="str">
        <f aca="false">IF($B285="","",$K285*IF($D285="",1,$D285)+$E285)</f>
        <v/>
      </c>
      <c r="M285" s="15" t="str">
        <f aca="false">IF($B285="","",ROUND($L285*Settings!$B$9,2))</f>
        <v/>
      </c>
      <c r="N285" s="15" t="str">
        <f aca="false">IF($B285="","",$L285+$M285)</f>
        <v/>
      </c>
      <c r="O285" s="19" t="str">
        <f aca="false">IF($Q285="","",Settings!$B$13&amp;TEXT(ROWS($A$5:$A285),"0000"))</f>
        <v/>
      </c>
      <c r="P285" s="19" t="str">
        <f aca="false">IF($O285="","",IFERROR(INDEX(Invoices!$I$5:$I$504,MATCH($O285,Invoices!$A$5:$A$504,0)),""))</f>
        <v/>
      </c>
      <c r="Q285" s="2" t="str">
        <f aca="false">IF(AND($A285&lt;&gt;"",$B285&lt;&gt;"",$G285="Completed"),COUNTIFS($A$5:$A285,"&lt;&gt;",$B$5:$B285,"&lt;&gt;",$G$5:$G285,"Completed"),"")</f>
        <v/>
      </c>
    </row>
    <row r="286" customFormat="false" ht="15" hidden="false" customHeight="false" outlineLevel="0" collapsed="false">
      <c r="A286" s="16"/>
      <c r="B286" s="12"/>
      <c r="C286" s="17"/>
      <c r="D286" s="18"/>
      <c r="E286" s="13"/>
      <c r="F286" s="13"/>
      <c r="G286" s="12"/>
      <c r="H286" s="12"/>
      <c r="I286" s="19" t="str">
        <f aca="false">IF($B286="","",IFERROR(INDEX(Clients!$D$5:$D$204,MATCH($B286,Clients!$A$5:$A$204,0))&amp;"",""))</f>
        <v/>
      </c>
      <c r="J286" s="19" t="str">
        <f aca="false">IF($B286="","",IF($C286&lt;&gt;"",$C286,IFERROR(INDEX(Clients!$E$5:$E$204,MATCH($B286,Clients!$A$5:$A$204,0))&amp;"","")))</f>
        <v/>
      </c>
      <c r="K286" s="15" t="str">
        <f aca="false">IF($B286="","",IF($F286&lt;&gt;"",$F286,IFERROR(IF(AND(INDEX(Clients!$F$5:$F$204,MATCH($B286,Clients!$A$5:$A$204,0))&amp;""&lt;&gt;"",OR($C286="",$C286=INDEX(Clients!$E$5:$E$204,MATCH($B286,Clients!$A$5:$A$204,0)))),INDEX(Clients!$F$5:$F$204,MATCH($B286,Clients!$A$5:$A$204,0)),INDEX(Settings!$E$5:$E$19,MATCH($J286,Settings!$D$5:$D$19,0))),0)))</f>
        <v/>
      </c>
      <c r="L286" s="15" t="str">
        <f aca="false">IF($B286="","",$K286*IF($D286="",1,$D286)+$E286)</f>
        <v/>
      </c>
      <c r="M286" s="15" t="str">
        <f aca="false">IF($B286="","",ROUND($L286*Settings!$B$9,2))</f>
        <v/>
      </c>
      <c r="N286" s="15" t="str">
        <f aca="false">IF($B286="","",$L286+$M286)</f>
        <v/>
      </c>
      <c r="O286" s="19" t="str">
        <f aca="false">IF($Q286="","",Settings!$B$13&amp;TEXT(ROWS($A$5:$A286),"0000"))</f>
        <v/>
      </c>
      <c r="P286" s="19" t="str">
        <f aca="false">IF($O286="","",IFERROR(INDEX(Invoices!$I$5:$I$504,MATCH($O286,Invoices!$A$5:$A$504,0)),""))</f>
        <v/>
      </c>
      <c r="Q286" s="2" t="str">
        <f aca="false">IF(AND($A286&lt;&gt;"",$B286&lt;&gt;"",$G286="Completed"),COUNTIFS($A$5:$A286,"&lt;&gt;",$B$5:$B286,"&lt;&gt;",$G$5:$G286,"Completed"),"")</f>
        <v/>
      </c>
    </row>
    <row r="287" customFormat="false" ht="15" hidden="false" customHeight="false" outlineLevel="0" collapsed="false">
      <c r="A287" s="16"/>
      <c r="B287" s="12"/>
      <c r="C287" s="17"/>
      <c r="D287" s="18"/>
      <c r="E287" s="13"/>
      <c r="F287" s="13"/>
      <c r="G287" s="12"/>
      <c r="H287" s="12"/>
      <c r="I287" s="19" t="str">
        <f aca="false">IF($B287="","",IFERROR(INDEX(Clients!$D$5:$D$204,MATCH($B287,Clients!$A$5:$A$204,0))&amp;"",""))</f>
        <v/>
      </c>
      <c r="J287" s="19" t="str">
        <f aca="false">IF($B287="","",IF($C287&lt;&gt;"",$C287,IFERROR(INDEX(Clients!$E$5:$E$204,MATCH($B287,Clients!$A$5:$A$204,0))&amp;"","")))</f>
        <v/>
      </c>
      <c r="K287" s="15" t="str">
        <f aca="false">IF($B287="","",IF($F287&lt;&gt;"",$F287,IFERROR(IF(AND(INDEX(Clients!$F$5:$F$204,MATCH($B287,Clients!$A$5:$A$204,0))&amp;""&lt;&gt;"",OR($C287="",$C287=INDEX(Clients!$E$5:$E$204,MATCH($B287,Clients!$A$5:$A$204,0)))),INDEX(Clients!$F$5:$F$204,MATCH($B287,Clients!$A$5:$A$204,0)),INDEX(Settings!$E$5:$E$19,MATCH($J287,Settings!$D$5:$D$19,0))),0)))</f>
        <v/>
      </c>
      <c r="L287" s="15" t="str">
        <f aca="false">IF($B287="","",$K287*IF($D287="",1,$D287)+$E287)</f>
        <v/>
      </c>
      <c r="M287" s="15" t="str">
        <f aca="false">IF($B287="","",ROUND($L287*Settings!$B$9,2))</f>
        <v/>
      </c>
      <c r="N287" s="15" t="str">
        <f aca="false">IF($B287="","",$L287+$M287)</f>
        <v/>
      </c>
      <c r="O287" s="19" t="str">
        <f aca="false">IF($Q287="","",Settings!$B$13&amp;TEXT(ROWS($A$5:$A287),"0000"))</f>
        <v/>
      </c>
      <c r="P287" s="19" t="str">
        <f aca="false">IF($O287="","",IFERROR(INDEX(Invoices!$I$5:$I$504,MATCH($O287,Invoices!$A$5:$A$504,0)),""))</f>
        <v/>
      </c>
      <c r="Q287" s="2" t="str">
        <f aca="false">IF(AND($A287&lt;&gt;"",$B287&lt;&gt;"",$G287="Completed"),COUNTIFS($A$5:$A287,"&lt;&gt;",$B$5:$B287,"&lt;&gt;",$G$5:$G287,"Completed"),"")</f>
        <v/>
      </c>
    </row>
    <row r="288" customFormat="false" ht="15" hidden="false" customHeight="false" outlineLevel="0" collapsed="false">
      <c r="A288" s="16"/>
      <c r="B288" s="12"/>
      <c r="C288" s="17"/>
      <c r="D288" s="18"/>
      <c r="E288" s="13"/>
      <c r="F288" s="13"/>
      <c r="G288" s="12"/>
      <c r="H288" s="12"/>
      <c r="I288" s="19" t="str">
        <f aca="false">IF($B288="","",IFERROR(INDEX(Clients!$D$5:$D$204,MATCH($B288,Clients!$A$5:$A$204,0))&amp;"",""))</f>
        <v/>
      </c>
      <c r="J288" s="19" t="str">
        <f aca="false">IF($B288="","",IF($C288&lt;&gt;"",$C288,IFERROR(INDEX(Clients!$E$5:$E$204,MATCH($B288,Clients!$A$5:$A$204,0))&amp;"","")))</f>
        <v/>
      </c>
      <c r="K288" s="15" t="str">
        <f aca="false">IF($B288="","",IF($F288&lt;&gt;"",$F288,IFERROR(IF(AND(INDEX(Clients!$F$5:$F$204,MATCH($B288,Clients!$A$5:$A$204,0))&amp;""&lt;&gt;"",OR($C288="",$C288=INDEX(Clients!$E$5:$E$204,MATCH($B288,Clients!$A$5:$A$204,0)))),INDEX(Clients!$F$5:$F$204,MATCH($B288,Clients!$A$5:$A$204,0)),INDEX(Settings!$E$5:$E$19,MATCH($J288,Settings!$D$5:$D$19,0))),0)))</f>
        <v/>
      </c>
      <c r="L288" s="15" t="str">
        <f aca="false">IF($B288="","",$K288*IF($D288="",1,$D288)+$E288)</f>
        <v/>
      </c>
      <c r="M288" s="15" t="str">
        <f aca="false">IF($B288="","",ROUND($L288*Settings!$B$9,2))</f>
        <v/>
      </c>
      <c r="N288" s="15" t="str">
        <f aca="false">IF($B288="","",$L288+$M288)</f>
        <v/>
      </c>
      <c r="O288" s="19" t="str">
        <f aca="false">IF($Q288="","",Settings!$B$13&amp;TEXT(ROWS($A$5:$A288),"0000"))</f>
        <v/>
      </c>
      <c r="P288" s="19" t="str">
        <f aca="false">IF($O288="","",IFERROR(INDEX(Invoices!$I$5:$I$504,MATCH($O288,Invoices!$A$5:$A$504,0)),""))</f>
        <v/>
      </c>
      <c r="Q288" s="2" t="str">
        <f aca="false">IF(AND($A288&lt;&gt;"",$B288&lt;&gt;"",$G288="Completed"),COUNTIFS($A$5:$A288,"&lt;&gt;",$B$5:$B288,"&lt;&gt;",$G$5:$G288,"Completed"),"")</f>
        <v/>
      </c>
    </row>
    <row r="289" customFormat="false" ht="15" hidden="false" customHeight="false" outlineLevel="0" collapsed="false">
      <c r="A289" s="16"/>
      <c r="B289" s="12"/>
      <c r="C289" s="17"/>
      <c r="D289" s="18"/>
      <c r="E289" s="13"/>
      <c r="F289" s="13"/>
      <c r="G289" s="12"/>
      <c r="H289" s="12"/>
      <c r="I289" s="19" t="str">
        <f aca="false">IF($B289="","",IFERROR(INDEX(Clients!$D$5:$D$204,MATCH($B289,Clients!$A$5:$A$204,0))&amp;"",""))</f>
        <v/>
      </c>
      <c r="J289" s="19" t="str">
        <f aca="false">IF($B289="","",IF($C289&lt;&gt;"",$C289,IFERROR(INDEX(Clients!$E$5:$E$204,MATCH($B289,Clients!$A$5:$A$204,0))&amp;"","")))</f>
        <v/>
      </c>
      <c r="K289" s="15" t="str">
        <f aca="false">IF($B289="","",IF($F289&lt;&gt;"",$F289,IFERROR(IF(AND(INDEX(Clients!$F$5:$F$204,MATCH($B289,Clients!$A$5:$A$204,0))&amp;""&lt;&gt;"",OR($C289="",$C289=INDEX(Clients!$E$5:$E$204,MATCH($B289,Clients!$A$5:$A$204,0)))),INDEX(Clients!$F$5:$F$204,MATCH($B289,Clients!$A$5:$A$204,0)),INDEX(Settings!$E$5:$E$19,MATCH($J289,Settings!$D$5:$D$19,0))),0)))</f>
        <v/>
      </c>
      <c r="L289" s="15" t="str">
        <f aca="false">IF($B289="","",$K289*IF($D289="",1,$D289)+$E289)</f>
        <v/>
      </c>
      <c r="M289" s="15" t="str">
        <f aca="false">IF($B289="","",ROUND($L289*Settings!$B$9,2))</f>
        <v/>
      </c>
      <c r="N289" s="15" t="str">
        <f aca="false">IF($B289="","",$L289+$M289)</f>
        <v/>
      </c>
      <c r="O289" s="19" t="str">
        <f aca="false">IF($Q289="","",Settings!$B$13&amp;TEXT(ROWS($A$5:$A289),"0000"))</f>
        <v/>
      </c>
      <c r="P289" s="19" t="str">
        <f aca="false">IF($O289="","",IFERROR(INDEX(Invoices!$I$5:$I$504,MATCH($O289,Invoices!$A$5:$A$504,0)),""))</f>
        <v/>
      </c>
      <c r="Q289" s="2" t="str">
        <f aca="false">IF(AND($A289&lt;&gt;"",$B289&lt;&gt;"",$G289="Completed"),COUNTIFS($A$5:$A289,"&lt;&gt;",$B$5:$B289,"&lt;&gt;",$G$5:$G289,"Completed"),"")</f>
        <v/>
      </c>
    </row>
    <row r="290" customFormat="false" ht="15" hidden="false" customHeight="false" outlineLevel="0" collapsed="false">
      <c r="A290" s="16"/>
      <c r="B290" s="12"/>
      <c r="C290" s="17"/>
      <c r="D290" s="18"/>
      <c r="E290" s="13"/>
      <c r="F290" s="13"/>
      <c r="G290" s="12"/>
      <c r="H290" s="12"/>
      <c r="I290" s="19" t="str">
        <f aca="false">IF($B290="","",IFERROR(INDEX(Clients!$D$5:$D$204,MATCH($B290,Clients!$A$5:$A$204,0))&amp;"",""))</f>
        <v/>
      </c>
      <c r="J290" s="19" t="str">
        <f aca="false">IF($B290="","",IF($C290&lt;&gt;"",$C290,IFERROR(INDEX(Clients!$E$5:$E$204,MATCH($B290,Clients!$A$5:$A$204,0))&amp;"","")))</f>
        <v/>
      </c>
      <c r="K290" s="15" t="str">
        <f aca="false">IF($B290="","",IF($F290&lt;&gt;"",$F290,IFERROR(IF(AND(INDEX(Clients!$F$5:$F$204,MATCH($B290,Clients!$A$5:$A$204,0))&amp;""&lt;&gt;"",OR($C290="",$C290=INDEX(Clients!$E$5:$E$204,MATCH($B290,Clients!$A$5:$A$204,0)))),INDEX(Clients!$F$5:$F$204,MATCH($B290,Clients!$A$5:$A$204,0)),INDEX(Settings!$E$5:$E$19,MATCH($J290,Settings!$D$5:$D$19,0))),0)))</f>
        <v/>
      </c>
      <c r="L290" s="15" t="str">
        <f aca="false">IF($B290="","",$K290*IF($D290="",1,$D290)+$E290)</f>
        <v/>
      </c>
      <c r="M290" s="15" t="str">
        <f aca="false">IF($B290="","",ROUND($L290*Settings!$B$9,2))</f>
        <v/>
      </c>
      <c r="N290" s="15" t="str">
        <f aca="false">IF($B290="","",$L290+$M290)</f>
        <v/>
      </c>
      <c r="O290" s="19" t="str">
        <f aca="false">IF($Q290="","",Settings!$B$13&amp;TEXT(ROWS($A$5:$A290),"0000"))</f>
        <v/>
      </c>
      <c r="P290" s="19" t="str">
        <f aca="false">IF($O290="","",IFERROR(INDEX(Invoices!$I$5:$I$504,MATCH($O290,Invoices!$A$5:$A$504,0)),""))</f>
        <v/>
      </c>
      <c r="Q290" s="2" t="str">
        <f aca="false">IF(AND($A290&lt;&gt;"",$B290&lt;&gt;"",$G290="Completed"),COUNTIFS($A$5:$A290,"&lt;&gt;",$B$5:$B290,"&lt;&gt;",$G$5:$G290,"Completed"),"")</f>
        <v/>
      </c>
    </row>
    <row r="291" customFormat="false" ht="15" hidden="false" customHeight="false" outlineLevel="0" collapsed="false">
      <c r="A291" s="16"/>
      <c r="B291" s="12"/>
      <c r="C291" s="17"/>
      <c r="D291" s="18"/>
      <c r="E291" s="13"/>
      <c r="F291" s="13"/>
      <c r="G291" s="12"/>
      <c r="H291" s="12"/>
      <c r="I291" s="19" t="str">
        <f aca="false">IF($B291="","",IFERROR(INDEX(Clients!$D$5:$D$204,MATCH($B291,Clients!$A$5:$A$204,0))&amp;"",""))</f>
        <v/>
      </c>
      <c r="J291" s="19" t="str">
        <f aca="false">IF($B291="","",IF($C291&lt;&gt;"",$C291,IFERROR(INDEX(Clients!$E$5:$E$204,MATCH($B291,Clients!$A$5:$A$204,0))&amp;"","")))</f>
        <v/>
      </c>
      <c r="K291" s="15" t="str">
        <f aca="false">IF($B291="","",IF($F291&lt;&gt;"",$F291,IFERROR(IF(AND(INDEX(Clients!$F$5:$F$204,MATCH($B291,Clients!$A$5:$A$204,0))&amp;""&lt;&gt;"",OR($C291="",$C291=INDEX(Clients!$E$5:$E$204,MATCH($B291,Clients!$A$5:$A$204,0)))),INDEX(Clients!$F$5:$F$204,MATCH($B291,Clients!$A$5:$A$204,0)),INDEX(Settings!$E$5:$E$19,MATCH($J291,Settings!$D$5:$D$19,0))),0)))</f>
        <v/>
      </c>
      <c r="L291" s="15" t="str">
        <f aca="false">IF($B291="","",$K291*IF($D291="",1,$D291)+$E291)</f>
        <v/>
      </c>
      <c r="M291" s="15" t="str">
        <f aca="false">IF($B291="","",ROUND($L291*Settings!$B$9,2))</f>
        <v/>
      </c>
      <c r="N291" s="15" t="str">
        <f aca="false">IF($B291="","",$L291+$M291)</f>
        <v/>
      </c>
      <c r="O291" s="19" t="str">
        <f aca="false">IF($Q291="","",Settings!$B$13&amp;TEXT(ROWS($A$5:$A291),"0000"))</f>
        <v/>
      </c>
      <c r="P291" s="19" t="str">
        <f aca="false">IF($O291="","",IFERROR(INDEX(Invoices!$I$5:$I$504,MATCH($O291,Invoices!$A$5:$A$504,0)),""))</f>
        <v/>
      </c>
      <c r="Q291" s="2" t="str">
        <f aca="false">IF(AND($A291&lt;&gt;"",$B291&lt;&gt;"",$G291="Completed"),COUNTIFS($A$5:$A291,"&lt;&gt;",$B$5:$B291,"&lt;&gt;",$G$5:$G291,"Completed"),"")</f>
        <v/>
      </c>
    </row>
    <row r="292" customFormat="false" ht="15" hidden="false" customHeight="false" outlineLevel="0" collapsed="false">
      <c r="A292" s="16"/>
      <c r="B292" s="12"/>
      <c r="C292" s="17"/>
      <c r="D292" s="18"/>
      <c r="E292" s="13"/>
      <c r="F292" s="13"/>
      <c r="G292" s="12"/>
      <c r="H292" s="12"/>
      <c r="I292" s="19" t="str">
        <f aca="false">IF($B292="","",IFERROR(INDEX(Clients!$D$5:$D$204,MATCH($B292,Clients!$A$5:$A$204,0))&amp;"",""))</f>
        <v/>
      </c>
      <c r="J292" s="19" t="str">
        <f aca="false">IF($B292="","",IF($C292&lt;&gt;"",$C292,IFERROR(INDEX(Clients!$E$5:$E$204,MATCH($B292,Clients!$A$5:$A$204,0))&amp;"","")))</f>
        <v/>
      </c>
      <c r="K292" s="15" t="str">
        <f aca="false">IF($B292="","",IF($F292&lt;&gt;"",$F292,IFERROR(IF(AND(INDEX(Clients!$F$5:$F$204,MATCH($B292,Clients!$A$5:$A$204,0))&amp;""&lt;&gt;"",OR($C292="",$C292=INDEX(Clients!$E$5:$E$204,MATCH($B292,Clients!$A$5:$A$204,0)))),INDEX(Clients!$F$5:$F$204,MATCH($B292,Clients!$A$5:$A$204,0)),INDEX(Settings!$E$5:$E$19,MATCH($J292,Settings!$D$5:$D$19,0))),0)))</f>
        <v/>
      </c>
      <c r="L292" s="15" t="str">
        <f aca="false">IF($B292="","",$K292*IF($D292="",1,$D292)+$E292)</f>
        <v/>
      </c>
      <c r="M292" s="15" t="str">
        <f aca="false">IF($B292="","",ROUND($L292*Settings!$B$9,2))</f>
        <v/>
      </c>
      <c r="N292" s="15" t="str">
        <f aca="false">IF($B292="","",$L292+$M292)</f>
        <v/>
      </c>
      <c r="O292" s="19" t="str">
        <f aca="false">IF($Q292="","",Settings!$B$13&amp;TEXT(ROWS($A$5:$A292),"0000"))</f>
        <v/>
      </c>
      <c r="P292" s="19" t="str">
        <f aca="false">IF($O292="","",IFERROR(INDEX(Invoices!$I$5:$I$504,MATCH($O292,Invoices!$A$5:$A$504,0)),""))</f>
        <v/>
      </c>
      <c r="Q292" s="2" t="str">
        <f aca="false">IF(AND($A292&lt;&gt;"",$B292&lt;&gt;"",$G292="Completed"),COUNTIFS($A$5:$A292,"&lt;&gt;",$B$5:$B292,"&lt;&gt;",$G$5:$G292,"Completed"),"")</f>
        <v/>
      </c>
    </row>
    <row r="293" customFormat="false" ht="15" hidden="false" customHeight="false" outlineLevel="0" collapsed="false">
      <c r="A293" s="16"/>
      <c r="B293" s="12"/>
      <c r="C293" s="17"/>
      <c r="D293" s="18"/>
      <c r="E293" s="13"/>
      <c r="F293" s="13"/>
      <c r="G293" s="12"/>
      <c r="H293" s="12"/>
      <c r="I293" s="19" t="str">
        <f aca="false">IF($B293="","",IFERROR(INDEX(Clients!$D$5:$D$204,MATCH($B293,Clients!$A$5:$A$204,0))&amp;"",""))</f>
        <v/>
      </c>
      <c r="J293" s="19" t="str">
        <f aca="false">IF($B293="","",IF($C293&lt;&gt;"",$C293,IFERROR(INDEX(Clients!$E$5:$E$204,MATCH($B293,Clients!$A$5:$A$204,0))&amp;"","")))</f>
        <v/>
      </c>
      <c r="K293" s="15" t="str">
        <f aca="false">IF($B293="","",IF($F293&lt;&gt;"",$F293,IFERROR(IF(AND(INDEX(Clients!$F$5:$F$204,MATCH($B293,Clients!$A$5:$A$204,0))&amp;""&lt;&gt;"",OR($C293="",$C293=INDEX(Clients!$E$5:$E$204,MATCH($B293,Clients!$A$5:$A$204,0)))),INDEX(Clients!$F$5:$F$204,MATCH($B293,Clients!$A$5:$A$204,0)),INDEX(Settings!$E$5:$E$19,MATCH($J293,Settings!$D$5:$D$19,0))),0)))</f>
        <v/>
      </c>
      <c r="L293" s="15" t="str">
        <f aca="false">IF($B293="","",$K293*IF($D293="",1,$D293)+$E293)</f>
        <v/>
      </c>
      <c r="M293" s="15" t="str">
        <f aca="false">IF($B293="","",ROUND($L293*Settings!$B$9,2))</f>
        <v/>
      </c>
      <c r="N293" s="15" t="str">
        <f aca="false">IF($B293="","",$L293+$M293)</f>
        <v/>
      </c>
      <c r="O293" s="19" t="str">
        <f aca="false">IF($Q293="","",Settings!$B$13&amp;TEXT(ROWS($A$5:$A293),"0000"))</f>
        <v/>
      </c>
      <c r="P293" s="19" t="str">
        <f aca="false">IF($O293="","",IFERROR(INDEX(Invoices!$I$5:$I$504,MATCH($O293,Invoices!$A$5:$A$504,0)),""))</f>
        <v/>
      </c>
      <c r="Q293" s="2" t="str">
        <f aca="false">IF(AND($A293&lt;&gt;"",$B293&lt;&gt;"",$G293="Completed"),COUNTIFS($A$5:$A293,"&lt;&gt;",$B$5:$B293,"&lt;&gt;",$G$5:$G293,"Completed"),"")</f>
        <v/>
      </c>
    </row>
    <row r="294" customFormat="false" ht="15" hidden="false" customHeight="false" outlineLevel="0" collapsed="false">
      <c r="A294" s="16"/>
      <c r="B294" s="12"/>
      <c r="C294" s="17"/>
      <c r="D294" s="18"/>
      <c r="E294" s="13"/>
      <c r="F294" s="13"/>
      <c r="G294" s="12"/>
      <c r="H294" s="12"/>
      <c r="I294" s="19" t="str">
        <f aca="false">IF($B294="","",IFERROR(INDEX(Clients!$D$5:$D$204,MATCH($B294,Clients!$A$5:$A$204,0))&amp;"",""))</f>
        <v/>
      </c>
      <c r="J294" s="19" t="str">
        <f aca="false">IF($B294="","",IF($C294&lt;&gt;"",$C294,IFERROR(INDEX(Clients!$E$5:$E$204,MATCH($B294,Clients!$A$5:$A$204,0))&amp;"","")))</f>
        <v/>
      </c>
      <c r="K294" s="15" t="str">
        <f aca="false">IF($B294="","",IF($F294&lt;&gt;"",$F294,IFERROR(IF(AND(INDEX(Clients!$F$5:$F$204,MATCH($B294,Clients!$A$5:$A$204,0))&amp;""&lt;&gt;"",OR($C294="",$C294=INDEX(Clients!$E$5:$E$204,MATCH($B294,Clients!$A$5:$A$204,0)))),INDEX(Clients!$F$5:$F$204,MATCH($B294,Clients!$A$5:$A$204,0)),INDEX(Settings!$E$5:$E$19,MATCH($J294,Settings!$D$5:$D$19,0))),0)))</f>
        <v/>
      </c>
      <c r="L294" s="15" t="str">
        <f aca="false">IF($B294="","",$K294*IF($D294="",1,$D294)+$E294)</f>
        <v/>
      </c>
      <c r="M294" s="15" t="str">
        <f aca="false">IF($B294="","",ROUND($L294*Settings!$B$9,2))</f>
        <v/>
      </c>
      <c r="N294" s="15" t="str">
        <f aca="false">IF($B294="","",$L294+$M294)</f>
        <v/>
      </c>
      <c r="O294" s="19" t="str">
        <f aca="false">IF($Q294="","",Settings!$B$13&amp;TEXT(ROWS($A$5:$A294),"0000"))</f>
        <v/>
      </c>
      <c r="P294" s="19" t="str">
        <f aca="false">IF($O294="","",IFERROR(INDEX(Invoices!$I$5:$I$504,MATCH($O294,Invoices!$A$5:$A$504,0)),""))</f>
        <v/>
      </c>
      <c r="Q294" s="2" t="str">
        <f aca="false">IF(AND($A294&lt;&gt;"",$B294&lt;&gt;"",$G294="Completed"),COUNTIFS($A$5:$A294,"&lt;&gt;",$B$5:$B294,"&lt;&gt;",$G$5:$G294,"Completed"),"")</f>
        <v/>
      </c>
    </row>
    <row r="295" customFormat="false" ht="15" hidden="false" customHeight="false" outlineLevel="0" collapsed="false">
      <c r="A295" s="16"/>
      <c r="B295" s="12"/>
      <c r="C295" s="17"/>
      <c r="D295" s="18"/>
      <c r="E295" s="13"/>
      <c r="F295" s="13"/>
      <c r="G295" s="12"/>
      <c r="H295" s="12"/>
      <c r="I295" s="19" t="str">
        <f aca="false">IF($B295="","",IFERROR(INDEX(Clients!$D$5:$D$204,MATCH($B295,Clients!$A$5:$A$204,0))&amp;"",""))</f>
        <v/>
      </c>
      <c r="J295" s="19" t="str">
        <f aca="false">IF($B295="","",IF($C295&lt;&gt;"",$C295,IFERROR(INDEX(Clients!$E$5:$E$204,MATCH($B295,Clients!$A$5:$A$204,0))&amp;"","")))</f>
        <v/>
      </c>
      <c r="K295" s="15" t="str">
        <f aca="false">IF($B295="","",IF($F295&lt;&gt;"",$F295,IFERROR(IF(AND(INDEX(Clients!$F$5:$F$204,MATCH($B295,Clients!$A$5:$A$204,0))&amp;""&lt;&gt;"",OR($C295="",$C295=INDEX(Clients!$E$5:$E$204,MATCH($B295,Clients!$A$5:$A$204,0)))),INDEX(Clients!$F$5:$F$204,MATCH($B295,Clients!$A$5:$A$204,0)),INDEX(Settings!$E$5:$E$19,MATCH($J295,Settings!$D$5:$D$19,0))),0)))</f>
        <v/>
      </c>
      <c r="L295" s="15" t="str">
        <f aca="false">IF($B295="","",$K295*IF($D295="",1,$D295)+$E295)</f>
        <v/>
      </c>
      <c r="M295" s="15" t="str">
        <f aca="false">IF($B295="","",ROUND($L295*Settings!$B$9,2))</f>
        <v/>
      </c>
      <c r="N295" s="15" t="str">
        <f aca="false">IF($B295="","",$L295+$M295)</f>
        <v/>
      </c>
      <c r="O295" s="19" t="str">
        <f aca="false">IF($Q295="","",Settings!$B$13&amp;TEXT(ROWS($A$5:$A295),"0000"))</f>
        <v/>
      </c>
      <c r="P295" s="19" t="str">
        <f aca="false">IF($O295="","",IFERROR(INDEX(Invoices!$I$5:$I$504,MATCH($O295,Invoices!$A$5:$A$504,0)),""))</f>
        <v/>
      </c>
      <c r="Q295" s="2" t="str">
        <f aca="false">IF(AND($A295&lt;&gt;"",$B295&lt;&gt;"",$G295="Completed"),COUNTIFS($A$5:$A295,"&lt;&gt;",$B$5:$B295,"&lt;&gt;",$G$5:$G295,"Completed"),"")</f>
        <v/>
      </c>
    </row>
    <row r="296" customFormat="false" ht="15" hidden="false" customHeight="false" outlineLevel="0" collapsed="false">
      <c r="A296" s="16"/>
      <c r="B296" s="12"/>
      <c r="C296" s="17"/>
      <c r="D296" s="18"/>
      <c r="E296" s="13"/>
      <c r="F296" s="13"/>
      <c r="G296" s="12"/>
      <c r="H296" s="12"/>
      <c r="I296" s="19" t="str">
        <f aca="false">IF($B296="","",IFERROR(INDEX(Clients!$D$5:$D$204,MATCH($B296,Clients!$A$5:$A$204,0))&amp;"",""))</f>
        <v/>
      </c>
      <c r="J296" s="19" t="str">
        <f aca="false">IF($B296="","",IF($C296&lt;&gt;"",$C296,IFERROR(INDEX(Clients!$E$5:$E$204,MATCH($B296,Clients!$A$5:$A$204,0))&amp;"","")))</f>
        <v/>
      </c>
      <c r="K296" s="15" t="str">
        <f aca="false">IF($B296="","",IF($F296&lt;&gt;"",$F296,IFERROR(IF(AND(INDEX(Clients!$F$5:$F$204,MATCH($B296,Clients!$A$5:$A$204,0))&amp;""&lt;&gt;"",OR($C296="",$C296=INDEX(Clients!$E$5:$E$204,MATCH($B296,Clients!$A$5:$A$204,0)))),INDEX(Clients!$F$5:$F$204,MATCH($B296,Clients!$A$5:$A$204,0)),INDEX(Settings!$E$5:$E$19,MATCH($J296,Settings!$D$5:$D$19,0))),0)))</f>
        <v/>
      </c>
      <c r="L296" s="15" t="str">
        <f aca="false">IF($B296="","",$K296*IF($D296="",1,$D296)+$E296)</f>
        <v/>
      </c>
      <c r="M296" s="15" t="str">
        <f aca="false">IF($B296="","",ROUND($L296*Settings!$B$9,2))</f>
        <v/>
      </c>
      <c r="N296" s="15" t="str">
        <f aca="false">IF($B296="","",$L296+$M296)</f>
        <v/>
      </c>
      <c r="O296" s="19" t="str">
        <f aca="false">IF($Q296="","",Settings!$B$13&amp;TEXT(ROWS($A$5:$A296),"0000"))</f>
        <v/>
      </c>
      <c r="P296" s="19" t="str">
        <f aca="false">IF($O296="","",IFERROR(INDEX(Invoices!$I$5:$I$504,MATCH($O296,Invoices!$A$5:$A$504,0)),""))</f>
        <v/>
      </c>
      <c r="Q296" s="2" t="str">
        <f aca="false">IF(AND($A296&lt;&gt;"",$B296&lt;&gt;"",$G296="Completed"),COUNTIFS($A$5:$A296,"&lt;&gt;",$B$5:$B296,"&lt;&gt;",$G$5:$G296,"Completed"),"")</f>
        <v/>
      </c>
    </row>
    <row r="297" customFormat="false" ht="15" hidden="false" customHeight="false" outlineLevel="0" collapsed="false">
      <c r="A297" s="16"/>
      <c r="B297" s="12"/>
      <c r="C297" s="17"/>
      <c r="D297" s="18"/>
      <c r="E297" s="13"/>
      <c r="F297" s="13"/>
      <c r="G297" s="12"/>
      <c r="H297" s="12"/>
      <c r="I297" s="19" t="str">
        <f aca="false">IF($B297="","",IFERROR(INDEX(Clients!$D$5:$D$204,MATCH($B297,Clients!$A$5:$A$204,0))&amp;"",""))</f>
        <v/>
      </c>
      <c r="J297" s="19" t="str">
        <f aca="false">IF($B297="","",IF($C297&lt;&gt;"",$C297,IFERROR(INDEX(Clients!$E$5:$E$204,MATCH($B297,Clients!$A$5:$A$204,0))&amp;"","")))</f>
        <v/>
      </c>
      <c r="K297" s="15" t="str">
        <f aca="false">IF($B297="","",IF($F297&lt;&gt;"",$F297,IFERROR(IF(AND(INDEX(Clients!$F$5:$F$204,MATCH($B297,Clients!$A$5:$A$204,0))&amp;""&lt;&gt;"",OR($C297="",$C297=INDEX(Clients!$E$5:$E$204,MATCH($B297,Clients!$A$5:$A$204,0)))),INDEX(Clients!$F$5:$F$204,MATCH($B297,Clients!$A$5:$A$204,0)),INDEX(Settings!$E$5:$E$19,MATCH($J297,Settings!$D$5:$D$19,0))),0)))</f>
        <v/>
      </c>
      <c r="L297" s="15" t="str">
        <f aca="false">IF($B297="","",$K297*IF($D297="",1,$D297)+$E297)</f>
        <v/>
      </c>
      <c r="M297" s="15" t="str">
        <f aca="false">IF($B297="","",ROUND($L297*Settings!$B$9,2))</f>
        <v/>
      </c>
      <c r="N297" s="15" t="str">
        <f aca="false">IF($B297="","",$L297+$M297)</f>
        <v/>
      </c>
      <c r="O297" s="19" t="str">
        <f aca="false">IF($Q297="","",Settings!$B$13&amp;TEXT(ROWS($A$5:$A297),"0000"))</f>
        <v/>
      </c>
      <c r="P297" s="19" t="str">
        <f aca="false">IF($O297="","",IFERROR(INDEX(Invoices!$I$5:$I$504,MATCH($O297,Invoices!$A$5:$A$504,0)),""))</f>
        <v/>
      </c>
      <c r="Q297" s="2" t="str">
        <f aca="false">IF(AND($A297&lt;&gt;"",$B297&lt;&gt;"",$G297="Completed"),COUNTIFS($A$5:$A297,"&lt;&gt;",$B$5:$B297,"&lt;&gt;",$G$5:$G297,"Completed"),"")</f>
        <v/>
      </c>
    </row>
    <row r="298" customFormat="false" ht="15" hidden="false" customHeight="false" outlineLevel="0" collapsed="false">
      <c r="A298" s="16"/>
      <c r="B298" s="12"/>
      <c r="C298" s="17"/>
      <c r="D298" s="18"/>
      <c r="E298" s="13"/>
      <c r="F298" s="13"/>
      <c r="G298" s="12"/>
      <c r="H298" s="12"/>
      <c r="I298" s="19" t="str">
        <f aca="false">IF($B298="","",IFERROR(INDEX(Clients!$D$5:$D$204,MATCH($B298,Clients!$A$5:$A$204,0))&amp;"",""))</f>
        <v/>
      </c>
      <c r="J298" s="19" t="str">
        <f aca="false">IF($B298="","",IF($C298&lt;&gt;"",$C298,IFERROR(INDEX(Clients!$E$5:$E$204,MATCH($B298,Clients!$A$5:$A$204,0))&amp;"","")))</f>
        <v/>
      </c>
      <c r="K298" s="15" t="str">
        <f aca="false">IF($B298="","",IF($F298&lt;&gt;"",$F298,IFERROR(IF(AND(INDEX(Clients!$F$5:$F$204,MATCH($B298,Clients!$A$5:$A$204,0))&amp;""&lt;&gt;"",OR($C298="",$C298=INDEX(Clients!$E$5:$E$204,MATCH($B298,Clients!$A$5:$A$204,0)))),INDEX(Clients!$F$5:$F$204,MATCH($B298,Clients!$A$5:$A$204,0)),INDEX(Settings!$E$5:$E$19,MATCH($J298,Settings!$D$5:$D$19,0))),0)))</f>
        <v/>
      </c>
      <c r="L298" s="15" t="str">
        <f aca="false">IF($B298="","",$K298*IF($D298="",1,$D298)+$E298)</f>
        <v/>
      </c>
      <c r="M298" s="15" t="str">
        <f aca="false">IF($B298="","",ROUND($L298*Settings!$B$9,2))</f>
        <v/>
      </c>
      <c r="N298" s="15" t="str">
        <f aca="false">IF($B298="","",$L298+$M298)</f>
        <v/>
      </c>
      <c r="O298" s="19" t="str">
        <f aca="false">IF($Q298="","",Settings!$B$13&amp;TEXT(ROWS($A$5:$A298),"0000"))</f>
        <v/>
      </c>
      <c r="P298" s="19" t="str">
        <f aca="false">IF($O298="","",IFERROR(INDEX(Invoices!$I$5:$I$504,MATCH($O298,Invoices!$A$5:$A$504,0)),""))</f>
        <v/>
      </c>
      <c r="Q298" s="2" t="str">
        <f aca="false">IF(AND($A298&lt;&gt;"",$B298&lt;&gt;"",$G298="Completed"),COUNTIFS($A$5:$A298,"&lt;&gt;",$B$5:$B298,"&lt;&gt;",$G$5:$G298,"Completed"),"")</f>
        <v/>
      </c>
    </row>
    <row r="299" customFormat="false" ht="15" hidden="false" customHeight="false" outlineLevel="0" collapsed="false">
      <c r="A299" s="16"/>
      <c r="B299" s="12"/>
      <c r="C299" s="17"/>
      <c r="D299" s="18"/>
      <c r="E299" s="13"/>
      <c r="F299" s="13"/>
      <c r="G299" s="12"/>
      <c r="H299" s="12"/>
      <c r="I299" s="19" t="str">
        <f aca="false">IF($B299="","",IFERROR(INDEX(Clients!$D$5:$D$204,MATCH($B299,Clients!$A$5:$A$204,0))&amp;"",""))</f>
        <v/>
      </c>
      <c r="J299" s="19" t="str">
        <f aca="false">IF($B299="","",IF($C299&lt;&gt;"",$C299,IFERROR(INDEX(Clients!$E$5:$E$204,MATCH($B299,Clients!$A$5:$A$204,0))&amp;"","")))</f>
        <v/>
      </c>
      <c r="K299" s="15" t="str">
        <f aca="false">IF($B299="","",IF($F299&lt;&gt;"",$F299,IFERROR(IF(AND(INDEX(Clients!$F$5:$F$204,MATCH($B299,Clients!$A$5:$A$204,0))&amp;""&lt;&gt;"",OR($C299="",$C299=INDEX(Clients!$E$5:$E$204,MATCH($B299,Clients!$A$5:$A$204,0)))),INDEX(Clients!$F$5:$F$204,MATCH($B299,Clients!$A$5:$A$204,0)),INDEX(Settings!$E$5:$E$19,MATCH($J299,Settings!$D$5:$D$19,0))),0)))</f>
        <v/>
      </c>
      <c r="L299" s="15" t="str">
        <f aca="false">IF($B299="","",$K299*IF($D299="",1,$D299)+$E299)</f>
        <v/>
      </c>
      <c r="M299" s="15" t="str">
        <f aca="false">IF($B299="","",ROUND($L299*Settings!$B$9,2))</f>
        <v/>
      </c>
      <c r="N299" s="15" t="str">
        <f aca="false">IF($B299="","",$L299+$M299)</f>
        <v/>
      </c>
      <c r="O299" s="19" t="str">
        <f aca="false">IF($Q299="","",Settings!$B$13&amp;TEXT(ROWS($A$5:$A299),"0000"))</f>
        <v/>
      </c>
      <c r="P299" s="19" t="str">
        <f aca="false">IF($O299="","",IFERROR(INDEX(Invoices!$I$5:$I$504,MATCH($O299,Invoices!$A$5:$A$504,0)),""))</f>
        <v/>
      </c>
      <c r="Q299" s="2" t="str">
        <f aca="false">IF(AND($A299&lt;&gt;"",$B299&lt;&gt;"",$G299="Completed"),COUNTIFS($A$5:$A299,"&lt;&gt;",$B$5:$B299,"&lt;&gt;",$G$5:$G299,"Completed"),"")</f>
        <v/>
      </c>
    </row>
    <row r="300" customFormat="false" ht="15" hidden="false" customHeight="false" outlineLevel="0" collapsed="false">
      <c r="A300" s="16"/>
      <c r="B300" s="12"/>
      <c r="C300" s="17"/>
      <c r="D300" s="18"/>
      <c r="E300" s="13"/>
      <c r="F300" s="13"/>
      <c r="G300" s="12"/>
      <c r="H300" s="12"/>
      <c r="I300" s="19" t="str">
        <f aca="false">IF($B300="","",IFERROR(INDEX(Clients!$D$5:$D$204,MATCH($B300,Clients!$A$5:$A$204,0))&amp;"",""))</f>
        <v/>
      </c>
      <c r="J300" s="19" t="str">
        <f aca="false">IF($B300="","",IF($C300&lt;&gt;"",$C300,IFERROR(INDEX(Clients!$E$5:$E$204,MATCH($B300,Clients!$A$5:$A$204,0))&amp;"","")))</f>
        <v/>
      </c>
      <c r="K300" s="15" t="str">
        <f aca="false">IF($B300="","",IF($F300&lt;&gt;"",$F300,IFERROR(IF(AND(INDEX(Clients!$F$5:$F$204,MATCH($B300,Clients!$A$5:$A$204,0))&amp;""&lt;&gt;"",OR($C300="",$C300=INDEX(Clients!$E$5:$E$204,MATCH($B300,Clients!$A$5:$A$204,0)))),INDEX(Clients!$F$5:$F$204,MATCH($B300,Clients!$A$5:$A$204,0)),INDEX(Settings!$E$5:$E$19,MATCH($J300,Settings!$D$5:$D$19,0))),0)))</f>
        <v/>
      </c>
      <c r="L300" s="15" t="str">
        <f aca="false">IF($B300="","",$K300*IF($D300="",1,$D300)+$E300)</f>
        <v/>
      </c>
      <c r="M300" s="15" t="str">
        <f aca="false">IF($B300="","",ROUND($L300*Settings!$B$9,2))</f>
        <v/>
      </c>
      <c r="N300" s="15" t="str">
        <f aca="false">IF($B300="","",$L300+$M300)</f>
        <v/>
      </c>
      <c r="O300" s="19" t="str">
        <f aca="false">IF($Q300="","",Settings!$B$13&amp;TEXT(ROWS($A$5:$A300),"0000"))</f>
        <v/>
      </c>
      <c r="P300" s="19" t="str">
        <f aca="false">IF($O300="","",IFERROR(INDEX(Invoices!$I$5:$I$504,MATCH($O300,Invoices!$A$5:$A$504,0)),""))</f>
        <v/>
      </c>
      <c r="Q300" s="2" t="str">
        <f aca="false">IF(AND($A300&lt;&gt;"",$B300&lt;&gt;"",$G300="Completed"),COUNTIFS($A$5:$A300,"&lt;&gt;",$B$5:$B300,"&lt;&gt;",$G$5:$G300,"Completed"),"")</f>
        <v/>
      </c>
    </row>
    <row r="301" customFormat="false" ht="15" hidden="false" customHeight="false" outlineLevel="0" collapsed="false">
      <c r="A301" s="16"/>
      <c r="B301" s="12"/>
      <c r="C301" s="17"/>
      <c r="D301" s="18"/>
      <c r="E301" s="13"/>
      <c r="F301" s="13"/>
      <c r="G301" s="12"/>
      <c r="H301" s="12"/>
      <c r="I301" s="19" t="str">
        <f aca="false">IF($B301="","",IFERROR(INDEX(Clients!$D$5:$D$204,MATCH($B301,Clients!$A$5:$A$204,0))&amp;"",""))</f>
        <v/>
      </c>
      <c r="J301" s="19" t="str">
        <f aca="false">IF($B301="","",IF($C301&lt;&gt;"",$C301,IFERROR(INDEX(Clients!$E$5:$E$204,MATCH($B301,Clients!$A$5:$A$204,0))&amp;"","")))</f>
        <v/>
      </c>
      <c r="K301" s="15" t="str">
        <f aca="false">IF($B301="","",IF($F301&lt;&gt;"",$F301,IFERROR(IF(AND(INDEX(Clients!$F$5:$F$204,MATCH($B301,Clients!$A$5:$A$204,0))&amp;""&lt;&gt;"",OR($C301="",$C301=INDEX(Clients!$E$5:$E$204,MATCH($B301,Clients!$A$5:$A$204,0)))),INDEX(Clients!$F$5:$F$204,MATCH($B301,Clients!$A$5:$A$204,0)),INDEX(Settings!$E$5:$E$19,MATCH($J301,Settings!$D$5:$D$19,0))),0)))</f>
        <v/>
      </c>
      <c r="L301" s="15" t="str">
        <f aca="false">IF($B301="","",$K301*IF($D301="",1,$D301)+$E301)</f>
        <v/>
      </c>
      <c r="M301" s="15" t="str">
        <f aca="false">IF($B301="","",ROUND($L301*Settings!$B$9,2))</f>
        <v/>
      </c>
      <c r="N301" s="15" t="str">
        <f aca="false">IF($B301="","",$L301+$M301)</f>
        <v/>
      </c>
      <c r="O301" s="19" t="str">
        <f aca="false">IF($Q301="","",Settings!$B$13&amp;TEXT(ROWS($A$5:$A301),"0000"))</f>
        <v/>
      </c>
      <c r="P301" s="19" t="str">
        <f aca="false">IF($O301="","",IFERROR(INDEX(Invoices!$I$5:$I$504,MATCH($O301,Invoices!$A$5:$A$504,0)),""))</f>
        <v/>
      </c>
      <c r="Q301" s="2" t="str">
        <f aca="false">IF(AND($A301&lt;&gt;"",$B301&lt;&gt;"",$G301="Completed"),COUNTIFS($A$5:$A301,"&lt;&gt;",$B$5:$B301,"&lt;&gt;",$G$5:$G301,"Completed"),"")</f>
        <v/>
      </c>
    </row>
    <row r="302" customFormat="false" ht="15" hidden="false" customHeight="false" outlineLevel="0" collapsed="false">
      <c r="A302" s="16"/>
      <c r="B302" s="12"/>
      <c r="C302" s="17"/>
      <c r="D302" s="18"/>
      <c r="E302" s="13"/>
      <c r="F302" s="13"/>
      <c r="G302" s="12"/>
      <c r="H302" s="12"/>
      <c r="I302" s="19" t="str">
        <f aca="false">IF($B302="","",IFERROR(INDEX(Clients!$D$5:$D$204,MATCH($B302,Clients!$A$5:$A$204,0))&amp;"",""))</f>
        <v/>
      </c>
      <c r="J302" s="19" t="str">
        <f aca="false">IF($B302="","",IF($C302&lt;&gt;"",$C302,IFERROR(INDEX(Clients!$E$5:$E$204,MATCH($B302,Clients!$A$5:$A$204,0))&amp;"","")))</f>
        <v/>
      </c>
      <c r="K302" s="15" t="str">
        <f aca="false">IF($B302="","",IF($F302&lt;&gt;"",$F302,IFERROR(IF(AND(INDEX(Clients!$F$5:$F$204,MATCH($B302,Clients!$A$5:$A$204,0))&amp;""&lt;&gt;"",OR($C302="",$C302=INDEX(Clients!$E$5:$E$204,MATCH($B302,Clients!$A$5:$A$204,0)))),INDEX(Clients!$F$5:$F$204,MATCH($B302,Clients!$A$5:$A$204,0)),INDEX(Settings!$E$5:$E$19,MATCH($J302,Settings!$D$5:$D$19,0))),0)))</f>
        <v/>
      </c>
      <c r="L302" s="15" t="str">
        <f aca="false">IF($B302="","",$K302*IF($D302="",1,$D302)+$E302)</f>
        <v/>
      </c>
      <c r="M302" s="15" t="str">
        <f aca="false">IF($B302="","",ROUND($L302*Settings!$B$9,2))</f>
        <v/>
      </c>
      <c r="N302" s="15" t="str">
        <f aca="false">IF($B302="","",$L302+$M302)</f>
        <v/>
      </c>
      <c r="O302" s="19" t="str">
        <f aca="false">IF($Q302="","",Settings!$B$13&amp;TEXT(ROWS($A$5:$A302),"0000"))</f>
        <v/>
      </c>
      <c r="P302" s="19" t="str">
        <f aca="false">IF($O302="","",IFERROR(INDEX(Invoices!$I$5:$I$504,MATCH($O302,Invoices!$A$5:$A$504,0)),""))</f>
        <v/>
      </c>
      <c r="Q302" s="2" t="str">
        <f aca="false">IF(AND($A302&lt;&gt;"",$B302&lt;&gt;"",$G302="Completed"),COUNTIFS($A$5:$A302,"&lt;&gt;",$B$5:$B302,"&lt;&gt;",$G$5:$G302,"Completed"),"")</f>
        <v/>
      </c>
    </row>
    <row r="303" customFormat="false" ht="15" hidden="false" customHeight="false" outlineLevel="0" collapsed="false">
      <c r="A303" s="16"/>
      <c r="B303" s="12"/>
      <c r="C303" s="17"/>
      <c r="D303" s="18"/>
      <c r="E303" s="13"/>
      <c r="F303" s="13"/>
      <c r="G303" s="12"/>
      <c r="H303" s="12"/>
      <c r="I303" s="19" t="str">
        <f aca="false">IF($B303="","",IFERROR(INDEX(Clients!$D$5:$D$204,MATCH($B303,Clients!$A$5:$A$204,0))&amp;"",""))</f>
        <v/>
      </c>
      <c r="J303" s="19" t="str">
        <f aca="false">IF($B303="","",IF($C303&lt;&gt;"",$C303,IFERROR(INDEX(Clients!$E$5:$E$204,MATCH($B303,Clients!$A$5:$A$204,0))&amp;"","")))</f>
        <v/>
      </c>
      <c r="K303" s="15" t="str">
        <f aca="false">IF($B303="","",IF($F303&lt;&gt;"",$F303,IFERROR(IF(AND(INDEX(Clients!$F$5:$F$204,MATCH($B303,Clients!$A$5:$A$204,0))&amp;""&lt;&gt;"",OR($C303="",$C303=INDEX(Clients!$E$5:$E$204,MATCH($B303,Clients!$A$5:$A$204,0)))),INDEX(Clients!$F$5:$F$204,MATCH($B303,Clients!$A$5:$A$204,0)),INDEX(Settings!$E$5:$E$19,MATCH($J303,Settings!$D$5:$D$19,0))),0)))</f>
        <v/>
      </c>
      <c r="L303" s="15" t="str">
        <f aca="false">IF($B303="","",$K303*IF($D303="",1,$D303)+$E303)</f>
        <v/>
      </c>
      <c r="M303" s="15" t="str">
        <f aca="false">IF($B303="","",ROUND($L303*Settings!$B$9,2))</f>
        <v/>
      </c>
      <c r="N303" s="15" t="str">
        <f aca="false">IF($B303="","",$L303+$M303)</f>
        <v/>
      </c>
      <c r="O303" s="19" t="str">
        <f aca="false">IF($Q303="","",Settings!$B$13&amp;TEXT(ROWS($A$5:$A303),"0000"))</f>
        <v/>
      </c>
      <c r="P303" s="19" t="str">
        <f aca="false">IF($O303="","",IFERROR(INDEX(Invoices!$I$5:$I$504,MATCH($O303,Invoices!$A$5:$A$504,0)),""))</f>
        <v/>
      </c>
      <c r="Q303" s="2" t="str">
        <f aca="false">IF(AND($A303&lt;&gt;"",$B303&lt;&gt;"",$G303="Completed"),COUNTIFS($A$5:$A303,"&lt;&gt;",$B$5:$B303,"&lt;&gt;",$G$5:$G303,"Completed"),"")</f>
        <v/>
      </c>
    </row>
    <row r="304" customFormat="false" ht="15" hidden="false" customHeight="false" outlineLevel="0" collapsed="false">
      <c r="A304" s="16"/>
      <c r="B304" s="12"/>
      <c r="C304" s="17"/>
      <c r="D304" s="18"/>
      <c r="E304" s="13"/>
      <c r="F304" s="13"/>
      <c r="G304" s="12"/>
      <c r="H304" s="12"/>
      <c r="I304" s="19" t="str">
        <f aca="false">IF($B304="","",IFERROR(INDEX(Clients!$D$5:$D$204,MATCH($B304,Clients!$A$5:$A$204,0))&amp;"",""))</f>
        <v/>
      </c>
      <c r="J304" s="19" t="str">
        <f aca="false">IF($B304="","",IF($C304&lt;&gt;"",$C304,IFERROR(INDEX(Clients!$E$5:$E$204,MATCH($B304,Clients!$A$5:$A$204,0))&amp;"","")))</f>
        <v/>
      </c>
      <c r="K304" s="15" t="str">
        <f aca="false">IF($B304="","",IF($F304&lt;&gt;"",$F304,IFERROR(IF(AND(INDEX(Clients!$F$5:$F$204,MATCH($B304,Clients!$A$5:$A$204,0))&amp;""&lt;&gt;"",OR($C304="",$C304=INDEX(Clients!$E$5:$E$204,MATCH($B304,Clients!$A$5:$A$204,0)))),INDEX(Clients!$F$5:$F$204,MATCH($B304,Clients!$A$5:$A$204,0)),INDEX(Settings!$E$5:$E$19,MATCH($J304,Settings!$D$5:$D$19,0))),0)))</f>
        <v/>
      </c>
      <c r="L304" s="15" t="str">
        <f aca="false">IF($B304="","",$K304*IF($D304="",1,$D304)+$E304)</f>
        <v/>
      </c>
      <c r="M304" s="15" t="str">
        <f aca="false">IF($B304="","",ROUND($L304*Settings!$B$9,2))</f>
        <v/>
      </c>
      <c r="N304" s="15" t="str">
        <f aca="false">IF($B304="","",$L304+$M304)</f>
        <v/>
      </c>
      <c r="O304" s="19" t="str">
        <f aca="false">IF($Q304="","",Settings!$B$13&amp;TEXT(ROWS($A$5:$A304),"0000"))</f>
        <v/>
      </c>
      <c r="P304" s="19" t="str">
        <f aca="false">IF($O304="","",IFERROR(INDEX(Invoices!$I$5:$I$504,MATCH($O304,Invoices!$A$5:$A$504,0)),""))</f>
        <v/>
      </c>
      <c r="Q304" s="2" t="str">
        <f aca="false">IF(AND($A304&lt;&gt;"",$B304&lt;&gt;"",$G304="Completed"),COUNTIFS($A$5:$A304,"&lt;&gt;",$B$5:$B304,"&lt;&gt;",$G$5:$G304,"Completed"),"")</f>
        <v/>
      </c>
    </row>
    <row r="305" customFormat="false" ht="15" hidden="false" customHeight="false" outlineLevel="0" collapsed="false">
      <c r="A305" s="16"/>
      <c r="B305" s="12"/>
      <c r="C305" s="17"/>
      <c r="D305" s="18"/>
      <c r="E305" s="13"/>
      <c r="F305" s="13"/>
      <c r="G305" s="12"/>
      <c r="H305" s="12"/>
      <c r="I305" s="19" t="str">
        <f aca="false">IF($B305="","",IFERROR(INDEX(Clients!$D$5:$D$204,MATCH($B305,Clients!$A$5:$A$204,0))&amp;"",""))</f>
        <v/>
      </c>
      <c r="J305" s="19" t="str">
        <f aca="false">IF($B305="","",IF($C305&lt;&gt;"",$C305,IFERROR(INDEX(Clients!$E$5:$E$204,MATCH($B305,Clients!$A$5:$A$204,0))&amp;"","")))</f>
        <v/>
      </c>
      <c r="K305" s="15" t="str">
        <f aca="false">IF($B305="","",IF($F305&lt;&gt;"",$F305,IFERROR(IF(AND(INDEX(Clients!$F$5:$F$204,MATCH($B305,Clients!$A$5:$A$204,0))&amp;""&lt;&gt;"",OR($C305="",$C305=INDEX(Clients!$E$5:$E$204,MATCH($B305,Clients!$A$5:$A$204,0)))),INDEX(Clients!$F$5:$F$204,MATCH($B305,Clients!$A$5:$A$204,0)),INDEX(Settings!$E$5:$E$19,MATCH($J305,Settings!$D$5:$D$19,0))),0)))</f>
        <v/>
      </c>
      <c r="L305" s="15" t="str">
        <f aca="false">IF($B305="","",$K305*IF($D305="",1,$D305)+$E305)</f>
        <v/>
      </c>
      <c r="M305" s="15" t="str">
        <f aca="false">IF($B305="","",ROUND($L305*Settings!$B$9,2))</f>
        <v/>
      </c>
      <c r="N305" s="15" t="str">
        <f aca="false">IF($B305="","",$L305+$M305)</f>
        <v/>
      </c>
      <c r="O305" s="19" t="str">
        <f aca="false">IF($Q305="","",Settings!$B$13&amp;TEXT(ROWS($A$5:$A305),"0000"))</f>
        <v/>
      </c>
      <c r="P305" s="19" t="str">
        <f aca="false">IF($O305="","",IFERROR(INDEX(Invoices!$I$5:$I$504,MATCH($O305,Invoices!$A$5:$A$504,0)),""))</f>
        <v/>
      </c>
      <c r="Q305" s="2" t="str">
        <f aca="false">IF(AND($A305&lt;&gt;"",$B305&lt;&gt;"",$G305="Completed"),COUNTIFS($A$5:$A305,"&lt;&gt;",$B$5:$B305,"&lt;&gt;",$G$5:$G305,"Completed"),"")</f>
        <v/>
      </c>
    </row>
    <row r="306" customFormat="false" ht="15" hidden="false" customHeight="false" outlineLevel="0" collapsed="false">
      <c r="A306" s="16"/>
      <c r="B306" s="12"/>
      <c r="C306" s="17"/>
      <c r="D306" s="18"/>
      <c r="E306" s="13"/>
      <c r="F306" s="13"/>
      <c r="G306" s="12"/>
      <c r="H306" s="12"/>
      <c r="I306" s="19" t="str">
        <f aca="false">IF($B306="","",IFERROR(INDEX(Clients!$D$5:$D$204,MATCH($B306,Clients!$A$5:$A$204,0))&amp;"",""))</f>
        <v/>
      </c>
      <c r="J306" s="19" t="str">
        <f aca="false">IF($B306="","",IF($C306&lt;&gt;"",$C306,IFERROR(INDEX(Clients!$E$5:$E$204,MATCH($B306,Clients!$A$5:$A$204,0))&amp;"","")))</f>
        <v/>
      </c>
      <c r="K306" s="15" t="str">
        <f aca="false">IF($B306="","",IF($F306&lt;&gt;"",$F306,IFERROR(IF(AND(INDEX(Clients!$F$5:$F$204,MATCH($B306,Clients!$A$5:$A$204,0))&amp;""&lt;&gt;"",OR($C306="",$C306=INDEX(Clients!$E$5:$E$204,MATCH($B306,Clients!$A$5:$A$204,0)))),INDEX(Clients!$F$5:$F$204,MATCH($B306,Clients!$A$5:$A$204,0)),INDEX(Settings!$E$5:$E$19,MATCH($J306,Settings!$D$5:$D$19,0))),0)))</f>
        <v/>
      </c>
      <c r="L306" s="15" t="str">
        <f aca="false">IF($B306="","",$K306*IF($D306="",1,$D306)+$E306)</f>
        <v/>
      </c>
      <c r="M306" s="15" t="str">
        <f aca="false">IF($B306="","",ROUND($L306*Settings!$B$9,2))</f>
        <v/>
      </c>
      <c r="N306" s="15" t="str">
        <f aca="false">IF($B306="","",$L306+$M306)</f>
        <v/>
      </c>
      <c r="O306" s="19" t="str">
        <f aca="false">IF($Q306="","",Settings!$B$13&amp;TEXT(ROWS($A$5:$A306),"0000"))</f>
        <v/>
      </c>
      <c r="P306" s="19" t="str">
        <f aca="false">IF($O306="","",IFERROR(INDEX(Invoices!$I$5:$I$504,MATCH($O306,Invoices!$A$5:$A$504,0)),""))</f>
        <v/>
      </c>
      <c r="Q306" s="2" t="str">
        <f aca="false">IF(AND($A306&lt;&gt;"",$B306&lt;&gt;"",$G306="Completed"),COUNTIFS($A$5:$A306,"&lt;&gt;",$B$5:$B306,"&lt;&gt;",$G$5:$G306,"Completed"),"")</f>
        <v/>
      </c>
    </row>
    <row r="307" customFormat="false" ht="15" hidden="false" customHeight="false" outlineLevel="0" collapsed="false">
      <c r="A307" s="16"/>
      <c r="B307" s="12"/>
      <c r="C307" s="17"/>
      <c r="D307" s="18"/>
      <c r="E307" s="13"/>
      <c r="F307" s="13"/>
      <c r="G307" s="12"/>
      <c r="H307" s="12"/>
      <c r="I307" s="19" t="str">
        <f aca="false">IF($B307="","",IFERROR(INDEX(Clients!$D$5:$D$204,MATCH($B307,Clients!$A$5:$A$204,0))&amp;"",""))</f>
        <v/>
      </c>
      <c r="J307" s="19" t="str">
        <f aca="false">IF($B307="","",IF($C307&lt;&gt;"",$C307,IFERROR(INDEX(Clients!$E$5:$E$204,MATCH($B307,Clients!$A$5:$A$204,0))&amp;"","")))</f>
        <v/>
      </c>
      <c r="K307" s="15" t="str">
        <f aca="false">IF($B307="","",IF($F307&lt;&gt;"",$F307,IFERROR(IF(AND(INDEX(Clients!$F$5:$F$204,MATCH($B307,Clients!$A$5:$A$204,0))&amp;""&lt;&gt;"",OR($C307="",$C307=INDEX(Clients!$E$5:$E$204,MATCH($B307,Clients!$A$5:$A$204,0)))),INDEX(Clients!$F$5:$F$204,MATCH($B307,Clients!$A$5:$A$204,0)),INDEX(Settings!$E$5:$E$19,MATCH($J307,Settings!$D$5:$D$19,0))),0)))</f>
        <v/>
      </c>
      <c r="L307" s="15" t="str">
        <f aca="false">IF($B307="","",$K307*IF($D307="",1,$D307)+$E307)</f>
        <v/>
      </c>
      <c r="M307" s="15" t="str">
        <f aca="false">IF($B307="","",ROUND($L307*Settings!$B$9,2))</f>
        <v/>
      </c>
      <c r="N307" s="15" t="str">
        <f aca="false">IF($B307="","",$L307+$M307)</f>
        <v/>
      </c>
      <c r="O307" s="19" t="str">
        <f aca="false">IF($Q307="","",Settings!$B$13&amp;TEXT(ROWS($A$5:$A307),"0000"))</f>
        <v/>
      </c>
      <c r="P307" s="19" t="str">
        <f aca="false">IF($O307="","",IFERROR(INDEX(Invoices!$I$5:$I$504,MATCH($O307,Invoices!$A$5:$A$504,0)),""))</f>
        <v/>
      </c>
      <c r="Q307" s="2" t="str">
        <f aca="false">IF(AND($A307&lt;&gt;"",$B307&lt;&gt;"",$G307="Completed"),COUNTIFS($A$5:$A307,"&lt;&gt;",$B$5:$B307,"&lt;&gt;",$G$5:$G307,"Completed"),"")</f>
        <v/>
      </c>
    </row>
    <row r="308" customFormat="false" ht="15" hidden="false" customHeight="false" outlineLevel="0" collapsed="false">
      <c r="A308" s="16"/>
      <c r="B308" s="12"/>
      <c r="C308" s="17"/>
      <c r="D308" s="18"/>
      <c r="E308" s="13"/>
      <c r="F308" s="13"/>
      <c r="G308" s="12"/>
      <c r="H308" s="12"/>
      <c r="I308" s="19" t="str">
        <f aca="false">IF($B308="","",IFERROR(INDEX(Clients!$D$5:$D$204,MATCH($B308,Clients!$A$5:$A$204,0))&amp;"",""))</f>
        <v/>
      </c>
      <c r="J308" s="19" t="str">
        <f aca="false">IF($B308="","",IF($C308&lt;&gt;"",$C308,IFERROR(INDEX(Clients!$E$5:$E$204,MATCH($B308,Clients!$A$5:$A$204,0))&amp;"","")))</f>
        <v/>
      </c>
      <c r="K308" s="15" t="str">
        <f aca="false">IF($B308="","",IF($F308&lt;&gt;"",$F308,IFERROR(IF(AND(INDEX(Clients!$F$5:$F$204,MATCH($B308,Clients!$A$5:$A$204,0))&amp;""&lt;&gt;"",OR($C308="",$C308=INDEX(Clients!$E$5:$E$204,MATCH($B308,Clients!$A$5:$A$204,0)))),INDEX(Clients!$F$5:$F$204,MATCH($B308,Clients!$A$5:$A$204,0)),INDEX(Settings!$E$5:$E$19,MATCH($J308,Settings!$D$5:$D$19,0))),0)))</f>
        <v/>
      </c>
      <c r="L308" s="15" t="str">
        <f aca="false">IF($B308="","",$K308*IF($D308="",1,$D308)+$E308)</f>
        <v/>
      </c>
      <c r="M308" s="15" t="str">
        <f aca="false">IF($B308="","",ROUND($L308*Settings!$B$9,2))</f>
        <v/>
      </c>
      <c r="N308" s="15" t="str">
        <f aca="false">IF($B308="","",$L308+$M308)</f>
        <v/>
      </c>
      <c r="O308" s="19" t="str">
        <f aca="false">IF($Q308="","",Settings!$B$13&amp;TEXT(ROWS($A$5:$A308),"0000"))</f>
        <v/>
      </c>
      <c r="P308" s="19" t="str">
        <f aca="false">IF($O308="","",IFERROR(INDEX(Invoices!$I$5:$I$504,MATCH($O308,Invoices!$A$5:$A$504,0)),""))</f>
        <v/>
      </c>
      <c r="Q308" s="2" t="str">
        <f aca="false">IF(AND($A308&lt;&gt;"",$B308&lt;&gt;"",$G308="Completed"),COUNTIFS($A$5:$A308,"&lt;&gt;",$B$5:$B308,"&lt;&gt;",$G$5:$G308,"Completed"),"")</f>
        <v/>
      </c>
    </row>
    <row r="309" customFormat="false" ht="15" hidden="false" customHeight="false" outlineLevel="0" collapsed="false">
      <c r="A309" s="16"/>
      <c r="B309" s="12"/>
      <c r="C309" s="17"/>
      <c r="D309" s="18"/>
      <c r="E309" s="13"/>
      <c r="F309" s="13"/>
      <c r="G309" s="12"/>
      <c r="H309" s="12"/>
      <c r="I309" s="19" t="str">
        <f aca="false">IF($B309="","",IFERROR(INDEX(Clients!$D$5:$D$204,MATCH($B309,Clients!$A$5:$A$204,0))&amp;"",""))</f>
        <v/>
      </c>
      <c r="J309" s="19" t="str">
        <f aca="false">IF($B309="","",IF($C309&lt;&gt;"",$C309,IFERROR(INDEX(Clients!$E$5:$E$204,MATCH($B309,Clients!$A$5:$A$204,0))&amp;"","")))</f>
        <v/>
      </c>
      <c r="K309" s="15" t="str">
        <f aca="false">IF($B309="","",IF($F309&lt;&gt;"",$F309,IFERROR(IF(AND(INDEX(Clients!$F$5:$F$204,MATCH($B309,Clients!$A$5:$A$204,0))&amp;""&lt;&gt;"",OR($C309="",$C309=INDEX(Clients!$E$5:$E$204,MATCH($B309,Clients!$A$5:$A$204,0)))),INDEX(Clients!$F$5:$F$204,MATCH($B309,Clients!$A$5:$A$204,0)),INDEX(Settings!$E$5:$E$19,MATCH($J309,Settings!$D$5:$D$19,0))),0)))</f>
        <v/>
      </c>
      <c r="L309" s="15" t="str">
        <f aca="false">IF($B309="","",$K309*IF($D309="",1,$D309)+$E309)</f>
        <v/>
      </c>
      <c r="M309" s="15" t="str">
        <f aca="false">IF($B309="","",ROUND($L309*Settings!$B$9,2))</f>
        <v/>
      </c>
      <c r="N309" s="15" t="str">
        <f aca="false">IF($B309="","",$L309+$M309)</f>
        <v/>
      </c>
      <c r="O309" s="19" t="str">
        <f aca="false">IF($Q309="","",Settings!$B$13&amp;TEXT(ROWS($A$5:$A309),"0000"))</f>
        <v/>
      </c>
      <c r="P309" s="19" t="str">
        <f aca="false">IF($O309="","",IFERROR(INDEX(Invoices!$I$5:$I$504,MATCH($O309,Invoices!$A$5:$A$504,0)),""))</f>
        <v/>
      </c>
      <c r="Q309" s="2" t="str">
        <f aca="false">IF(AND($A309&lt;&gt;"",$B309&lt;&gt;"",$G309="Completed"),COUNTIFS($A$5:$A309,"&lt;&gt;",$B$5:$B309,"&lt;&gt;",$G$5:$G309,"Completed"),"")</f>
        <v/>
      </c>
    </row>
    <row r="310" customFormat="false" ht="15" hidden="false" customHeight="false" outlineLevel="0" collapsed="false">
      <c r="A310" s="16"/>
      <c r="B310" s="12"/>
      <c r="C310" s="17"/>
      <c r="D310" s="18"/>
      <c r="E310" s="13"/>
      <c r="F310" s="13"/>
      <c r="G310" s="12"/>
      <c r="H310" s="12"/>
      <c r="I310" s="19" t="str">
        <f aca="false">IF($B310="","",IFERROR(INDEX(Clients!$D$5:$D$204,MATCH($B310,Clients!$A$5:$A$204,0))&amp;"",""))</f>
        <v/>
      </c>
      <c r="J310" s="19" t="str">
        <f aca="false">IF($B310="","",IF($C310&lt;&gt;"",$C310,IFERROR(INDEX(Clients!$E$5:$E$204,MATCH($B310,Clients!$A$5:$A$204,0))&amp;"","")))</f>
        <v/>
      </c>
      <c r="K310" s="15" t="str">
        <f aca="false">IF($B310="","",IF($F310&lt;&gt;"",$F310,IFERROR(IF(AND(INDEX(Clients!$F$5:$F$204,MATCH($B310,Clients!$A$5:$A$204,0))&amp;""&lt;&gt;"",OR($C310="",$C310=INDEX(Clients!$E$5:$E$204,MATCH($B310,Clients!$A$5:$A$204,0)))),INDEX(Clients!$F$5:$F$204,MATCH($B310,Clients!$A$5:$A$204,0)),INDEX(Settings!$E$5:$E$19,MATCH($J310,Settings!$D$5:$D$19,0))),0)))</f>
        <v/>
      </c>
      <c r="L310" s="15" t="str">
        <f aca="false">IF($B310="","",$K310*IF($D310="",1,$D310)+$E310)</f>
        <v/>
      </c>
      <c r="M310" s="15" t="str">
        <f aca="false">IF($B310="","",ROUND($L310*Settings!$B$9,2))</f>
        <v/>
      </c>
      <c r="N310" s="15" t="str">
        <f aca="false">IF($B310="","",$L310+$M310)</f>
        <v/>
      </c>
      <c r="O310" s="19" t="str">
        <f aca="false">IF($Q310="","",Settings!$B$13&amp;TEXT(ROWS($A$5:$A310),"0000"))</f>
        <v/>
      </c>
      <c r="P310" s="19" t="str">
        <f aca="false">IF($O310="","",IFERROR(INDEX(Invoices!$I$5:$I$504,MATCH($O310,Invoices!$A$5:$A$504,0)),""))</f>
        <v/>
      </c>
      <c r="Q310" s="2" t="str">
        <f aca="false">IF(AND($A310&lt;&gt;"",$B310&lt;&gt;"",$G310="Completed"),COUNTIFS($A$5:$A310,"&lt;&gt;",$B$5:$B310,"&lt;&gt;",$G$5:$G310,"Completed"),"")</f>
        <v/>
      </c>
    </row>
    <row r="311" customFormat="false" ht="15" hidden="false" customHeight="false" outlineLevel="0" collapsed="false">
      <c r="A311" s="16"/>
      <c r="B311" s="12"/>
      <c r="C311" s="17"/>
      <c r="D311" s="18"/>
      <c r="E311" s="13"/>
      <c r="F311" s="13"/>
      <c r="G311" s="12"/>
      <c r="H311" s="12"/>
      <c r="I311" s="19" t="str">
        <f aca="false">IF($B311="","",IFERROR(INDEX(Clients!$D$5:$D$204,MATCH($B311,Clients!$A$5:$A$204,0))&amp;"",""))</f>
        <v/>
      </c>
      <c r="J311" s="19" t="str">
        <f aca="false">IF($B311="","",IF($C311&lt;&gt;"",$C311,IFERROR(INDEX(Clients!$E$5:$E$204,MATCH($B311,Clients!$A$5:$A$204,0))&amp;"","")))</f>
        <v/>
      </c>
      <c r="K311" s="15" t="str">
        <f aca="false">IF($B311="","",IF($F311&lt;&gt;"",$F311,IFERROR(IF(AND(INDEX(Clients!$F$5:$F$204,MATCH($B311,Clients!$A$5:$A$204,0))&amp;""&lt;&gt;"",OR($C311="",$C311=INDEX(Clients!$E$5:$E$204,MATCH($B311,Clients!$A$5:$A$204,0)))),INDEX(Clients!$F$5:$F$204,MATCH($B311,Clients!$A$5:$A$204,0)),INDEX(Settings!$E$5:$E$19,MATCH($J311,Settings!$D$5:$D$19,0))),0)))</f>
        <v/>
      </c>
      <c r="L311" s="15" t="str">
        <f aca="false">IF($B311="","",$K311*IF($D311="",1,$D311)+$E311)</f>
        <v/>
      </c>
      <c r="M311" s="15" t="str">
        <f aca="false">IF($B311="","",ROUND($L311*Settings!$B$9,2))</f>
        <v/>
      </c>
      <c r="N311" s="15" t="str">
        <f aca="false">IF($B311="","",$L311+$M311)</f>
        <v/>
      </c>
      <c r="O311" s="19" t="str">
        <f aca="false">IF($Q311="","",Settings!$B$13&amp;TEXT(ROWS($A$5:$A311),"0000"))</f>
        <v/>
      </c>
      <c r="P311" s="19" t="str">
        <f aca="false">IF($O311="","",IFERROR(INDEX(Invoices!$I$5:$I$504,MATCH($O311,Invoices!$A$5:$A$504,0)),""))</f>
        <v/>
      </c>
      <c r="Q311" s="2" t="str">
        <f aca="false">IF(AND($A311&lt;&gt;"",$B311&lt;&gt;"",$G311="Completed"),COUNTIFS($A$5:$A311,"&lt;&gt;",$B$5:$B311,"&lt;&gt;",$G$5:$G311,"Completed"),"")</f>
        <v/>
      </c>
    </row>
    <row r="312" customFormat="false" ht="15" hidden="false" customHeight="false" outlineLevel="0" collapsed="false">
      <c r="A312" s="16"/>
      <c r="B312" s="12"/>
      <c r="C312" s="17"/>
      <c r="D312" s="18"/>
      <c r="E312" s="13"/>
      <c r="F312" s="13"/>
      <c r="G312" s="12"/>
      <c r="H312" s="12"/>
      <c r="I312" s="19" t="str">
        <f aca="false">IF($B312="","",IFERROR(INDEX(Clients!$D$5:$D$204,MATCH($B312,Clients!$A$5:$A$204,0))&amp;"",""))</f>
        <v/>
      </c>
      <c r="J312" s="19" t="str">
        <f aca="false">IF($B312="","",IF($C312&lt;&gt;"",$C312,IFERROR(INDEX(Clients!$E$5:$E$204,MATCH($B312,Clients!$A$5:$A$204,0))&amp;"","")))</f>
        <v/>
      </c>
      <c r="K312" s="15" t="str">
        <f aca="false">IF($B312="","",IF($F312&lt;&gt;"",$F312,IFERROR(IF(AND(INDEX(Clients!$F$5:$F$204,MATCH($B312,Clients!$A$5:$A$204,0))&amp;""&lt;&gt;"",OR($C312="",$C312=INDEX(Clients!$E$5:$E$204,MATCH($B312,Clients!$A$5:$A$204,0)))),INDEX(Clients!$F$5:$F$204,MATCH($B312,Clients!$A$5:$A$204,0)),INDEX(Settings!$E$5:$E$19,MATCH($J312,Settings!$D$5:$D$19,0))),0)))</f>
        <v/>
      </c>
      <c r="L312" s="15" t="str">
        <f aca="false">IF($B312="","",$K312*IF($D312="",1,$D312)+$E312)</f>
        <v/>
      </c>
      <c r="M312" s="15" t="str">
        <f aca="false">IF($B312="","",ROUND($L312*Settings!$B$9,2))</f>
        <v/>
      </c>
      <c r="N312" s="15" t="str">
        <f aca="false">IF($B312="","",$L312+$M312)</f>
        <v/>
      </c>
      <c r="O312" s="19" t="str">
        <f aca="false">IF($Q312="","",Settings!$B$13&amp;TEXT(ROWS($A$5:$A312),"0000"))</f>
        <v/>
      </c>
      <c r="P312" s="19" t="str">
        <f aca="false">IF($O312="","",IFERROR(INDEX(Invoices!$I$5:$I$504,MATCH($O312,Invoices!$A$5:$A$504,0)),""))</f>
        <v/>
      </c>
      <c r="Q312" s="2" t="str">
        <f aca="false">IF(AND($A312&lt;&gt;"",$B312&lt;&gt;"",$G312="Completed"),COUNTIFS($A$5:$A312,"&lt;&gt;",$B$5:$B312,"&lt;&gt;",$G$5:$G312,"Completed"),"")</f>
        <v/>
      </c>
    </row>
    <row r="313" customFormat="false" ht="15" hidden="false" customHeight="false" outlineLevel="0" collapsed="false">
      <c r="A313" s="16"/>
      <c r="B313" s="12"/>
      <c r="C313" s="17"/>
      <c r="D313" s="18"/>
      <c r="E313" s="13"/>
      <c r="F313" s="13"/>
      <c r="G313" s="12"/>
      <c r="H313" s="12"/>
      <c r="I313" s="19" t="str">
        <f aca="false">IF($B313="","",IFERROR(INDEX(Clients!$D$5:$D$204,MATCH($B313,Clients!$A$5:$A$204,0))&amp;"",""))</f>
        <v/>
      </c>
      <c r="J313" s="19" t="str">
        <f aca="false">IF($B313="","",IF($C313&lt;&gt;"",$C313,IFERROR(INDEX(Clients!$E$5:$E$204,MATCH($B313,Clients!$A$5:$A$204,0))&amp;"","")))</f>
        <v/>
      </c>
      <c r="K313" s="15" t="str">
        <f aca="false">IF($B313="","",IF($F313&lt;&gt;"",$F313,IFERROR(IF(AND(INDEX(Clients!$F$5:$F$204,MATCH($B313,Clients!$A$5:$A$204,0))&amp;""&lt;&gt;"",OR($C313="",$C313=INDEX(Clients!$E$5:$E$204,MATCH($B313,Clients!$A$5:$A$204,0)))),INDEX(Clients!$F$5:$F$204,MATCH($B313,Clients!$A$5:$A$204,0)),INDEX(Settings!$E$5:$E$19,MATCH($J313,Settings!$D$5:$D$19,0))),0)))</f>
        <v/>
      </c>
      <c r="L313" s="15" t="str">
        <f aca="false">IF($B313="","",$K313*IF($D313="",1,$D313)+$E313)</f>
        <v/>
      </c>
      <c r="M313" s="15" t="str">
        <f aca="false">IF($B313="","",ROUND($L313*Settings!$B$9,2))</f>
        <v/>
      </c>
      <c r="N313" s="15" t="str">
        <f aca="false">IF($B313="","",$L313+$M313)</f>
        <v/>
      </c>
      <c r="O313" s="19" t="str">
        <f aca="false">IF($Q313="","",Settings!$B$13&amp;TEXT(ROWS($A$5:$A313),"0000"))</f>
        <v/>
      </c>
      <c r="P313" s="19" t="str">
        <f aca="false">IF($O313="","",IFERROR(INDEX(Invoices!$I$5:$I$504,MATCH($O313,Invoices!$A$5:$A$504,0)),""))</f>
        <v/>
      </c>
      <c r="Q313" s="2" t="str">
        <f aca="false">IF(AND($A313&lt;&gt;"",$B313&lt;&gt;"",$G313="Completed"),COUNTIFS($A$5:$A313,"&lt;&gt;",$B$5:$B313,"&lt;&gt;",$G$5:$G313,"Completed"),"")</f>
        <v/>
      </c>
    </row>
    <row r="314" customFormat="false" ht="15" hidden="false" customHeight="false" outlineLevel="0" collapsed="false">
      <c r="A314" s="16"/>
      <c r="B314" s="12"/>
      <c r="C314" s="17"/>
      <c r="D314" s="18"/>
      <c r="E314" s="13"/>
      <c r="F314" s="13"/>
      <c r="G314" s="12"/>
      <c r="H314" s="12"/>
      <c r="I314" s="19" t="str">
        <f aca="false">IF($B314="","",IFERROR(INDEX(Clients!$D$5:$D$204,MATCH($B314,Clients!$A$5:$A$204,0))&amp;"",""))</f>
        <v/>
      </c>
      <c r="J314" s="19" t="str">
        <f aca="false">IF($B314="","",IF($C314&lt;&gt;"",$C314,IFERROR(INDEX(Clients!$E$5:$E$204,MATCH($B314,Clients!$A$5:$A$204,0))&amp;"","")))</f>
        <v/>
      </c>
      <c r="K314" s="15" t="str">
        <f aca="false">IF($B314="","",IF($F314&lt;&gt;"",$F314,IFERROR(IF(AND(INDEX(Clients!$F$5:$F$204,MATCH($B314,Clients!$A$5:$A$204,0))&amp;""&lt;&gt;"",OR($C314="",$C314=INDEX(Clients!$E$5:$E$204,MATCH($B314,Clients!$A$5:$A$204,0)))),INDEX(Clients!$F$5:$F$204,MATCH($B314,Clients!$A$5:$A$204,0)),INDEX(Settings!$E$5:$E$19,MATCH($J314,Settings!$D$5:$D$19,0))),0)))</f>
        <v/>
      </c>
      <c r="L314" s="15" t="str">
        <f aca="false">IF($B314="","",$K314*IF($D314="",1,$D314)+$E314)</f>
        <v/>
      </c>
      <c r="M314" s="15" t="str">
        <f aca="false">IF($B314="","",ROUND($L314*Settings!$B$9,2))</f>
        <v/>
      </c>
      <c r="N314" s="15" t="str">
        <f aca="false">IF($B314="","",$L314+$M314)</f>
        <v/>
      </c>
      <c r="O314" s="19" t="str">
        <f aca="false">IF($Q314="","",Settings!$B$13&amp;TEXT(ROWS($A$5:$A314),"0000"))</f>
        <v/>
      </c>
      <c r="P314" s="19" t="str">
        <f aca="false">IF($O314="","",IFERROR(INDEX(Invoices!$I$5:$I$504,MATCH($O314,Invoices!$A$5:$A$504,0)),""))</f>
        <v/>
      </c>
      <c r="Q314" s="2" t="str">
        <f aca="false">IF(AND($A314&lt;&gt;"",$B314&lt;&gt;"",$G314="Completed"),COUNTIFS($A$5:$A314,"&lt;&gt;",$B$5:$B314,"&lt;&gt;",$G$5:$G314,"Completed"),"")</f>
        <v/>
      </c>
    </row>
    <row r="315" customFormat="false" ht="15" hidden="false" customHeight="false" outlineLevel="0" collapsed="false">
      <c r="A315" s="16"/>
      <c r="B315" s="12"/>
      <c r="C315" s="17"/>
      <c r="D315" s="18"/>
      <c r="E315" s="13"/>
      <c r="F315" s="13"/>
      <c r="G315" s="12"/>
      <c r="H315" s="12"/>
      <c r="I315" s="19" t="str">
        <f aca="false">IF($B315="","",IFERROR(INDEX(Clients!$D$5:$D$204,MATCH($B315,Clients!$A$5:$A$204,0))&amp;"",""))</f>
        <v/>
      </c>
      <c r="J315" s="19" t="str">
        <f aca="false">IF($B315="","",IF($C315&lt;&gt;"",$C315,IFERROR(INDEX(Clients!$E$5:$E$204,MATCH($B315,Clients!$A$5:$A$204,0))&amp;"","")))</f>
        <v/>
      </c>
      <c r="K315" s="15" t="str">
        <f aca="false">IF($B315="","",IF($F315&lt;&gt;"",$F315,IFERROR(IF(AND(INDEX(Clients!$F$5:$F$204,MATCH($B315,Clients!$A$5:$A$204,0))&amp;""&lt;&gt;"",OR($C315="",$C315=INDEX(Clients!$E$5:$E$204,MATCH($B315,Clients!$A$5:$A$204,0)))),INDEX(Clients!$F$5:$F$204,MATCH($B315,Clients!$A$5:$A$204,0)),INDEX(Settings!$E$5:$E$19,MATCH($J315,Settings!$D$5:$D$19,0))),0)))</f>
        <v/>
      </c>
      <c r="L315" s="15" t="str">
        <f aca="false">IF($B315="","",$K315*IF($D315="",1,$D315)+$E315)</f>
        <v/>
      </c>
      <c r="M315" s="15" t="str">
        <f aca="false">IF($B315="","",ROUND($L315*Settings!$B$9,2))</f>
        <v/>
      </c>
      <c r="N315" s="15" t="str">
        <f aca="false">IF($B315="","",$L315+$M315)</f>
        <v/>
      </c>
      <c r="O315" s="19" t="str">
        <f aca="false">IF($Q315="","",Settings!$B$13&amp;TEXT(ROWS($A$5:$A315),"0000"))</f>
        <v/>
      </c>
      <c r="P315" s="19" t="str">
        <f aca="false">IF($O315="","",IFERROR(INDEX(Invoices!$I$5:$I$504,MATCH($O315,Invoices!$A$5:$A$504,0)),""))</f>
        <v/>
      </c>
      <c r="Q315" s="2" t="str">
        <f aca="false">IF(AND($A315&lt;&gt;"",$B315&lt;&gt;"",$G315="Completed"),COUNTIFS($A$5:$A315,"&lt;&gt;",$B$5:$B315,"&lt;&gt;",$G$5:$G315,"Completed"),"")</f>
        <v/>
      </c>
    </row>
    <row r="316" customFormat="false" ht="15" hidden="false" customHeight="false" outlineLevel="0" collapsed="false">
      <c r="A316" s="16"/>
      <c r="B316" s="12"/>
      <c r="C316" s="17"/>
      <c r="D316" s="18"/>
      <c r="E316" s="13"/>
      <c r="F316" s="13"/>
      <c r="G316" s="12"/>
      <c r="H316" s="12"/>
      <c r="I316" s="19" t="str">
        <f aca="false">IF($B316="","",IFERROR(INDEX(Clients!$D$5:$D$204,MATCH($B316,Clients!$A$5:$A$204,0))&amp;"",""))</f>
        <v/>
      </c>
      <c r="J316" s="19" t="str">
        <f aca="false">IF($B316="","",IF($C316&lt;&gt;"",$C316,IFERROR(INDEX(Clients!$E$5:$E$204,MATCH($B316,Clients!$A$5:$A$204,0))&amp;"","")))</f>
        <v/>
      </c>
      <c r="K316" s="15" t="str">
        <f aca="false">IF($B316="","",IF($F316&lt;&gt;"",$F316,IFERROR(IF(AND(INDEX(Clients!$F$5:$F$204,MATCH($B316,Clients!$A$5:$A$204,0))&amp;""&lt;&gt;"",OR($C316="",$C316=INDEX(Clients!$E$5:$E$204,MATCH($B316,Clients!$A$5:$A$204,0)))),INDEX(Clients!$F$5:$F$204,MATCH($B316,Clients!$A$5:$A$204,0)),INDEX(Settings!$E$5:$E$19,MATCH($J316,Settings!$D$5:$D$19,0))),0)))</f>
        <v/>
      </c>
      <c r="L316" s="15" t="str">
        <f aca="false">IF($B316="","",$K316*IF($D316="",1,$D316)+$E316)</f>
        <v/>
      </c>
      <c r="M316" s="15" t="str">
        <f aca="false">IF($B316="","",ROUND($L316*Settings!$B$9,2))</f>
        <v/>
      </c>
      <c r="N316" s="15" t="str">
        <f aca="false">IF($B316="","",$L316+$M316)</f>
        <v/>
      </c>
      <c r="O316" s="19" t="str">
        <f aca="false">IF($Q316="","",Settings!$B$13&amp;TEXT(ROWS($A$5:$A316),"0000"))</f>
        <v/>
      </c>
      <c r="P316" s="19" t="str">
        <f aca="false">IF($O316="","",IFERROR(INDEX(Invoices!$I$5:$I$504,MATCH($O316,Invoices!$A$5:$A$504,0)),""))</f>
        <v/>
      </c>
      <c r="Q316" s="2" t="str">
        <f aca="false">IF(AND($A316&lt;&gt;"",$B316&lt;&gt;"",$G316="Completed"),COUNTIFS($A$5:$A316,"&lt;&gt;",$B$5:$B316,"&lt;&gt;",$G$5:$G316,"Completed"),"")</f>
        <v/>
      </c>
    </row>
    <row r="317" customFormat="false" ht="15" hidden="false" customHeight="false" outlineLevel="0" collapsed="false">
      <c r="A317" s="16"/>
      <c r="B317" s="12"/>
      <c r="C317" s="17"/>
      <c r="D317" s="18"/>
      <c r="E317" s="13"/>
      <c r="F317" s="13"/>
      <c r="G317" s="12"/>
      <c r="H317" s="12"/>
      <c r="I317" s="19" t="str">
        <f aca="false">IF($B317="","",IFERROR(INDEX(Clients!$D$5:$D$204,MATCH($B317,Clients!$A$5:$A$204,0))&amp;"",""))</f>
        <v/>
      </c>
      <c r="J317" s="19" t="str">
        <f aca="false">IF($B317="","",IF($C317&lt;&gt;"",$C317,IFERROR(INDEX(Clients!$E$5:$E$204,MATCH($B317,Clients!$A$5:$A$204,0))&amp;"","")))</f>
        <v/>
      </c>
      <c r="K317" s="15" t="str">
        <f aca="false">IF($B317="","",IF($F317&lt;&gt;"",$F317,IFERROR(IF(AND(INDEX(Clients!$F$5:$F$204,MATCH($B317,Clients!$A$5:$A$204,0))&amp;""&lt;&gt;"",OR($C317="",$C317=INDEX(Clients!$E$5:$E$204,MATCH($B317,Clients!$A$5:$A$204,0)))),INDEX(Clients!$F$5:$F$204,MATCH($B317,Clients!$A$5:$A$204,0)),INDEX(Settings!$E$5:$E$19,MATCH($J317,Settings!$D$5:$D$19,0))),0)))</f>
        <v/>
      </c>
      <c r="L317" s="15" t="str">
        <f aca="false">IF($B317="","",$K317*IF($D317="",1,$D317)+$E317)</f>
        <v/>
      </c>
      <c r="M317" s="15" t="str">
        <f aca="false">IF($B317="","",ROUND($L317*Settings!$B$9,2))</f>
        <v/>
      </c>
      <c r="N317" s="15" t="str">
        <f aca="false">IF($B317="","",$L317+$M317)</f>
        <v/>
      </c>
      <c r="O317" s="19" t="str">
        <f aca="false">IF($Q317="","",Settings!$B$13&amp;TEXT(ROWS($A$5:$A317),"0000"))</f>
        <v/>
      </c>
      <c r="P317" s="19" t="str">
        <f aca="false">IF($O317="","",IFERROR(INDEX(Invoices!$I$5:$I$504,MATCH($O317,Invoices!$A$5:$A$504,0)),""))</f>
        <v/>
      </c>
      <c r="Q317" s="2" t="str">
        <f aca="false">IF(AND($A317&lt;&gt;"",$B317&lt;&gt;"",$G317="Completed"),COUNTIFS($A$5:$A317,"&lt;&gt;",$B$5:$B317,"&lt;&gt;",$G$5:$G317,"Completed"),"")</f>
        <v/>
      </c>
    </row>
    <row r="318" customFormat="false" ht="15" hidden="false" customHeight="false" outlineLevel="0" collapsed="false">
      <c r="A318" s="16"/>
      <c r="B318" s="12"/>
      <c r="C318" s="17"/>
      <c r="D318" s="18"/>
      <c r="E318" s="13"/>
      <c r="F318" s="13"/>
      <c r="G318" s="12"/>
      <c r="H318" s="12"/>
      <c r="I318" s="19" t="str">
        <f aca="false">IF($B318="","",IFERROR(INDEX(Clients!$D$5:$D$204,MATCH($B318,Clients!$A$5:$A$204,0))&amp;"",""))</f>
        <v/>
      </c>
      <c r="J318" s="19" t="str">
        <f aca="false">IF($B318="","",IF($C318&lt;&gt;"",$C318,IFERROR(INDEX(Clients!$E$5:$E$204,MATCH($B318,Clients!$A$5:$A$204,0))&amp;"","")))</f>
        <v/>
      </c>
      <c r="K318" s="15" t="str">
        <f aca="false">IF($B318="","",IF($F318&lt;&gt;"",$F318,IFERROR(IF(AND(INDEX(Clients!$F$5:$F$204,MATCH($B318,Clients!$A$5:$A$204,0))&amp;""&lt;&gt;"",OR($C318="",$C318=INDEX(Clients!$E$5:$E$204,MATCH($B318,Clients!$A$5:$A$204,0)))),INDEX(Clients!$F$5:$F$204,MATCH($B318,Clients!$A$5:$A$204,0)),INDEX(Settings!$E$5:$E$19,MATCH($J318,Settings!$D$5:$D$19,0))),0)))</f>
        <v/>
      </c>
      <c r="L318" s="15" t="str">
        <f aca="false">IF($B318="","",$K318*IF($D318="",1,$D318)+$E318)</f>
        <v/>
      </c>
      <c r="M318" s="15" t="str">
        <f aca="false">IF($B318="","",ROUND($L318*Settings!$B$9,2))</f>
        <v/>
      </c>
      <c r="N318" s="15" t="str">
        <f aca="false">IF($B318="","",$L318+$M318)</f>
        <v/>
      </c>
      <c r="O318" s="19" t="str">
        <f aca="false">IF($Q318="","",Settings!$B$13&amp;TEXT(ROWS($A$5:$A318),"0000"))</f>
        <v/>
      </c>
      <c r="P318" s="19" t="str">
        <f aca="false">IF($O318="","",IFERROR(INDEX(Invoices!$I$5:$I$504,MATCH($O318,Invoices!$A$5:$A$504,0)),""))</f>
        <v/>
      </c>
      <c r="Q318" s="2" t="str">
        <f aca="false">IF(AND($A318&lt;&gt;"",$B318&lt;&gt;"",$G318="Completed"),COUNTIFS($A$5:$A318,"&lt;&gt;",$B$5:$B318,"&lt;&gt;",$G$5:$G318,"Completed"),"")</f>
        <v/>
      </c>
    </row>
    <row r="319" customFormat="false" ht="15" hidden="false" customHeight="false" outlineLevel="0" collapsed="false">
      <c r="A319" s="16"/>
      <c r="B319" s="12"/>
      <c r="C319" s="17"/>
      <c r="D319" s="18"/>
      <c r="E319" s="13"/>
      <c r="F319" s="13"/>
      <c r="G319" s="12"/>
      <c r="H319" s="12"/>
      <c r="I319" s="19" t="str">
        <f aca="false">IF($B319="","",IFERROR(INDEX(Clients!$D$5:$D$204,MATCH($B319,Clients!$A$5:$A$204,0))&amp;"",""))</f>
        <v/>
      </c>
      <c r="J319" s="19" t="str">
        <f aca="false">IF($B319="","",IF($C319&lt;&gt;"",$C319,IFERROR(INDEX(Clients!$E$5:$E$204,MATCH($B319,Clients!$A$5:$A$204,0))&amp;"","")))</f>
        <v/>
      </c>
      <c r="K319" s="15" t="str">
        <f aca="false">IF($B319="","",IF($F319&lt;&gt;"",$F319,IFERROR(IF(AND(INDEX(Clients!$F$5:$F$204,MATCH($B319,Clients!$A$5:$A$204,0))&amp;""&lt;&gt;"",OR($C319="",$C319=INDEX(Clients!$E$5:$E$204,MATCH($B319,Clients!$A$5:$A$204,0)))),INDEX(Clients!$F$5:$F$204,MATCH($B319,Clients!$A$5:$A$204,0)),INDEX(Settings!$E$5:$E$19,MATCH($J319,Settings!$D$5:$D$19,0))),0)))</f>
        <v/>
      </c>
      <c r="L319" s="15" t="str">
        <f aca="false">IF($B319="","",$K319*IF($D319="",1,$D319)+$E319)</f>
        <v/>
      </c>
      <c r="M319" s="15" t="str">
        <f aca="false">IF($B319="","",ROUND($L319*Settings!$B$9,2))</f>
        <v/>
      </c>
      <c r="N319" s="15" t="str">
        <f aca="false">IF($B319="","",$L319+$M319)</f>
        <v/>
      </c>
      <c r="O319" s="19" t="str">
        <f aca="false">IF($Q319="","",Settings!$B$13&amp;TEXT(ROWS($A$5:$A319),"0000"))</f>
        <v/>
      </c>
      <c r="P319" s="19" t="str">
        <f aca="false">IF($O319="","",IFERROR(INDEX(Invoices!$I$5:$I$504,MATCH($O319,Invoices!$A$5:$A$504,0)),""))</f>
        <v/>
      </c>
      <c r="Q319" s="2" t="str">
        <f aca="false">IF(AND($A319&lt;&gt;"",$B319&lt;&gt;"",$G319="Completed"),COUNTIFS($A$5:$A319,"&lt;&gt;",$B$5:$B319,"&lt;&gt;",$G$5:$G319,"Completed"),"")</f>
        <v/>
      </c>
    </row>
    <row r="320" customFormat="false" ht="15" hidden="false" customHeight="false" outlineLevel="0" collapsed="false">
      <c r="A320" s="16"/>
      <c r="B320" s="12"/>
      <c r="C320" s="17"/>
      <c r="D320" s="18"/>
      <c r="E320" s="13"/>
      <c r="F320" s="13"/>
      <c r="G320" s="12"/>
      <c r="H320" s="12"/>
      <c r="I320" s="19" t="str">
        <f aca="false">IF($B320="","",IFERROR(INDEX(Clients!$D$5:$D$204,MATCH($B320,Clients!$A$5:$A$204,0))&amp;"",""))</f>
        <v/>
      </c>
      <c r="J320" s="19" t="str">
        <f aca="false">IF($B320="","",IF($C320&lt;&gt;"",$C320,IFERROR(INDEX(Clients!$E$5:$E$204,MATCH($B320,Clients!$A$5:$A$204,0))&amp;"","")))</f>
        <v/>
      </c>
      <c r="K320" s="15" t="str">
        <f aca="false">IF($B320="","",IF($F320&lt;&gt;"",$F320,IFERROR(IF(AND(INDEX(Clients!$F$5:$F$204,MATCH($B320,Clients!$A$5:$A$204,0))&amp;""&lt;&gt;"",OR($C320="",$C320=INDEX(Clients!$E$5:$E$204,MATCH($B320,Clients!$A$5:$A$204,0)))),INDEX(Clients!$F$5:$F$204,MATCH($B320,Clients!$A$5:$A$204,0)),INDEX(Settings!$E$5:$E$19,MATCH($J320,Settings!$D$5:$D$19,0))),0)))</f>
        <v/>
      </c>
      <c r="L320" s="15" t="str">
        <f aca="false">IF($B320="","",$K320*IF($D320="",1,$D320)+$E320)</f>
        <v/>
      </c>
      <c r="M320" s="15" t="str">
        <f aca="false">IF($B320="","",ROUND($L320*Settings!$B$9,2))</f>
        <v/>
      </c>
      <c r="N320" s="15" t="str">
        <f aca="false">IF($B320="","",$L320+$M320)</f>
        <v/>
      </c>
      <c r="O320" s="19" t="str">
        <f aca="false">IF($Q320="","",Settings!$B$13&amp;TEXT(ROWS($A$5:$A320),"0000"))</f>
        <v/>
      </c>
      <c r="P320" s="19" t="str">
        <f aca="false">IF($O320="","",IFERROR(INDEX(Invoices!$I$5:$I$504,MATCH($O320,Invoices!$A$5:$A$504,0)),""))</f>
        <v/>
      </c>
      <c r="Q320" s="2" t="str">
        <f aca="false">IF(AND($A320&lt;&gt;"",$B320&lt;&gt;"",$G320="Completed"),COUNTIFS($A$5:$A320,"&lt;&gt;",$B$5:$B320,"&lt;&gt;",$G$5:$G320,"Completed"),"")</f>
        <v/>
      </c>
    </row>
    <row r="321" customFormat="false" ht="15" hidden="false" customHeight="false" outlineLevel="0" collapsed="false">
      <c r="A321" s="16"/>
      <c r="B321" s="12"/>
      <c r="C321" s="17"/>
      <c r="D321" s="18"/>
      <c r="E321" s="13"/>
      <c r="F321" s="13"/>
      <c r="G321" s="12"/>
      <c r="H321" s="12"/>
      <c r="I321" s="19" t="str">
        <f aca="false">IF($B321="","",IFERROR(INDEX(Clients!$D$5:$D$204,MATCH($B321,Clients!$A$5:$A$204,0))&amp;"",""))</f>
        <v/>
      </c>
      <c r="J321" s="19" t="str">
        <f aca="false">IF($B321="","",IF($C321&lt;&gt;"",$C321,IFERROR(INDEX(Clients!$E$5:$E$204,MATCH($B321,Clients!$A$5:$A$204,0))&amp;"","")))</f>
        <v/>
      </c>
      <c r="K321" s="15" t="str">
        <f aca="false">IF($B321="","",IF($F321&lt;&gt;"",$F321,IFERROR(IF(AND(INDEX(Clients!$F$5:$F$204,MATCH($B321,Clients!$A$5:$A$204,0))&amp;""&lt;&gt;"",OR($C321="",$C321=INDEX(Clients!$E$5:$E$204,MATCH($B321,Clients!$A$5:$A$204,0)))),INDEX(Clients!$F$5:$F$204,MATCH($B321,Clients!$A$5:$A$204,0)),INDEX(Settings!$E$5:$E$19,MATCH($J321,Settings!$D$5:$D$19,0))),0)))</f>
        <v/>
      </c>
      <c r="L321" s="15" t="str">
        <f aca="false">IF($B321="","",$K321*IF($D321="",1,$D321)+$E321)</f>
        <v/>
      </c>
      <c r="M321" s="15" t="str">
        <f aca="false">IF($B321="","",ROUND($L321*Settings!$B$9,2))</f>
        <v/>
      </c>
      <c r="N321" s="15" t="str">
        <f aca="false">IF($B321="","",$L321+$M321)</f>
        <v/>
      </c>
      <c r="O321" s="19" t="str">
        <f aca="false">IF($Q321="","",Settings!$B$13&amp;TEXT(ROWS($A$5:$A321),"0000"))</f>
        <v/>
      </c>
      <c r="P321" s="19" t="str">
        <f aca="false">IF($O321="","",IFERROR(INDEX(Invoices!$I$5:$I$504,MATCH($O321,Invoices!$A$5:$A$504,0)),""))</f>
        <v/>
      </c>
      <c r="Q321" s="2" t="str">
        <f aca="false">IF(AND($A321&lt;&gt;"",$B321&lt;&gt;"",$G321="Completed"),COUNTIFS($A$5:$A321,"&lt;&gt;",$B$5:$B321,"&lt;&gt;",$G$5:$G321,"Completed"),"")</f>
        <v/>
      </c>
    </row>
    <row r="322" customFormat="false" ht="15" hidden="false" customHeight="false" outlineLevel="0" collapsed="false">
      <c r="A322" s="16"/>
      <c r="B322" s="12"/>
      <c r="C322" s="17"/>
      <c r="D322" s="18"/>
      <c r="E322" s="13"/>
      <c r="F322" s="13"/>
      <c r="G322" s="12"/>
      <c r="H322" s="12"/>
      <c r="I322" s="19" t="str">
        <f aca="false">IF($B322="","",IFERROR(INDEX(Clients!$D$5:$D$204,MATCH($B322,Clients!$A$5:$A$204,0))&amp;"",""))</f>
        <v/>
      </c>
      <c r="J322" s="19" t="str">
        <f aca="false">IF($B322="","",IF($C322&lt;&gt;"",$C322,IFERROR(INDEX(Clients!$E$5:$E$204,MATCH($B322,Clients!$A$5:$A$204,0))&amp;"","")))</f>
        <v/>
      </c>
      <c r="K322" s="15" t="str">
        <f aca="false">IF($B322="","",IF($F322&lt;&gt;"",$F322,IFERROR(IF(AND(INDEX(Clients!$F$5:$F$204,MATCH($B322,Clients!$A$5:$A$204,0))&amp;""&lt;&gt;"",OR($C322="",$C322=INDEX(Clients!$E$5:$E$204,MATCH($B322,Clients!$A$5:$A$204,0)))),INDEX(Clients!$F$5:$F$204,MATCH($B322,Clients!$A$5:$A$204,0)),INDEX(Settings!$E$5:$E$19,MATCH($J322,Settings!$D$5:$D$19,0))),0)))</f>
        <v/>
      </c>
      <c r="L322" s="15" t="str">
        <f aca="false">IF($B322="","",$K322*IF($D322="",1,$D322)+$E322)</f>
        <v/>
      </c>
      <c r="M322" s="15" t="str">
        <f aca="false">IF($B322="","",ROUND($L322*Settings!$B$9,2))</f>
        <v/>
      </c>
      <c r="N322" s="15" t="str">
        <f aca="false">IF($B322="","",$L322+$M322)</f>
        <v/>
      </c>
      <c r="O322" s="19" t="str">
        <f aca="false">IF($Q322="","",Settings!$B$13&amp;TEXT(ROWS($A$5:$A322),"0000"))</f>
        <v/>
      </c>
      <c r="P322" s="19" t="str">
        <f aca="false">IF($O322="","",IFERROR(INDEX(Invoices!$I$5:$I$504,MATCH($O322,Invoices!$A$5:$A$504,0)),""))</f>
        <v/>
      </c>
      <c r="Q322" s="2" t="str">
        <f aca="false">IF(AND($A322&lt;&gt;"",$B322&lt;&gt;"",$G322="Completed"),COUNTIFS($A$5:$A322,"&lt;&gt;",$B$5:$B322,"&lt;&gt;",$G$5:$G322,"Completed"),"")</f>
        <v/>
      </c>
    </row>
    <row r="323" customFormat="false" ht="15" hidden="false" customHeight="false" outlineLevel="0" collapsed="false">
      <c r="A323" s="16"/>
      <c r="B323" s="12"/>
      <c r="C323" s="17"/>
      <c r="D323" s="18"/>
      <c r="E323" s="13"/>
      <c r="F323" s="13"/>
      <c r="G323" s="12"/>
      <c r="H323" s="12"/>
      <c r="I323" s="19" t="str">
        <f aca="false">IF($B323="","",IFERROR(INDEX(Clients!$D$5:$D$204,MATCH($B323,Clients!$A$5:$A$204,0))&amp;"",""))</f>
        <v/>
      </c>
      <c r="J323" s="19" t="str">
        <f aca="false">IF($B323="","",IF($C323&lt;&gt;"",$C323,IFERROR(INDEX(Clients!$E$5:$E$204,MATCH($B323,Clients!$A$5:$A$204,0))&amp;"","")))</f>
        <v/>
      </c>
      <c r="K323" s="15" t="str">
        <f aca="false">IF($B323="","",IF($F323&lt;&gt;"",$F323,IFERROR(IF(AND(INDEX(Clients!$F$5:$F$204,MATCH($B323,Clients!$A$5:$A$204,0))&amp;""&lt;&gt;"",OR($C323="",$C323=INDEX(Clients!$E$5:$E$204,MATCH($B323,Clients!$A$5:$A$204,0)))),INDEX(Clients!$F$5:$F$204,MATCH($B323,Clients!$A$5:$A$204,0)),INDEX(Settings!$E$5:$E$19,MATCH($J323,Settings!$D$5:$D$19,0))),0)))</f>
        <v/>
      </c>
      <c r="L323" s="15" t="str">
        <f aca="false">IF($B323="","",$K323*IF($D323="",1,$D323)+$E323)</f>
        <v/>
      </c>
      <c r="M323" s="15" t="str">
        <f aca="false">IF($B323="","",ROUND($L323*Settings!$B$9,2))</f>
        <v/>
      </c>
      <c r="N323" s="15" t="str">
        <f aca="false">IF($B323="","",$L323+$M323)</f>
        <v/>
      </c>
      <c r="O323" s="19" t="str">
        <f aca="false">IF($Q323="","",Settings!$B$13&amp;TEXT(ROWS($A$5:$A323),"0000"))</f>
        <v/>
      </c>
      <c r="P323" s="19" t="str">
        <f aca="false">IF($O323="","",IFERROR(INDEX(Invoices!$I$5:$I$504,MATCH($O323,Invoices!$A$5:$A$504,0)),""))</f>
        <v/>
      </c>
      <c r="Q323" s="2" t="str">
        <f aca="false">IF(AND($A323&lt;&gt;"",$B323&lt;&gt;"",$G323="Completed"),COUNTIFS($A$5:$A323,"&lt;&gt;",$B$5:$B323,"&lt;&gt;",$G$5:$G323,"Completed"),"")</f>
        <v/>
      </c>
    </row>
    <row r="324" customFormat="false" ht="15" hidden="false" customHeight="false" outlineLevel="0" collapsed="false">
      <c r="A324" s="16"/>
      <c r="B324" s="12"/>
      <c r="C324" s="17"/>
      <c r="D324" s="18"/>
      <c r="E324" s="13"/>
      <c r="F324" s="13"/>
      <c r="G324" s="12"/>
      <c r="H324" s="12"/>
      <c r="I324" s="19" t="str">
        <f aca="false">IF($B324="","",IFERROR(INDEX(Clients!$D$5:$D$204,MATCH($B324,Clients!$A$5:$A$204,0))&amp;"",""))</f>
        <v/>
      </c>
      <c r="J324" s="19" t="str">
        <f aca="false">IF($B324="","",IF($C324&lt;&gt;"",$C324,IFERROR(INDEX(Clients!$E$5:$E$204,MATCH($B324,Clients!$A$5:$A$204,0))&amp;"","")))</f>
        <v/>
      </c>
      <c r="K324" s="15" t="str">
        <f aca="false">IF($B324="","",IF($F324&lt;&gt;"",$F324,IFERROR(IF(AND(INDEX(Clients!$F$5:$F$204,MATCH($B324,Clients!$A$5:$A$204,0))&amp;""&lt;&gt;"",OR($C324="",$C324=INDEX(Clients!$E$5:$E$204,MATCH($B324,Clients!$A$5:$A$204,0)))),INDEX(Clients!$F$5:$F$204,MATCH($B324,Clients!$A$5:$A$204,0)),INDEX(Settings!$E$5:$E$19,MATCH($J324,Settings!$D$5:$D$19,0))),0)))</f>
        <v/>
      </c>
      <c r="L324" s="15" t="str">
        <f aca="false">IF($B324="","",$K324*IF($D324="",1,$D324)+$E324)</f>
        <v/>
      </c>
      <c r="M324" s="15" t="str">
        <f aca="false">IF($B324="","",ROUND($L324*Settings!$B$9,2))</f>
        <v/>
      </c>
      <c r="N324" s="15" t="str">
        <f aca="false">IF($B324="","",$L324+$M324)</f>
        <v/>
      </c>
      <c r="O324" s="19" t="str">
        <f aca="false">IF($Q324="","",Settings!$B$13&amp;TEXT(ROWS($A$5:$A324),"0000"))</f>
        <v/>
      </c>
      <c r="P324" s="19" t="str">
        <f aca="false">IF($O324="","",IFERROR(INDEX(Invoices!$I$5:$I$504,MATCH($O324,Invoices!$A$5:$A$504,0)),""))</f>
        <v/>
      </c>
      <c r="Q324" s="2" t="str">
        <f aca="false">IF(AND($A324&lt;&gt;"",$B324&lt;&gt;"",$G324="Completed"),COUNTIFS($A$5:$A324,"&lt;&gt;",$B$5:$B324,"&lt;&gt;",$G$5:$G324,"Completed"),"")</f>
        <v/>
      </c>
    </row>
    <row r="325" customFormat="false" ht="15" hidden="false" customHeight="false" outlineLevel="0" collapsed="false">
      <c r="A325" s="16"/>
      <c r="B325" s="12"/>
      <c r="C325" s="17"/>
      <c r="D325" s="18"/>
      <c r="E325" s="13"/>
      <c r="F325" s="13"/>
      <c r="G325" s="12"/>
      <c r="H325" s="12"/>
      <c r="I325" s="19" t="str">
        <f aca="false">IF($B325="","",IFERROR(INDEX(Clients!$D$5:$D$204,MATCH($B325,Clients!$A$5:$A$204,0))&amp;"",""))</f>
        <v/>
      </c>
      <c r="J325" s="19" t="str">
        <f aca="false">IF($B325="","",IF($C325&lt;&gt;"",$C325,IFERROR(INDEX(Clients!$E$5:$E$204,MATCH($B325,Clients!$A$5:$A$204,0))&amp;"","")))</f>
        <v/>
      </c>
      <c r="K325" s="15" t="str">
        <f aca="false">IF($B325="","",IF($F325&lt;&gt;"",$F325,IFERROR(IF(AND(INDEX(Clients!$F$5:$F$204,MATCH($B325,Clients!$A$5:$A$204,0))&amp;""&lt;&gt;"",OR($C325="",$C325=INDEX(Clients!$E$5:$E$204,MATCH($B325,Clients!$A$5:$A$204,0)))),INDEX(Clients!$F$5:$F$204,MATCH($B325,Clients!$A$5:$A$204,0)),INDEX(Settings!$E$5:$E$19,MATCH($J325,Settings!$D$5:$D$19,0))),0)))</f>
        <v/>
      </c>
      <c r="L325" s="15" t="str">
        <f aca="false">IF($B325="","",$K325*IF($D325="",1,$D325)+$E325)</f>
        <v/>
      </c>
      <c r="M325" s="15" t="str">
        <f aca="false">IF($B325="","",ROUND($L325*Settings!$B$9,2))</f>
        <v/>
      </c>
      <c r="N325" s="15" t="str">
        <f aca="false">IF($B325="","",$L325+$M325)</f>
        <v/>
      </c>
      <c r="O325" s="19" t="str">
        <f aca="false">IF($Q325="","",Settings!$B$13&amp;TEXT(ROWS($A$5:$A325),"0000"))</f>
        <v/>
      </c>
      <c r="P325" s="19" t="str">
        <f aca="false">IF($O325="","",IFERROR(INDEX(Invoices!$I$5:$I$504,MATCH($O325,Invoices!$A$5:$A$504,0)),""))</f>
        <v/>
      </c>
      <c r="Q325" s="2" t="str">
        <f aca="false">IF(AND($A325&lt;&gt;"",$B325&lt;&gt;"",$G325="Completed"),COUNTIFS($A$5:$A325,"&lt;&gt;",$B$5:$B325,"&lt;&gt;",$G$5:$G325,"Completed"),"")</f>
        <v/>
      </c>
    </row>
    <row r="326" customFormat="false" ht="15" hidden="false" customHeight="false" outlineLevel="0" collapsed="false">
      <c r="A326" s="16"/>
      <c r="B326" s="12"/>
      <c r="C326" s="17"/>
      <c r="D326" s="18"/>
      <c r="E326" s="13"/>
      <c r="F326" s="13"/>
      <c r="G326" s="12"/>
      <c r="H326" s="12"/>
      <c r="I326" s="19" t="str">
        <f aca="false">IF($B326="","",IFERROR(INDEX(Clients!$D$5:$D$204,MATCH($B326,Clients!$A$5:$A$204,0))&amp;"",""))</f>
        <v/>
      </c>
      <c r="J326" s="19" t="str">
        <f aca="false">IF($B326="","",IF($C326&lt;&gt;"",$C326,IFERROR(INDEX(Clients!$E$5:$E$204,MATCH($B326,Clients!$A$5:$A$204,0))&amp;"","")))</f>
        <v/>
      </c>
      <c r="K326" s="15" t="str">
        <f aca="false">IF($B326="","",IF($F326&lt;&gt;"",$F326,IFERROR(IF(AND(INDEX(Clients!$F$5:$F$204,MATCH($B326,Clients!$A$5:$A$204,0))&amp;""&lt;&gt;"",OR($C326="",$C326=INDEX(Clients!$E$5:$E$204,MATCH($B326,Clients!$A$5:$A$204,0)))),INDEX(Clients!$F$5:$F$204,MATCH($B326,Clients!$A$5:$A$204,0)),INDEX(Settings!$E$5:$E$19,MATCH($J326,Settings!$D$5:$D$19,0))),0)))</f>
        <v/>
      </c>
      <c r="L326" s="15" t="str">
        <f aca="false">IF($B326="","",$K326*IF($D326="",1,$D326)+$E326)</f>
        <v/>
      </c>
      <c r="M326" s="15" t="str">
        <f aca="false">IF($B326="","",ROUND($L326*Settings!$B$9,2))</f>
        <v/>
      </c>
      <c r="N326" s="15" t="str">
        <f aca="false">IF($B326="","",$L326+$M326)</f>
        <v/>
      </c>
      <c r="O326" s="19" t="str">
        <f aca="false">IF($Q326="","",Settings!$B$13&amp;TEXT(ROWS($A$5:$A326),"0000"))</f>
        <v/>
      </c>
      <c r="P326" s="19" t="str">
        <f aca="false">IF($O326="","",IFERROR(INDEX(Invoices!$I$5:$I$504,MATCH($O326,Invoices!$A$5:$A$504,0)),""))</f>
        <v/>
      </c>
      <c r="Q326" s="2" t="str">
        <f aca="false">IF(AND($A326&lt;&gt;"",$B326&lt;&gt;"",$G326="Completed"),COUNTIFS($A$5:$A326,"&lt;&gt;",$B$5:$B326,"&lt;&gt;",$G$5:$G326,"Completed"),"")</f>
        <v/>
      </c>
    </row>
    <row r="327" customFormat="false" ht="15" hidden="false" customHeight="false" outlineLevel="0" collapsed="false">
      <c r="A327" s="16"/>
      <c r="B327" s="12"/>
      <c r="C327" s="17"/>
      <c r="D327" s="18"/>
      <c r="E327" s="13"/>
      <c r="F327" s="13"/>
      <c r="G327" s="12"/>
      <c r="H327" s="12"/>
      <c r="I327" s="19" t="str">
        <f aca="false">IF($B327="","",IFERROR(INDEX(Clients!$D$5:$D$204,MATCH($B327,Clients!$A$5:$A$204,0))&amp;"",""))</f>
        <v/>
      </c>
      <c r="J327" s="19" t="str">
        <f aca="false">IF($B327="","",IF($C327&lt;&gt;"",$C327,IFERROR(INDEX(Clients!$E$5:$E$204,MATCH($B327,Clients!$A$5:$A$204,0))&amp;"","")))</f>
        <v/>
      </c>
      <c r="K327" s="15" t="str">
        <f aca="false">IF($B327="","",IF($F327&lt;&gt;"",$F327,IFERROR(IF(AND(INDEX(Clients!$F$5:$F$204,MATCH($B327,Clients!$A$5:$A$204,0))&amp;""&lt;&gt;"",OR($C327="",$C327=INDEX(Clients!$E$5:$E$204,MATCH($B327,Clients!$A$5:$A$204,0)))),INDEX(Clients!$F$5:$F$204,MATCH($B327,Clients!$A$5:$A$204,0)),INDEX(Settings!$E$5:$E$19,MATCH($J327,Settings!$D$5:$D$19,0))),0)))</f>
        <v/>
      </c>
      <c r="L327" s="15" t="str">
        <f aca="false">IF($B327="","",$K327*IF($D327="",1,$D327)+$E327)</f>
        <v/>
      </c>
      <c r="M327" s="15" t="str">
        <f aca="false">IF($B327="","",ROUND($L327*Settings!$B$9,2))</f>
        <v/>
      </c>
      <c r="N327" s="15" t="str">
        <f aca="false">IF($B327="","",$L327+$M327)</f>
        <v/>
      </c>
      <c r="O327" s="19" t="str">
        <f aca="false">IF($Q327="","",Settings!$B$13&amp;TEXT(ROWS($A$5:$A327),"0000"))</f>
        <v/>
      </c>
      <c r="P327" s="19" t="str">
        <f aca="false">IF($O327="","",IFERROR(INDEX(Invoices!$I$5:$I$504,MATCH($O327,Invoices!$A$5:$A$504,0)),""))</f>
        <v/>
      </c>
      <c r="Q327" s="2" t="str">
        <f aca="false">IF(AND($A327&lt;&gt;"",$B327&lt;&gt;"",$G327="Completed"),COUNTIFS($A$5:$A327,"&lt;&gt;",$B$5:$B327,"&lt;&gt;",$G$5:$G327,"Completed"),"")</f>
        <v/>
      </c>
    </row>
    <row r="328" customFormat="false" ht="15" hidden="false" customHeight="false" outlineLevel="0" collapsed="false">
      <c r="A328" s="16"/>
      <c r="B328" s="12"/>
      <c r="C328" s="17"/>
      <c r="D328" s="18"/>
      <c r="E328" s="13"/>
      <c r="F328" s="13"/>
      <c r="G328" s="12"/>
      <c r="H328" s="12"/>
      <c r="I328" s="19" t="str">
        <f aca="false">IF($B328="","",IFERROR(INDEX(Clients!$D$5:$D$204,MATCH($B328,Clients!$A$5:$A$204,0))&amp;"",""))</f>
        <v/>
      </c>
      <c r="J328" s="19" t="str">
        <f aca="false">IF($B328="","",IF($C328&lt;&gt;"",$C328,IFERROR(INDEX(Clients!$E$5:$E$204,MATCH($B328,Clients!$A$5:$A$204,0))&amp;"","")))</f>
        <v/>
      </c>
      <c r="K328" s="15" t="str">
        <f aca="false">IF($B328="","",IF($F328&lt;&gt;"",$F328,IFERROR(IF(AND(INDEX(Clients!$F$5:$F$204,MATCH($B328,Clients!$A$5:$A$204,0))&amp;""&lt;&gt;"",OR($C328="",$C328=INDEX(Clients!$E$5:$E$204,MATCH($B328,Clients!$A$5:$A$204,0)))),INDEX(Clients!$F$5:$F$204,MATCH($B328,Clients!$A$5:$A$204,0)),INDEX(Settings!$E$5:$E$19,MATCH($J328,Settings!$D$5:$D$19,0))),0)))</f>
        <v/>
      </c>
      <c r="L328" s="15" t="str">
        <f aca="false">IF($B328="","",$K328*IF($D328="",1,$D328)+$E328)</f>
        <v/>
      </c>
      <c r="M328" s="15" t="str">
        <f aca="false">IF($B328="","",ROUND($L328*Settings!$B$9,2))</f>
        <v/>
      </c>
      <c r="N328" s="15" t="str">
        <f aca="false">IF($B328="","",$L328+$M328)</f>
        <v/>
      </c>
      <c r="O328" s="19" t="str">
        <f aca="false">IF($Q328="","",Settings!$B$13&amp;TEXT(ROWS($A$5:$A328),"0000"))</f>
        <v/>
      </c>
      <c r="P328" s="19" t="str">
        <f aca="false">IF($O328="","",IFERROR(INDEX(Invoices!$I$5:$I$504,MATCH($O328,Invoices!$A$5:$A$504,0)),""))</f>
        <v/>
      </c>
      <c r="Q328" s="2" t="str">
        <f aca="false">IF(AND($A328&lt;&gt;"",$B328&lt;&gt;"",$G328="Completed"),COUNTIFS($A$5:$A328,"&lt;&gt;",$B$5:$B328,"&lt;&gt;",$G$5:$G328,"Completed"),"")</f>
        <v/>
      </c>
    </row>
    <row r="329" customFormat="false" ht="15" hidden="false" customHeight="false" outlineLevel="0" collapsed="false">
      <c r="A329" s="16"/>
      <c r="B329" s="12"/>
      <c r="C329" s="17"/>
      <c r="D329" s="18"/>
      <c r="E329" s="13"/>
      <c r="F329" s="13"/>
      <c r="G329" s="12"/>
      <c r="H329" s="12"/>
      <c r="I329" s="19" t="str">
        <f aca="false">IF($B329="","",IFERROR(INDEX(Clients!$D$5:$D$204,MATCH($B329,Clients!$A$5:$A$204,0))&amp;"",""))</f>
        <v/>
      </c>
      <c r="J329" s="19" t="str">
        <f aca="false">IF($B329="","",IF($C329&lt;&gt;"",$C329,IFERROR(INDEX(Clients!$E$5:$E$204,MATCH($B329,Clients!$A$5:$A$204,0))&amp;"","")))</f>
        <v/>
      </c>
      <c r="K329" s="15" t="str">
        <f aca="false">IF($B329="","",IF($F329&lt;&gt;"",$F329,IFERROR(IF(AND(INDEX(Clients!$F$5:$F$204,MATCH($B329,Clients!$A$5:$A$204,0))&amp;""&lt;&gt;"",OR($C329="",$C329=INDEX(Clients!$E$5:$E$204,MATCH($B329,Clients!$A$5:$A$204,0)))),INDEX(Clients!$F$5:$F$204,MATCH($B329,Clients!$A$5:$A$204,0)),INDEX(Settings!$E$5:$E$19,MATCH($J329,Settings!$D$5:$D$19,0))),0)))</f>
        <v/>
      </c>
      <c r="L329" s="15" t="str">
        <f aca="false">IF($B329="","",$K329*IF($D329="",1,$D329)+$E329)</f>
        <v/>
      </c>
      <c r="M329" s="15" t="str">
        <f aca="false">IF($B329="","",ROUND($L329*Settings!$B$9,2))</f>
        <v/>
      </c>
      <c r="N329" s="15" t="str">
        <f aca="false">IF($B329="","",$L329+$M329)</f>
        <v/>
      </c>
      <c r="O329" s="19" t="str">
        <f aca="false">IF($Q329="","",Settings!$B$13&amp;TEXT(ROWS($A$5:$A329),"0000"))</f>
        <v/>
      </c>
      <c r="P329" s="19" t="str">
        <f aca="false">IF($O329="","",IFERROR(INDEX(Invoices!$I$5:$I$504,MATCH($O329,Invoices!$A$5:$A$504,0)),""))</f>
        <v/>
      </c>
      <c r="Q329" s="2" t="str">
        <f aca="false">IF(AND($A329&lt;&gt;"",$B329&lt;&gt;"",$G329="Completed"),COUNTIFS($A$5:$A329,"&lt;&gt;",$B$5:$B329,"&lt;&gt;",$G$5:$G329,"Completed"),"")</f>
        <v/>
      </c>
    </row>
    <row r="330" customFormat="false" ht="15" hidden="false" customHeight="false" outlineLevel="0" collapsed="false">
      <c r="A330" s="16"/>
      <c r="B330" s="12"/>
      <c r="C330" s="17"/>
      <c r="D330" s="18"/>
      <c r="E330" s="13"/>
      <c r="F330" s="13"/>
      <c r="G330" s="12"/>
      <c r="H330" s="12"/>
      <c r="I330" s="19" t="str">
        <f aca="false">IF($B330="","",IFERROR(INDEX(Clients!$D$5:$D$204,MATCH($B330,Clients!$A$5:$A$204,0))&amp;"",""))</f>
        <v/>
      </c>
      <c r="J330" s="19" t="str">
        <f aca="false">IF($B330="","",IF($C330&lt;&gt;"",$C330,IFERROR(INDEX(Clients!$E$5:$E$204,MATCH($B330,Clients!$A$5:$A$204,0))&amp;"","")))</f>
        <v/>
      </c>
      <c r="K330" s="15" t="str">
        <f aca="false">IF($B330="","",IF($F330&lt;&gt;"",$F330,IFERROR(IF(AND(INDEX(Clients!$F$5:$F$204,MATCH($B330,Clients!$A$5:$A$204,0))&amp;""&lt;&gt;"",OR($C330="",$C330=INDEX(Clients!$E$5:$E$204,MATCH($B330,Clients!$A$5:$A$204,0)))),INDEX(Clients!$F$5:$F$204,MATCH($B330,Clients!$A$5:$A$204,0)),INDEX(Settings!$E$5:$E$19,MATCH($J330,Settings!$D$5:$D$19,0))),0)))</f>
        <v/>
      </c>
      <c r="L330" s="15" t="str">
        <f aca="false">IF($B330="","",$K330*IF($D330="",1,$D330)+$E330)</f>
        <v/>
      </c>
      <c r="M330" s="15" t="str">
        <f aca="false">IF($B330="","",ROUND($L330*Settings!$B$9,2))</f>
        <v/>
      </c>
      <c r="N330" s="15" t="str">
        <f aca="false">IF($B330="","",$L330+$M330)</f>
        <v/>
      </c>
      <c r="O330" s="19" t="str">
        <f aca="false">IF($Q330="","",Settings!$B$13&amp;TEXT(ROWS($A$5:$A330),"0000"))</f>
        <v/>
      </c>
      <c r="P330" s="19" t="str">
        <f aca="false">IF($O330="","",IFERROR(INDEX(Invoices!$I$5:$I$504,MATCH($O330,Invoices!$A$5:$A$504,0)),""))</f>
        <v/>
      </c>
      <c r="Q330" s="2" t="str">
        <f aca="false">IF(AND($A330&lt;&gt;"",$B330&lt;&gt;"",$G330="Completed"),COUNTIFS($A$5:$A330,"&lt;&gt;",$B$5:$B330,"&lt;&gt;",$G$5:$G330,"Completed"),"")</f>
        <v/>
      </c>
    </row>
    <row r="331" customFormat="false" ht="15" hidden="false" customHeight="false" outlineLevel="0" collapsed="false">
      <c r="A331" s="16"/>
      <c r="B331" s="12"/>
      <c r="C331" s="17"/>
      <c r="D331" s="18"/>
      <c r="E331" s="13"/>
      <c r="F331" s="13"/>
      <c r="G331" s="12"/>
      <c r="H331" s="12"/>
      <c r="I331" s="19" t="str">
        <f aca="false">IF($B331="","",IFERROR(INDEX(Clients!$D$5:$D$204,MATCH($B331,Clients!$A$5:$A$204,0))&amp;"",""))</f>
        <v/>
      </c>
      <c r="J331" s="19" t="str">
        <f aca="false">IF($B331="","",IF($C331&lt;&gt;"",$C331,IFERROR(INDEX(Clients!$E$5:$E$204,MATCH($B331,Clients!$A$5:$A$204,0))&amp;"","")))</f>
        <v/>
      </c>
      <c r="K331" s="15" t="str">
        <f aca="false">IF($B331="","",IF($F331&lt;&gt;"",$F331,IFERROR(IF(AND(INDEX(Clients!$F$5:$F$204,MATCH($B331,Clients!$A$5:$A$204,0))&amp;""&lt;&gt;"",OR($C331="",$C331=INDEX(Clients!$E$5:$E$204,MATCH($B331,Clients!$A$5:$A$204,0)))),INDEX(Clients!$F$5:$F$204,MATCH($B331,Clients!$A$5:$A$204,0)),INDEX(Settings!$E$5:$E$19,MATCH($J331,Settings!$D$5:$D$19,0))),0)))</f>
        <v/>
      </c>
      <c r="L331" s="15" t="str">
        <f aca="false">IF($B331="","",$K331*IF($D331="",1,$D331)+$E331)</f>
        <v/>
      </c>
      <c r="M331" s="15" t="str">
        <f aca="false">IF($B331="","",ROUND($L331*Settings!$B$9,2))</f>
        <v/>
      </c>
      <c r="N331" s="15" t="str">
        <f aca="false">IF($B331="","",$L331+$M331)</f>
        <v/>
      </c>
      <c r="O331" s="19" t="str">
        <f aca="false">IF($Q331="","",Settings!$B$13&amp;TEXT(ROWS($A$5:$A331),"0000"))</f>
        <v/>
      </c>
      <c r="P331" s="19" t="str">
        <f aca="false">IF($O331="","",IFERROR(INDEX(Invoices!$I$5:$I$504,MATCH($O331,Invoices!$A$5:$A$504,0)),""))</f>
        <v/>
      </c>
      <c r="Q331" s="2" t="str">
        <f aca="false">IF(AND($A331&lt;&gt;"",$B331&lt;&gt;"",$G331="Completed"),COUNTIFS($A$5:$A331,"&lt;&gt;",$B$5:$B331,"&lt;&gt;",$G$5:$G331,"Completed"),"")</f>
        <v/>
      </c>
    </row>
    <row r="332" customFormat="false" ht="15" hidden="false" customHeight="false" outlineLevel="0" collapsed="false">
      <c r="A332" s="16"/>
      <c r="B332" s="12"/>
      <c r="C332" s="17"/>
      <c r="D332" s="18"/>
      <c r="E332" s="13"/>
      <c r="F332" s="13"/>
      <c r="G332" s="12"/>
      <c r="H332" s="12"/>
      <c r="I332" s="19" t="str">
        <f aca="false">IF($B332="","",IFERROR(INDEX(Clients!$D$5:$D$204,MATCH($B332,Clients!$A$5:$A$204,0))&amp;"",""))</f>
        <v/>
      </c>
      <c r="J332" s="19" t="str">
        <f aca="false">IF($B332="","",IF($C332&lt;&gt;"",$C332,IFERROR(INDEX(Clients!$E$5:$E$204,MATCH($B332,Clients!$A$5:$A$204,0))&amp;"","")))</f>
        <v/>
      </c>
      <c r="K332" s="15" t="str">
        <f aca="false">IF($B332="","",IF($F332&lt;&gt;"",$F332,IFERROR(IF(AND(INDEX(Clients!$F$5:$F$204,MATCH($B332,Clients!$A$5:$A$204,0))&amp;""&lt;&gt;"",OR($C332="",$C332=INDEX(Clients!$E$5:$E$204,MATCH($B332,Clients!$A$5:$A$204,0)))),INDEX(Clients!$F$5:$F$204,MATCH($B332,Clients!$A$5:$A$204,0)),INDEX(Settings!$E$5:$E$19,MATCH($J332,Settings!$D$5:$D$19,0))),0)))</f>
        <v/>
      </c>
      <c r="L332" s="15" t="str">
        <f aca="false">IF($B332="","",$K332*IF($D332="",1,$D332)+$E332)</f>
        <v/>
      </c>
      <c r="M332" s="15" t="str">
        <f aca="false">IF($B332="","",ROUND($L332*Settings!$B$9,2))</f>
        <v/>
      </c>
      <c r="N332" s="15" t="str">
        <f aca="false">IF($B332="","",$L332+$M332)</f>
        <v/>
      </c>
      <c r="O332" s="19" t="str">
        <f aca="false">IF($Q332="","",Settings!$B$13&amp;TEXT(ROWS($A$5:$A332),"0000"))</f>
        <v/>
      </c>
      <c r="P332" s="19" t="str">
        <f aca="false">IF($O332="","",IFERROR(INDEX(Invoices!$I$5:$I$504,MATCH($O332,Invoices!$A$5:$A$504,0)),""))</f>
        <v/>
      </c>
      <c r="Q332" s="2" t="str">
        <f aca="false">IF(AND($A332&lt;&gt;"",$B332&lt;&gt;"",$G332="Completed"),COUNTIFS($A$5:$A332,"&lt;&gt;",$B$5:$B332,"&lt;&gt;",$G$5:$G332,"Completed"),"")</f>
        <v/>
      </c>
    </row>
    <row r="333" customFormat="false" ht="15" hidden="false" customHeight="false" outlineLevel="0" collapsed="false">
      <c r="A333" s="16"/>
      <c r="B333" s="12"/>
      <c r="C333" s="17"/>
      <c r="D333" s="18"/>
      <c r="E333" s="13"/>
      <c r="F333" s="13"/>
      <c r="G333" s="12"/>
      <c r="H333" s="12"/>
      <c r="I333" s="19" t="str">
        <f aca="false">IF($B333="","",IFERROR(INDEX(Clients!$D$5:$D$204,MATCH($B333,Clients!$A$5:$A$204,0))&amp;"",""))</f>
        <v/>
      </c>
      <c r="J333" s="19" t="str">
        <f aca="false">IF($B333="","",IF($C333&lt;&gt;"",$C333,IFERROR(INDEX(Clients!$E$5:$E$204,MATCH($B333,Clients!$A$5:$A$204,0))&amp;"","")))</f>
        <v/>
      </c>
      <c r="K333" s="15" t="str">
        <f aca="false">IF($B333="","",IF($F333&lt;&gt;"",$F333,IFERROR(IF(AND(INDEX(Clients!$F$5:$F$204,MATCH($B333,Clients!$A$5:$A$204,0))&amp;""&lt;&gt;"",OR($C333="",$C333=INDEX(Clients!$E$5:$E$204,MATCH($B333,Clients!$A$5:$A$204,0)))),INDEX(Clients!$F$5:$F$204,MATCH($B333,Clients!$A$5:$A$204,0)),INDEX(Settings!$E$5:$E$19,MATCH($J333,Settings!$D$5:$D$19,0))),0)))</f>
        <v/>
      </c>
      <c r="L333" s="15" t="str">
        <f aca="false">IF($B333="","",$K333*IF($D333="",1,$D333)+$E333)</f>
        <v/>
      </c>
      <c r="M333" s="15" t="str">
        <f aca="false">IF($B333="","",ROUND($L333*Settings!$B$9,2))</f>
        <v/>
      </c>
      <c r="N333" s="15" t="str">
        <f aca="false">IF($B333="","",$L333+$M333)</f>
        <v/>
      </c>
      <c r="O333" s="19" t="str">
        <f aca="false">IF($Q333="","",Settings!$B$13&amp;TEXT(ROWS($A$5:$A333),"0000"))</f>
        <v/>
      </c>
      <c r="P333" s="19" t="str">
        <f aca="false">IF($O333="","",IFERROR(INDEX(Invoices!$I$5:$I$504,MATCH($O333,Invoices!$A$5:$A$504,0)),""))</f>
        <v/>
      </c>
      <c r="Q333" s="2" t="str">
        <f aca="false">IF(AND($A333&lt;&gt;"",$B333&lt;&gt;"",$G333="Completed"),COUNTIFS($A$5:$A333,"&lt;&gt;",$B$5:$B333,"&lt;&gt;",$G$5:$G333,"Completed"),"")</f>
        <v/>
      </c>
    </row>
    <row r="334" customFormat="false" ht="15" hidden="false" customHeight="false" outlineLevel="0" collapsed="false">
      <c r="A334" s="16"/>
      <c r="B334" s="12"/>
      <c r="C334" s="17"/>
      <c r="D334" s="18"/>
      <c r="E334" s="13"/>
      <c r="F334" s="13"/>
      <c r="G334" s="12"/>
      <c r="H334" s="12"/>
      <c r="I334" s="19" t="str">
        <f aca="false">IF($B334="","",IFERROR(INDEX(Clients!$D$5:$D$204,MATCH($B334,Clients!$A$5:$A$204,0))&amp;"",""))</f>
        <v/>
      </c>
      <c r="J334" s="19" t="str">
        <f aca="false">IF($B334="","",IF($C334&lt;&gt;"",$C334,IFERROR(INDEX(Clients!$E$5:$E$204,MATCH($B334,Clients!$A$5:$A$204,0))&amp;"","")))</f>
        <v/>
      </c>
      <c r="K334" s="15" t="str">
        <f aca="false">IF($B334="","",IF($F334&lt;&gt;"",$F334,IFERROR(IF(AND(INDEX(Clients!$F$5:$F$204,MATCH($B334,Clients!$A$5:$A$204,0))&amp;""&lt;&gt;"",OR($C334="",$C334=INDEX(Clients!$E$5:$E$204,MATCH($B334,Clients!$A$5:$A$204,0)))),INDEX(Clients!$F$5:$F$204,MATCH($B334,Clients!$A$5:$A$204,0)),INDEX(Settings!$E$5:$E$19,MATCH($J334,Settings!$D$5:$D$19,0))),0)))</f>
        <v/>
      </c>
      <c r="L334" s="15" t="str">
        <f aca="false">IF($B334="","",$K334*IF($D334="",1,$D334)+$E334)</f>
        <v/>
      </c>
      <c r="M334" s="15" t="str">
        <f aca="false">IF($B334="","",ROUND($L334*Settings!$B$9,2))</f>
        <v/>
      </c>
      <c r="N334" s="15" t="str">
        <f aca="false">IF($B334="","",$L334+$M334)</f>
        <v/>
      </c>
      <c r="O334" s="19" t="str">
        <f aca="false">IF($Q334="","",Settings!$B$13&amp;TEXT(ROWS($A$5:$A334),"0000"))</f>
        <v/>
      </c>
      <c r="P334" s="19" t="str">
        <f aca="false">IF($O334="","",IFERROR(INDEX(Invoices!$I$5:$I$504,MATCH($O334,Invoices!$A$5:$A$504,0)),""))</f>
        <v/>
      </c>
      <c r="Q334" s="2" t="str">
        <f aca="false">IF(AND($A334&lt;&gt;"",$B334&lt;&gt;"",$G334="Completed"),COUNTIFS($A$5:$A334,"&lt;&gt;",$B$5:$B334,"&lt;&gt;",$G$5:$G334,"Completed"),"")</f>
        <v/>
      </c>
    </row>
    <row r="335" customFormat="false" ht="15" hidden="false" customHeight="false" outlineLevel="0" collapsed="false">
      <c r="A335" s="16"/>
      <c r="B335" s="12"/>
      <c r="C335" s="17"/>
      <c r="D335" s="18"/>
      <c r="E335" s="13"/>
      <c r="F335" s="13"/>
      <c r="G335" s="12"/>
      <c r="H335" s="12"/>
      <c r="I335" s="19" t="str">
        <f aca="false">IF($B335="","",IFERROR(INDEX(Clients!$D$5:$D$204,MATCH($B335,Clients!$A$5:$A$204,0))&amp;"",""))</f>
        <v/>
      </c>
      <c r="J335" s="19" t="str">
        <f aca="false">IF($B335="","",IF($C335&lt;&gt;"",$C335,IFERROR(INDEX(Clients!$E$5:$E$204,MATCH($B335,Clients!$A$5:$A$204,0))&amp;"","")))</f>
        <v/>
      </c>
      <c r="K335" s="15" t="str">
        <f aca="false">IF($B335="","",IF($F335&lt;&gt;"",$F335,IFERROR(IF(AND(INDEX(Clients!$F$5:$F$204,MATCH($B335,Clients!$A$5:$A$204,0))&amp;""&lt;&gt;"",OR($C335="",$C335=INDEX(Clients!$E$5:$E$204,MATCH($B335,Clients!$A$5:$A$204,0)))),INDEX(Clients!$F$5:$F$204,MATCH($B335,Clients!$A$5:$A$204,0)),INDEX(Settings!$E$5:$E$19,MATCH($J335,Settings!$D$5:$D$19,0))),0)))</f>
        <v/>
      </c>
      <c r="L335" s="15" t="str">
        <f aca="false">IF($B335="","",$K335*IF($D335="",1,$D335)+$E335)</f>
        <v/>
      </c>
      <c r="M335" s="15" t="str">
        <f aca="false">IF($B335="","",ROUND($L335*Settings!$B$9,2))</f>
        <v/>
      </c>
      <c r="N335" s="15" t="str">
        <f aca="false">IF($B335="","",$L335+$M335)</f>
        <v/>
      </c>
      <c r="O335" s="19" t="str">
        <f aca="false">IF($Q335="","",Settings!$B$13&amp;TEXT(ROWS($A$5:$A335),"0000"))</f>
        <v/>
      </c>
      <c r="P335" s="19" t="str">
        <f aca="false">IF($O335="","",IFERROR(INDEX(Invoices!$I$5:$I$504,MATCH($O335,Invoices!$A$5:$A$504,0)),""))</f>
        <v/>
      </c>
      <c r="Q335" s="2" t="str">
        <f aca="false">IF(AND($A335&lt;&gt;"",$B335&lt;&gt;"",$G335="Completed"),COUNTIFS($A$5:$A335,"&lt;&gt;",$B$5:$B335,"&lt;&gt;",$G$5:$G335,"Completed"),"")</f>
        <v/>
      </c>
    </row>
    <row r="336" customFormat="false" ht="15" hidden="false" customHeight="false" outlineLevel="0" collapsed="false">
      <c r="A336" s="16"/>
      <c r="B336" s="12"/>
      <c r="C336" s="17"/>
      <c r="D336" s="18"/>
      <c r="E336" s="13"/>
      <c r="F336" s="13"/>
      <c r="G336" s="12"/>
      <c r="H336" s="12"/>
      <c r="I336" s="19" t="str">
        <f aca="false">IF($B336="","",IFERROR(INDEX(Clients!$D$5:$D$204,MATCH($B336,Clients!$A$5:$A$204,0))&amp;"",""))</f>
        <v/>
      </c>
      <c r="J336" s="19" t="str">
        <f aca="false">IF($B336="","",IF($C336&lt;&gt;"",$C336,IFERROR(INDEX(Clients!$E$5:$E$204,MATCH($B336,Clients!$A$5:$A$204,0))&amp;"","")))</f>
        <v/>
      </c>
      <c r="K336" s="15" t="str">
        <f aca="false">IF($B336="","",IF($F336&lt;&gt;"",$F336,IFERROR(IF(AND(INDEX(Clients!$F$5:$F$204,MATCH($B336,Clients!$A$5:$A$204,0))&amp;""&lt;&gt;"",OR($C336="",$C336=INDEX(Clients!$E$5:$E$204,MATCH($B336,Clients!$A$5:$A$204,0)))),INDEX(Clients!$F$5:$F$204,MATCH($B336,Clients!$A$5:$A$204,0)),INDEX(Settings!$E$5:$E$19,MATCH($J336,Settings!$D$5:$D$19,0))),0)))</f>
        <v/>
      </c>
      <c r="L336" s="15" t="str">
        <f aca="false">IF($B336="","",$K336*IF($D336="",1,$D336)+$E336)</f>
        <v/>
      </c>
      <c r="M336" s="15" t="str">
        <f aca="false">IF($B336="","",ROUND($L336*Settings!$B$9,2))</f>
        <v/>
      </c>
      <c r="N336" s="15" t="str">
        <f aca="false">IF($B336="","",$L336+$M336)</f>
        <v/>
      </c>
      <c r="O336" s="19" t="str">
        <f aca="false">IF($Q336="","",Settings!$B$13&amp;TEXT(ROWS($A$5:$A336),"0000"))</f>
        <v/>
      </c>
      <c r="P336" s="19" t="str">
        <f aca="false">IF($O336="","",IFERROR(INDEX(Invoices!$I$5:$I$504,MATCH($O336,Invoices!$A$5:$A$504,0)),""))</f>
        <v/>
      </c>
      <c r="Q336" s="2" t="str">
        <f aca="false">IF(AND($A336&lt;&gt;"",$B336&lt;&gt;"",$G336="Completed"),COUNTIFS($A$5:$A336,"&lt;&gt;",$B$5:$B336,"&lt;&gt;",$G$5:$G336,"Completed"),"")</f>
        <v/>
      </c>
    </row>
    <row r="337" customFormat="false" ht="15" hidden="false" customHeight="false" outlineLevel="0" collapsed="false">
      <c r="A337" s="16"/>
      <c r="B337" s="12"/>
      <c r="C337" s="17"/>
      <c r="D337" s="18"/>
      <c r="E337" s="13"/>
      <c r="F337" s="13"/>
      <c r="G337" s="12"/>
      <c r="H337" s="12"/>
      <c r="I337" s="19" t="str">
        <f aca="false">IF($B337="","",IFERROR(INDEX(Clients!$D$5:$D$204,MATCH($B337,Clients!$A$5:$A$204,0))&amp;"",""))</f>
        <v/>
      </c>
      <c r="J337" s="19" t="str">
        <f aca="false">IF($B337="","",IF($C337&lt;&gt;"",$C337,IFERROR(INDEX(Clients!$E$5:$E$204,MATCH($B337,Clients!$A$5:$A$204,0))&amp;"","")))</f>
        <v/>
      </c>
      <c r="K337" s="15" t="str">
        <f aca="false">IF($B337="","",IF($F337&lt;&gt;"",$F337,IFERROR(IF(AND(INDEX(Clients!$F$5:$F$204,MATCH($B337,Clients!$A$5:$A$204,0))&amp;""&lt;&gt;"",OR($C337="",$C337=INDEX(Clients!$E$5:$E$204,MATCH($B337,Clients!$A$5:$A$204,0)))),INDEX(Clients!$F$5:$F$204,MATCH($B337,Clients!$A$5:$A$204,0)),INDEX(Settings!$E$5:$E$19,MATCH($J337,Settings!$D$5:$D$19,0))),0)))</f>
        <v/>
      </c>
      <c r="L337" s="15" t="str">
        <f aca="false">IF($B337="","",$K337*IF($D337="",1,$D337)+$E337)</f>
        <v/>
      </c>
      <c r="M337" s="15" t="str">
        <f aca="false">IF($B337="","",ROUND($L337*Settings!$B$9,2))</f>
        <v/>
      </c>
      <c r="N337" s="15" t="str">
        <f aca="false">IF($B337="","",$L337+$M337)</f>
        <v/>
      </c>
      <c r="O337" s="19" t="str">
        <f aca="false">IF($Q337="","",Settings!$B$13&amp;TEXT(ROWS($A$5:$A337),"0000"))</f>
        <v/>
      </c>
      <c r="P337" s="19" t="str">
        <f aca="false">IF($O337="","",IFERROR(INDEX(Invoices!$I$5:$I$504,MATCH($O337,Invoices!$A$5:$A$504,0)),""))</f>
        <v/>
      </c>
      <c r="Q337" s="2" t="str">
        <f aca="false">IF(AND($A337&lt;&gt;"",$B337&lt;&gt;"",$G337="Completed"),COUNTIFS($A$5:$A337,"&lt;&gt;",$B$5:$B337,"&lt;&gt;",$G$5:$G337,"Completed"),"")</f>
        <v/>
      </c>
    </row>
    <row r="338" customFormat="false" ht="15" hidden="false" customHeight="false" outlineLevel="0" collapsed="false">
      <c r="A338" s="16"/>
      <c r="B338" s="12"/>
      <c r="C338" s="17"/>
      <c r="D338" s="18"/>
      <c r="E338" s="13"/>
      <c r="F338" s="13"/>
      <c r="G338" s="12"/>
      <c r="H338" s="12"/>
      <c r="I338" s="19" t="str">
        <f aca="false">IF($B338="","",IFERROR(INDEX(Clients!$D$5:$D$204,MATCH($B338,Clients!$A$5:$A$204,0))&amp;"",""))</f>
        <v/>
      </c>
      <c r="J338" s="19" t="str">
        <f aca="false">IF($B338="","",IF($C338&lt;&gt;"",$C338,IFERROR(INDEX(Clients!$E$5:$E$204,MATCH($B338,Clients!$A$5:$A$204,0))&amp;"","")))</f>
        <v/>
      </c>
      <c r="K338" s="15" t="str">
        <f aca="false">IF($B338="","",IF($F338&lt;&gt;"",$F338,IFERROR(IF(AND(INDEX(Clients!$F$5:$F$204,MATCH($B338,Clients!$A$5:$A$204,0))&amp;""&lt;&gt;"",OR($C338="",$C338=INDEX(Clients!$E$5:$E$204,MATCH($B338,Clients!$A$5:$A$204,0)))),INDEX(Clients!$F$5:$F$204,MATCH($B338,Clients!$A$5:$A$204,0)),INDEX(Settings!$E$5:$E$19,MATCH($J338,Settings!$D$5:$D$19,0))),0)))</f>
        <v/>
      </c>
      <c r="L338" s="15" t="str">
        <f aca="false">IF($B338="","",$K338*IF($D338="",1,$D338)+$E338)</f>
        <v/>
      </c>
      <c r="M338" s="15" t="str">
        <f aca="false">IF($B338="","",ROUND($L338*Settings!$B$9,2))</f>
        <v/>
      </c>
      <c r="N338" s="15" t="str">
        <f aca="false">IF($B338="","",$L338+$M338)</f>
        <v/>
      </c>
      <c r="O338" s="19" t="str">
        <f aca="false">IF($Q338="","",Settings!$B$13&amp;TEXT(ROWS($A$5:$A338),"0000"))</f>
        <v/>
      </c>
      <c r="P338" s="19" t="str">
        <f aca="false">IF($O338="","",IFERROR(INDEX(Invoices!$I$5:$I$504,MATCH($O338,Invoices!$A$5:$A$504,0)),""))</f>
        <v/>
      </c>
      <c r="Q338" s="2" t="str">
        <f aca="false">IF(AND($A338&lt;&gt;"",$B338&lt;&gt;"",$G338="Completed"),COUNTIFS($A$5:$A338,"&lt;&gt;",$B$5:$B338,"&lt;&gt;",$G$5:$G338,"Completed"),"")</f>
        <v/>
      </c>
    </row>
    <row r="339" customFormat="false" ht="15" hidden="false" customHeight="false" outlineLevel="0" collapsed="false">
      <c r="A339" s="16"/>
      <c r="B339" s="12"/>
      <c r="C339" s="17"/>
      <c r="D339" s="18"/>
      <c r="E339" s="13"/>
      <c r="F339" s="13"/>
      <c r="G339" s="12"/>
      <c r="H339" s="12"/>
      <c r="I339" s="19" t="str">
        <f aca="false">IF($B339="","",IFERROR(INDEX(Clients!$D$5:$D$204,MATCH($B339,Clients!$A$5:$A$204,0))&amp;"",""))</f>
        <v/>
      </c>
      <c r="J339" s="19" t="str">
        <f aca="false">IF($B339="","",IF($C339&lt;&gt;"",$C339,IFERROR(INDEX(Clients!$E$5:$E$204,MATCH($B339,Clients!$A$5:$A$204,0))&amp;"","")))</f>
        <v/>
      </c>
      <c r="K339" s="15" t="str">
        <f aca="false">IF($B339="","",IF($F339&lt;&gt;"",$F339,IFERROR(IF(AND(INDEX(Clients!$F$5:$F$204,MATCH($B339,Clients!$A$5:$A$204,0))&amp;""&lt;&gt;"",OR($C339="",$C339=INDEX(Clients!$E$5:$E$204,MATCH($B339,Clients!$A$5:$A$204,0)))),INDEX(Clients!$F$5:$F$204,MATCH($B339,Clients!$A$5:$A$204,0)),INDEX(Settings!$E$5:$E$19,MATCH($J339,Settings!$D$5:$D$19,0))),0)))</f>
        <v/>
      </c>
      <c r="L339" s="15" t="str">
        <f aca="false">IF($B339="","",$K339*IF($D339="",1,$D339)+$E339)</f>
        <v/>
      </c>
      <c r="M339" s="15" t="str">
        <f aca="false">IF($B339="","",ROUND($L339*Settings!$B$9,2))</f>
        <v/>
      </c>
      <c r="N339" s="15" t="str">
        <f aca="false">IF($B339="","",$L339+$M339)</f>
        <v/>
      </c>
      <c r="O339" s="19" t="str">
        <f aca="false">IF($Q339="","",Settings!$B$13&amp;TEXT(ROWS($A$5:$A339),"0000"))</f>
        <v/>
      </c>
      <c r="P339" s="19" t="str">
        <f aca="false">IF($O339="","",IFERROR(INDEX(Invoices!$I$5:$I$504,MATCH($O339,Invoices!$A$5:$A$504,0)),""))</f>
        <v/>
      </c>
      <c r="Q339" s="2" t="str">
        <f aca="false">IF(AND($A339&lt;&gt;"",$B339&lt;&gt;"",$G339="Completed"),COUNTIFS($A$5:$A339,"&lt;&gt;",$B$5:$B339,"&lt;&gt;",$G$5:$G339,"Completed"),"")</f>
        <v/>
      </c>
    </row>
    <row r="340" customFormat="false" ht="15" hidden="false" customHeight="false" outlineLevel="0" collapsed="false">
      <c r="A340" s="16"/>
      <c r="B340" s="12"/>
      <c r="C340" s="17"/>
      <c r="D340" s="18"/>
      <c r="E340" s="13"/>
      <c r="F340" s="13"/>
      <c r="G340" s="12"/>
      <c r="H340" s="12"/>
      <c r="I340" s="19" t="str">
        <f aca="false">IF($B340="","",IFERROR(INDEX(Clients!$D$5:$D$204,MATCH($B340,Clients!$A$5:$A$204,0))&amp;"",""))</f>
        <v/>
      </c>
      <c r="J340" s="19" t="str">
        <f aca="false">IF($B340="","",IF($C340&lt;&gt;"",$C340,IFERROR(INDEX(Clients!$E$5:$E$204,MATCH($B340,Clients!$A$5:$A$204,0))&amp;"","")))</f>
        <v/>
      </c>
      <c r="K340" s="15" t="str">
        <f aca="false">IF($B340="","",IF($F340&lt;&gt;"",$F340,IFERROR(IF(AND(INDEX(Clients!$F$5:$F$204,MATCH($B340,Clients!$A$5:$A$204,0))&amp;""&lt;&gt;"",OR($C340="",$C340=INDEX(Clients!$E$5:$E$204,MATCH($B340,Clients!$A$5:$A$204,0)))),INDEX(Clients!$F$5:$F$204,MATCH($B340,Clients!$A$5:$A$204,0)),INDEX(Settings!$E$5:$E$19,MATCH($J340,Settings!$D$5:$D$19,0))),0)))</f>
        <v/>
      </c>
      <c r="L340" s="15" t="str">
        <f aca="false">IF($B340="","",$K340*IF($D340="",1,$D340)+$E340)</f>
        <v/>
      </c>
      <c r="M340" s="15" t="str">
        <f aca="false">IF($B340="","",ROUND($L340*Settings!$B$9,2))</f>
        <v/>
      </c>
      <c r="N340" s="15" t="str">
        <f aca="false">IF($B340="","",$L340+$M340)</f>
        <v/>
      </c>
      <c r="O340" s="19" t="str">
        <f aca="false">IF($Q340="","",Settings!$B$13&amp;TEXT(ROWS($A$5:$A340),"0000"))</f>
        <v/>
      </c>
      <c r="P340" s="19" t="str">
        <f aca="false">IF($O340="","",IFERROR(INDEX(Invoices!$I$5:$I$504,MATCH($O340,Invoices!$A$5:$A$504,0)),""))</f>
        <v/>
      </c>
      <c r="Q340" s="2" t="str">
        <f aca="false">IF(AND($A340&lt;&gt;"",$B340&lt;&gt;"",$G340="Completed"),COUNTIFS($A$5:$A340,"&lt;&gt;",$B$5:$B340,"&lt;&gt;",$G$5:$G340,"Completed"),"")</f>
        <v/>
      </c>
    </row>
    <row r="341" customFormat="false" ht="15" hidden="false" customHeight="false" outlineLevel="0" collapsed="false">
      <c r="A341" s="16"/>
      <c r="B341" s="12"/>
      <c r="C341" s="17"/>
      <c r="D341" s="18"/>
      <c r="E341" s="13"/>
      <c r="F341" s="13"/>
      <c r="G341" s="12"/>
      <c r="H341" s="12"/>
      <c r="I341" s="19" t="str">
        <f aca="false">IF($B341="","",IFERROR(INDEX(Clients!$D$5:$D$204,MATCH($B341,Clients!$A$5:$A$204,0))&amp;"",""))</f>
        <v/>
      </c>
      <c r="J341" s="19" t="str">
        <f aca="false">IF($B341="","",IF($C341&lt;&gt;"",$C341,IFERROR(INDEX(Clients!$E$5:$E$204,MATCH($B341,Clients!$A$5:$A$204,0))&amp;"","")))</f>
        <v/>
      </c>
      <c r="K341" s="15" t="str">
        <f aca="false">IF($B341="","",IF($F341&lt;&gt;"",$F341,IFERROR(IF(AND(INDEX(Clients!$F$5:$F$204,MATCH($B341,Clients!$A$5:$A$204,0))&amp;""&lt;&gt;"",OR($C341="",$C341=INDEX(Clients!$E$5:$E$204,MATCH($B341,Clients!$A$5:$A$204,0)))),INDEX(Clients!$F$5:$F$204,MATCH($B341,Clients!$A$5:$A$204,0)),INDEX(Settings!$E$5:$E$19,MATCH($J341,Settings!$D$5:$D$19,0))),0)))</f>
        <v/>
      </c>
      <c r="L341" s="15" t="str">
        <f aca="false">IF($B341="","",$K341*IF($D341="",1,$D341)+$E341)</f>
        <v/>
      </c>
      <c r="M341" s="15" t="str">
        <f aca="false">IF($B341="","",ROUND($L341*Settings!$B$9,2))</f>
        <v/>
      </c>
      <c r="N341" s="15" t="str">
        <f aca="false">IF($B341="","",$L341+$M341)</f>
        <v/>
      </c>
      <c r="O341" s="19" t="str">
        <f aca="false">IF($Q341="","",Settings!$B$13&amp;TEXT(ROWS($A$5:$A341),"0000"))</f>
        <v/>
      </c>
      <c r="P341" s="19" t="str">
        <f aca="false">IF($O341="","",IFERROR(INDEX(Invoices!$I$5:$I$504,MATCH($O341,Invoices!$A$5:$A$504,0)),""))</f>
        <v/>
      </c>
      <c r="Q341" s="2" t="str">
        <f aca="false">IF(AND($A341&lt;&gt;"",$B341&lt;&gt;"",$G341="Completed"),COUNTIFS($A$5:$A341,"&lt;&gt;",$B$5:$B341,"&lt;&gt;",$G$5:$G341,"Completed"),"")</f>
        <v/>
      </c>
    </row>
    <row r="342" customFormat="false" ht="15" hidden="false" customHeight="false" outlineLevel="0" collapsed="false">
      <c r="A342" s="16"/>
      <c r="B342" s="12"/>
      <c r="C342" s="17"/>
      <c r="D342" s="18"/>
      <c r="E342" s="13"/>
      <c r="F342" s="13"/>
      <c r="G342" s="12"/>
      <c r="H342" s="12"/>
      <c r="I342" s="19" t="str">
        <f aca="false">IF($B342="","",IFERROR(INDEX(Clients!$D$5:$D$204,MATCH($B342,Clients!$A$5:$A$204,0))&amp;"",""))</f>
        <v/>
      </c>
      <c r="J342" s="19" t="str">
        <f aca="false">IF($B342="","",IF($C342&lt;&gt;"",$C342,IFERROR(INDEX(Clients!$E$5:$E$204,MATCH($B342,Clients!$A$5:$A$204,0))&amp;"","")))</f>
        <v/>
      </c>
      <c r="K342" s="15" t="str">
        <f aca="false">IF($B342="","",IF($F342&lt;&gt;"",$F342,IFERROR(IF(AND(INDEX(Clients!$F$5:$F$204,MATCH($B342,Clients!$A$5:$A$204,0))&amp;""&lt;&gt;"",OR($C342="",$C342=INDEX(Clients!$E$5:$E$204,MATCH($B342,Clients!$A$5:$A$204,0)))),INDEX(Clients!$F$5:$F$204,MATCH($B342,Clients!$A$5:$A$204,0)),INDEX(Settings!$E$5:$E$19,MATCH($J342,Settings!$D$5:$D$19,0))),0)))</f>
        <v/>
      </c>
      <c r="L342" s="15" t="str">
        <f aca="false">IF($B342="","",$K342*IF($D342="",1,$D342)+$E342)</f>
        <v/>
      </c>
      <c r="M342" s="15" t="str">
        <f aca="false">IF($B342="","",ROUND($L342*Settings!$B$9,2))</f>
        <v/>
      </c>
      <c r="N342" s="15" t="str">
        <f aca="false">IF($B342="","",$L342+$M342)</f>
        <v/>
      </c>
      <c r="O342" s="19" t="str">
        <f aca="false">IF($Q342="","",Settings!$B$13&amp;TEXT(ROWS($A$5:$A342),"0000"))</f>
        <v/>
      </c>
      <c r="P342" s="19" t="str">
        <f aca="false">IF($O342="","",IFERROR(INDEX(Invoices!$I$5:$I$504,MATCH($O342,Invoices!$A$5:$A$504,0)),""))</f>
        <v/>
      </c>
      <c r="Q342" s="2" t="str">
        <f aca="false">IF(AND($A342&lt;&gt;"",$B342&lt;&gt;"",$G342="Completed"),COUNTIFS($A$5:$A342,"&lt;&gt;",$B$5:$B342,"&lt;&gt;",$G$5:$G342,"Completed"),"")</f>
        <v/>
      </c>
    </row>
    <row r="343" customFormat="false" ht="15" hidden="false" customHeight="false" outlineLevel="0" collapsed="false">
      <c r="A343" s="16"/>
      <c r="B343" s="12"/>
      <c r="C343" s="17"/>
      <c r="D343" s="18"/>
      <c r="E343" s="13"/>
      <c r="F343" s="13"/>
      <c r="G343" s="12"/>
      <c r="H343" s="12"/>
      <c r="I343" s="19" t="str">
        <f aca="false">IF($B343="","",IFERROR(INDEX(Clients!$D$5:$D$204,MATCH($B343,Clients!$A$5:$A$204,0))&amp;"",""))</f>
        <v/>
      </c>
      <c r="J343" s="19" t="str">
        <f aca="false">IF($B343="","",IF($C343&lt;&gt;"",$C343,IFERROR(INDEX(Clients!$E$5:$E$204,MATCH($B343,Clients!$A$5:$A$204,0))&amp;"","")))</f>
        <v/>
      </c>
      <c r="K343" s="15" t="str">
        <f aca="false">IF($B343="","",IF($F343&lt;&gt;"",$F343,IFERROR(IF(AND(INDEX(Clients!$F$5:$F$204,MATCH($B343,Clients!$A$5:$A$204,0))&amp;""&lt;&gt;"",OR($C343="",$C343=INDEX(Clients!$E$5:$E$204,MATCH($B343,Clients!$A$5:$A$204,0)))),INDEX(Clients!$F$5:$F$204,MATCH($B343,Clients!$A$5:$A$204,0)),INDEX(Settings!$E$5:$E$19,MATCH($J343,Settings!$D$5:$D$19,0))),0)))</f>
        <v/>
      </c>
      <c r="L343" s="15" t="str">
        <f aca="false">IF($B343="","",$K343*IF($D343="",1,$D343)+$E343)</f>
        <v/>
      </c>
      <c r="M343" s="15" t="str">
        <f aca="false">IF($B343="","",ROUND($L343*Settings!$B$9,2))</f>
        <v/>
      </c>
      <c r="N343" s="15" t="str">
        <f aca="false">IF($B343="","",$L343+$M343)</f>
        <v/>
      </c>
      <c r="O343" s="19" t="str">
        <f aca="false">IF($Q343="","",Settings!$B$13&amp;TEXT(ROWS($A$5:$A343),"0000"))</f>
        <v/>
      </c>
      <c r="P343" s="19" t="str">
        <f aca="false">IF($O343="","",IFERROR(INDEX(Invoices!$I$5:$I$504,MATCH($O343,Invoices!$A$5:$A$504,0)),""))</f>
        <v/>
      </c>
      <c r="Q343" s="2" t="str">
        <f aca="false">IF(AND($A343&lt;&gt;"",$B343&lt;&gt;"",$G343="Completed"),COUNTIFS($A$5:$A343,"&lt;&gt;",$B$5:$B343,"&lt;&gt;",$G$5:$G343,"Completed"),"")</f>
        <v/>
      </c>
    </row>
    <row r="344" customFormat="false" ht="15" hidden="false" customHeight="false" outlineLevel="0" collapsed="false">
      <c r="A344" s="16"/>
      <c r="B344" s="12"/>
      <c r="C344" s="17"/>
      <c r="D344" s="18"/>
      <c r="E344" s="13"/>
      <c r="F344" s="13"/>
      <c r="G344" s="12"/>
      <c r="H344" s="12"/>
      <c r="I344" s="19" t="str">
        <f aca="false">IF($B344="","",IFERROR(INDEX(Clients!$D$5:$D$204,MATCH($B344,Clients!$A$5:$A$204,0))&amp;"",""))</f>
        <v/>
      </c>
      <c r="J344" s="19" t="str">
        <f aca="false">IF($B344="","",IF($C344&lt;&gt;"",$C344,IFERROR(INDEX(Clients!$E$5:$E$204,MATCH($B344,Clients!$A$5:$A$204,0))&amp;"","")))</f>
        <v/>
      </c>
      <c r="K344" s="15" t="str">
        <f aca="false">IF($B344="","",IF($F344&lt;&gt;"",$F344,IFERROR(IF(AND(INDEX(Clients!$F$5:$F$204,MATCH($B344,Clients!$A$5:$A$204,0))&amp;""&lt;&gt;"",OR($C344="",$C344=INDEX(Clients!$E$5:$E$204,MATCH($B344,Clients!$A$5:$A$204,0)))),INDEX(Clients!$F$5:$F$204,MATCH($B344,Clients!$A$5:$A$204,0)),INDEX(Settings!$E$5:$E$19,MATCH($J344,Settings!$D$5:$D$19,0))),0)))</f>
        <v/>
      </c>
      <c r="L344" s="15" t="str">
        <f aca="false">IF($B344="","",$K344*IF($D344="",1,$D344)+$E344)</f>
        <v/>
      </c>
      <c r="M344" s="15" t="str">
        <f aca="false">IF($B344="","",ROUND($L344*Settings!$B$9,2))</f>
        <v/>
      </c>
      <c r="N344" s="15" t="str">
        <f aca="false">IF($B344="","",$L344+$M344)</f>
        <v/>
      </c>
      <c r="O344" s="19" t="str">
        <f aca="false">IF($Q344="","",Settings!$B$13&amp;TEXT(ROWS($A$5:$A344),"0000"))</f>
        <v/>
      </c>
      <c r="P344" s="19" t="str">
        <f aca="false">IF($O344="","",IFERROR(INDEX(Invoices!$I$5:$I$504,MATCH($O344,Invoices!$A$5:$A$504,0)),""))</f>
        <v/>
      </c>
      <c r="Q344" s="2" t="str">
        <f aca="false">IF(AND($A344&lt;&gt;"",$B344&lt;&gt;"",$G344="Completed"),COUNTIFS($A$5:$A344,"&lt;&gt;",$B$5:$B344,"&lt;&gt;",$G$5:$G344,"Completed"),"")</f>
        <v/>
      </c>
    </row>
    <row r="345" customFormat="false" ht="15" hidden="false" customHeight="false" outlineLevel="0" collapsed="false">
      <c r="A345" s="16"/>
      <c r="B345" s="12"/>
      <c r="C345" s="17"/>
      <c r="D345" s="18"/>
      <c r="E345" s="13"/>
      <c r="F345" s="13"/>
      <c r="G345" s="12"/>
      <c r="H345" s="12"/>
      <c r="I345" s="19" t="str">
        <f aca="false">IF($B345="","",IFERROR(INDEX(Clients!$D$5:$D$204,MATCH($B345,Clients!$A$5:$A$204,0))&amp;"",""))</f>
        <v/>
      </c>
      <c r="J345" s="19" t="str">
        <f aca="false">IF($B345="","",IF($C345&lt;&gt;"",$C345,IFERROR(INDEX(Clients!$E$5:$E$204,MATCH($B345,Clients!$A$5:$A$204,0))&amp;"","")))</f>
        <v/>
      </c>
      <c r="K345" s="15" t="str">
        <f aca="false">IF($B345="","",IF($F345&lt;&gt;"",$F345,IFERROR(IF(AND(INDEX(Clients!$F$5:$F$204,MATCH($B345,Clients!$A$5:$A$204,0))&amp;""&lt;&gt;"",OR($C345="",$C345=INDEX(Clients!$E$5:$E$204,MATCH($B345,Clients!$A$5:$A$204,0)))),INDEX(Clients!$F$5:$F$204,MATCH($B345,Clients!$A$5:$A$204,0)),INDEX(Settings!$E$5:$E$19,MATCH($J345,Settings!$D$5:$D$19,0))),0)))</f>
        <v/>
      </c>
      <c r="L345" s="15" t="str">
        <f aca="false">IF($B345="","",$K345*IF($D345="",1,$D345)+$E345)</f>
        <v/>
      </c>
      <c r="M345" s="15" t="str">
        <f aca="false">IF($B345="","",ROUND($L345*Settings!$B$9,2))</f>
        <v/>
      </c>
      <c r="N345" s="15" t="str">
        <f aca="false">IF($B345="","",$L345+$M345)</f>
        <v/>
      </c>
      <c r="O345" s="19" t="str">
        <f aca="false">IF($Q345="","",Settings!$B$13&amp;TEXT(ROWS($A$5:$A345),"0000"))</f>
        <v/>
      </c>
      <c r="P345" s="19" t="str">
        <f aca="false">IF($O345="","",IFERROR(INDEX(Invoices!$I$5:$I$504,MATCH($O345,Invoices!$A$5:$A$504,0)),""))</f>
        <v/>
      </c>
      <c r="Q345" s="2" t="str">
        <f aca="false">IF(AND($A345&lt;&gt;"",$B345&lt;&gt;"",$G345="Completed"),COUNTIFS($A$5:$A345,"&lt;&gt;",$B$5:$B345,"&lt;&gt;",$G$5:$G345,"Completed"),"")</f>
        <v/>
      </c>
    </row>
    <row r="346" customFormat="false" ht="15" hidden="false" customHeight="false" outlineLevel="0" collapsed="false">
      <c r="A346" s="16"/>
      <c r="B346" s="12"/>
      <c r="C346" s="17"/>
      <c r="D346" s="18"/>
      <c r="E346" s="13"/>
      <c r="F346" s="13"/>
      <c r="G346" s="12"/>
      <c r="H346" s="12"/>
      <c r="I346" s="19" t="str">
        <f aca="false">IF($B346="","",IFERROR(INDEX(Clients!$D$5:$D$204,MATCH($B346,Clients!$A$5:$A$204,0))&amp;"",""))</f>
        <v/>
      </c>
      <c r="J346" s="19" t="str">
        <f aca="false">IF($B346="","",IF($C346&lt;&gt;"",$C346,IFERROR(INDEX(Clients!$E$5:$E$204,MATCH($B346,Clients!$A$5:$A$204,0))&amp;"","")))</f>
        <v/>
      </c>
      <c r="K346" s="15" t="str">
        <f aca="false">IF($B346="","",IF($F346&lt;&gt;"",$F346,IFERROR(IF(AND(INDEX(Clients!$F$5:$F$204,MATCH($B346,Clients!$A$5:$A$204,0))&amp;""&lt;&gt;"",OR($C346="",$C346=INDEX(Clients!$E$5:$E$204,MATCH($B346,Clients!$A$5:$A$204,0)))),INDEX(Clients!$F$5:$F$204,MATCH($B346,Clients!$A$5:$A$204,0)),INDEX(Settings!$E$5:$E$19,MATCH($J346,Settings!$D$5:$D$19,0))),0)))</f>
        <v/>
      </c>
      <c r="L346" s="15" t="str">
        <f aca="false">IF($B346="","",$K346*IF($D346="",1,$D346)+$E346)</f>
        <v/>
      </c>
      <c r="M346" s="15" t="str">
        <f aca="false">IF($B346="","",ROUND($L346*Settings!$B$9,2))</f>
        <v/>
      </c>
      <c r="N346" s="15" t="str">
        <f aca="false">IF($B346="","",$L346+$M346)</f>
        <v/>
      </c>
      <c r="O346" s="19" t="str">
        <f aca="false">IF($Q346="","",Settings!$B$13&amp;TEXT(ROWS($A$5:$A346),"0000"))</f>
        <v/>
      </c>
      <c r="P346" s="19" t="str">
        <f aca="false">IF($O346="","",IFERROR(INDEX(Invoices!$I$5:$I$504,MATCH($O346,Invoices!$A$5:$A$504,0)),""))</f>
        <v/>
      </c>
      <c r="Q346" s="2" t="str">
        <f aca="false">IF(AND($A346&lt;&gt;"",$B346&lt;&gt;"",$G346="Completed"),COUNTIFS($A$5:$A346,"&lt;&gt;",$B$5:$B346,"&lt;&gt;",$G$5:$G346,"Completed"),"")</f>
        <v/>
      </c>
    </row>
    <row r="347" customFormat="false" ht="15" hidden="false" customHeight="false" outlineLevel="0" collapsed="false">
      <c r="A347" s="16"/>
      <c r="B347" s="12"/>
      <c r="C347" s="17"/>
      <c r="D347" s="18"/>
      <c r="E347" s="13"/>
      <c r="F347" s="13"/>
      <c r="G347" s="12"/>
      <c r="H347" s="12"/>
      <c r="I347" s="19" t="str">
        <f aca="false">IF($B347="","",IFERROR(INDEX(Clients!$D$5:$D$204,MATCH($B347,Clients!$A$5:$A$204,0))&amp;"",""))</f>
        <v/>
      </c>
      <c r="J347" s="19" t="str">
        <f aca="false">IF($B347="","",IF($C347&lt;&gt;"",$C347,IFERROR(INDEX(Clients!$E$5:$E$204,MATCH($B347,Clients!$A$5:$A$204,0))&amp;"","")))</f>
        <v/>
      </c>
      <c r="K347" s="15" t="str">
        <f aca="false">IF($B347="","",IF($F347&lt;&gt;"",$F347,IFERROR(IF(AND(INDEX(Clients!$F$5:$F$204,MATCH($B347,Clients!$A$5:$A$204,0))&amp;""&lt;&gt;"",OR($C347="",$C347=INDEX(Clients!$E$5:$E$204,MATCH($B347,Clients!$A$5:$A$204,0)))),INDEX(Clients!$F$5:$F$204,MATCH($B347,Clients!$A$5:$A$204,0)),INDEX(Settings!$E$5:$E$19,MATCH($J347,Settings!$D$5:$D$19,0))),0)))</f>
        <v/>
      </c>
      <c r="L347" s="15" t="str">
        <f aca="false">IF($B347="","",$K347*IF($D347="",1,$D347)+$E347)</f>
        <v/>
      </c>
      <c r="M347" s="15" t="str">
        <f aca="false">IF($B347="","",ROUND($L347*Settings!$B$9,2))</f>
        <v/>
      </c>
      <c r="N347" s="15" t="str">
        <f aca="false">IF($B347="","",$L347+$M347)</f>
        <v/>
      </c>
      <c r="O347" s="19" t="str">
        <f aca="false">IF($Q347="","",Settings!$B$13&amp;TEXT(ROWS($A$5:$A347),"0000"))</f>
        <v/>
      </c>
      <c r="P347" s="19" t="str">
        <f aca="false">IF($O347="","",IFERROR(INDEX(Invoices!$I$5:$I$504,MATCH($O347,Invoices!$A$5:$A$504,0)),""))</f>
        <v/>
      </c>
      <c r="Q347" s="2" t="str">
        <f aca="false">IF(AND($A347&lt;&gt;"",$B347&lt;&gt;"",$G347="Completed"),COUNTIFS($A$5:$A347,"&lt;&gt;",$B$5:$B347,"&lt;&gt;",$G$5:$G347,"Completed"),"")</f>
        <v/>
      </c>
    </row>
    <row r="348" customFormat="false" ht="15" hidden="false" customHeight="false" outlineLevel="0" collapsed="false">
      <c r="A348" s="16"/>
      <c r="B348" s="12"/>
      <c r="C348" s="17"/>
      <c r="D348" s="18"/>
      <c r="E348" s="13"/>
      <c r="F348" s="13"/>
      <c r="G348" s="12"/>
      <c r="H348" s="12"/>
      <c r="I348" s="19" t="str">
        <f aca="false">IF($B348="","",IFERROR(INDEX(Clients!$D$5:$D$204,MATCH($B348,Clients!$A$5:$A$204,0))&amp;"",""))</f>
        <v/>
      </c>
      <c r="J348" s="19" t="str">
        <f aca="false">IF($B348="","",IF($C348&lt;&gt;"",$C348,IFERROR(INDEX(Clients!$E$5:$E$204,MATCH($B348,Clients!$A$5:$A$204,0))&amp;"","")))</f>
        <v/>
      </c>
      <c r="K348" s="15" t="str">
        <f aca="false">IF($B348="","",IF($F348&lt;&gt;"",$F348,IFERROR(IF(AND(INDEX(Clients!$F$5:$F$204,MATCH($B348,Clients!$A$5:$A$204,0))&amp;""&lt;&gt;"",OR($C348="",$C348=INDEX(Clients!$E$5:$E$204,MATCH($B348,Clients!$A$5:$A$204,0)))),INDEX(Clients!$F$5:$F$204,MATCH($B348,Clients!$A$5:$A$204,0)),INDEX(Settings!$E$5:$E$19,MATCH($J348,Settings!$D$5:$D$19,0))),0)))</f>
        <v/>
      </c>
      <c r="L348" s="15" t="str">
        <f aca="false">IF($B348="","",$K348*IF($D348="",1,$D348)+$E348)</f>
        <v/>
      </c>
      <c r="M348" s="15" t="str">
        <f aca="false">IF($B348="","",ROUND($L348*Settings!$B$9,2))</f>
        <v/>
      </c>
      <c r="N348" s="15" t="str">
        <f aca="false">IF($B348="","",$L348+$M348)</f>
        <v/>
      </c>
      <c r="O348" s="19" t="str">
        <f aca="false">IF($Q348="","",Settings!$B$13&amp;TEXT(ROWS($A$5:$A348),"0000"))</f>
        <v/>
      </c>
      <c r="P348" s="19" t="str">
        <f aca="false">IF($O348="","",IFERROR(INDEX(Invoices!$I$5:$I$504,MATCH($O348,Invoices!$A$5:$A$504,0)),""))</f>
        <v/>
      </c>
      <c r="Q348" s="2" t="str">
        <f aca="false">IF(AND($A348&lt;&gt;"",$B348&lt;&gt;"",$G348="Completed"),COUNTIFS($A$5:$A348,"&lt;&gt;",$B$5:$B348,"&lt;&gt;",$G$5:$G348,"Completed"),"")</f>
        <v/>
      </c>
    </row>
    <row r="349" customFormat="false" ht="15" hidden="false" customHeight="false" outlineLevel="0" collapsed="false">
      <c r="A349" s="16"/>
      <c r="B349" s="12"/>
      <c r="C349" s="17"/>
      <c r="D349" s="18"/>
      <c r="E349" s="13"/>
      <c r="F349" s="13"/>
      <c r="G349" s="12"/>
      <c r="H349" s="12"/>
      <c r="I349" s="19" t="str">
        <f aca="false">IF($B349="","",IFERROR(INDEX(Clients!$D$5:$D$204,MATCH($B349,Clients!$A$5:$A$204,0))&amp;"",""))</f>
        <v/>
      </c>
      <c r="J349" s="19" t="str">
        <f aca="false">IF($B349="","",IF($C349&lt;&gt;"",$C349,IFERROR(INDEX(Clients!$E$5:$E$204,MATCH($B349,Clients!$A$5:$A$204,0))&amp;"","")))</f>
        <v/>
      </c>
      <c r="K349" s="15" t="str">
        <f aca="false">IF($B349="","",IF($F349&lt;&gt;"",$F349,IFERROR(IF(AND(INDEX(Clients!$F$5:$F$204,MATCH($B349,Clients!$A$5:$A$204,0))&amp;""&lt;&gt;"",OR($C349="",$C349=INDEX(Clients!$E$5:$E$204,MATCH($B349,Clients!$A$5:$A$204,0)))),INDEX(Clients!$F$5:$F$204,MATCH($B349,Clients!$A$5:$A$204,0)),INDEX(Settings!$E$5:$E$19,MATCH($J349,Settings!$D$5:$D$19,0))),0)))</f>
        <v/>
      </c>
      <c r="L349" s="15" t="str">
        <f aca="false">IF($B349="","",$K349*IF($D349="",1,$D349)+$E349)</f>
        <v/>
      </c>
      <c r="M349" s="15" t="str">
        <f aca="false">IF($B349="","",ROUND($L349*Settings!$B$9,2))</f>
        <v/>
      </c>
      <c r="N349" s="15" t="str">
        <f aca="false">IF($B349="","",$L349+$M349)</f>
        <v/>
      </c>
      <c r="O349" s="19" t="str">
        <f aca="false">IF($Q349="","",Settings!$B$13&amp;TEXT(ROWS($A$5:$A349),"0000"))</f>
        <v/>
      </c>
      <c r="P349" s="19" t="str">
        <f aca="false">IF($O349="","",IFERROR(INDEX(Invoices!$I$5:$I$504,MATCH($O349,Invoices!$A$5:$A$504,0)),""))</f>
        <v/>
      </c>
      <c r="Q349" s="2" t="str">
        <f aca="false">IF(AND($A349&lt;&gt;"",$B349&lt;&gt;"",$G349="Completed"),COUNTIFS($A$5:$A349,"&lt;&gt;",$B$5:$B349,"&lt;&gt;",$G$5:$G349,"Completed"),"")</f>
        <v/>
      </c>
    </row>
    <row r="350" customFormat="false" ht="15" hidden="false" customHeight="false" outlineLevel="0" collapsed="false">
      <c r="A350" s="16"/>
      <c r="B350" s="12"/>
      <c r="C350" s="17"/>
      <c r="D350" s="18"/>
      <c r="E350" s="13"/>
      <c r="F350" s="13"/>
      <c r="G350" s="12"/>
      <c r="H350" s="12"/>
      <c r="I350" s="19" t="str">
        <f aca="false">IF($B350="","",IFERROR(INDEX(Clients!$D$5:$D$204,MATCH($B350,Clients!$A$5:$A$204,0))&amp;"",""))</f>
        <v/>
      </c>
      <c r="J350" s="19" t="str">
        <f aca="false">IF($B350="","",IF($C350&lt;&gt;"",$C350,IFERROR(INDEX(Clients!$E$5:$E$204,MATCH($B350,Clients!$A$5:$A$204,0))&amp;"","")))</f>
        <v/>
      </c>
      <c r="K350" s="15" t="str">
        <f aca="false">IF($B350="","",IF($F350&lt;&gt;"",$F350,IFERROR(IF(AND(INDEX(Clients!$F$5:$F$204,MATCH($B350,Clients!$A$5:$A$204,0))&amp;""&lt;&gt;"",OR($C350="",$C350=INDEX(Clients!$E$5:$E$204,MATCH($B350,Clients!$A$5:$A$204,0)))),INDEX(Clients!$F$5:$F$204,MATCH($B350,Clients!$A$5:$A$204,0)),INDEX(Settings!$E$5:$E$19,MATCH($J350,Settings!$D$5:$D$19,0))),0)))</f>
        <v/>
      </c>
      <c r="L350" s="15" t="str">
        <f aca="false">IF($B350="","",$K350*IF($D350="",1,$D350)+$E350)</f>
        <v/>
      </c>
      <c r="M350" s="15" t="str">
        <f aca="false">IF($B350="","",ROUND($L350*Settings!$B$9,2))</f>
        <v/>
      </c>
      <c r="N350" s="15" t="str">
        <f aca="false">IF($B350="","",$L350+$M350)</f>
        <v/>
      </c>
      <c r="O350" s="19" t="str">
        <f aca="false">IF($Q350="","",Settings!$B$13&amp;TEXT(ROWS($A$5:$A350),"0000"))</f>
        <v/>
      </c>
      <c r="P350" s="19" t="str">
        <f aca="false">IF($O350="","",IFERROR(INDEX(Invoices!$I$5:$I$504,MATCH($O350,Invoices!$A$5:$A$504,0)),""))</f>
        <v/>
      </c>
      <c r="Q350" s="2" t="str">
        <f aca="false">IF(AND($A350&lt;&gt;"",$B350&lt;&gt;"",$G350="Completed"),COUNTIFS($A$5:$A350,"&lt;&gt;",$B$5:$B350,"&lt;&gt;",$G$5:$G350,"Completed"),"")</f>
        <v/>
      </c>
    </row>
    <row r="351" customFormat="false" ht="15" hidden="false" customHeight="false" outlineLevel="0" collapsed="false">
      <c r="A351" s="16"/>
      <c r="B351" s="12"/>
      <c r="C351" s="17"/>
      <c r="D351" s="18"/>
      <c r="E351" s="13"/>
      <c r="F351" s="13"/>
      <c r="G351" s="12"/>
      <c r="H351" s="12"/>
      <c r="I351" s="19" t="str">
        <f aca="false">IF($B351="","",IFERROR(INDEX(Clients!$D$5:$D$204,MATCH($B351,Clients!$A$5:$A$204,0))&amp;"",""))</f>
        <v/>
      </c>
      <c r="J351" s="19" t="str">
        <f aca="false">IF($B351="","",IF($C351&lt;&gt;"",$C351,IFERROR(INDEX(Clients!$E$5:$E$204,MATCH($B351,Clients!$A$5:$A$204,0))&amp;"","")))</f>
        <v/>
      </c>
      <c r="K351" s="15" t="str">
        <f aca="false">IF($B351="","",IF($F351&lt;&gt;"",$F351,IFERROR(IF(AND(INDEX(Clients!$F$5:$F$204,MATCH($B351,Clients!$A$5:$A$204,0))&amp;""&lt;&gt;"",OR($C351="",$C351=INDEX(Clients!$E$5:$E$204,MATCH($B351,Clients!$A$5:$A$204,0)))),INDEX(Clients!$F$5:$F$204,MATCH($B351,Clients!$A$5:$A$204,0)),INDEX(Settings!$E$5:$E$19,MATCH($J351,Settings!$D$5:$D$19,0))),0)))</f>
        <v/>
      </c>
      <c r="L351" s="15" t="str">
        <f aca="false">IF($B351="","",$K351*IF($D351="",1,$D351)+$E351)</f>
        <v/>
      </c>
      <c r="M351" s="15" t="str">
        <f aca="false">IF($B351="","",ROUND($L351*Settings!$B$9,2))</f>
        <v/>
      </c>
      <c r="N351" s="15" t="str">
        <f aca="false">IF($B351="","",$L351+$M351)</f>
        <v/>
      </c>
      <c r="O351" s="19" t="str">
        <f aca="false">IF($Q351="","",Settings!$B$13&amp;TEXT(ROWS($A$5:$A351),"0000"))</f>
        <v/>
      </c>
      <c r="P351" s="19" t="str">
        <f aca="false">IF($O351="","",IFERROR(INDEX(Invoices!$I$5:$I$504,MATCH($O351,Invoices!$A$5:$A$504,0)),""))</f>
        <v/>
      </c>
      <c r="Q351" s="2" t="str">
        <f aca="false">IF(AND($A351&lt;&gt;"",$B351&lt;&gt;"",$G351="Completed"),COUNTIFS($A$5:$A351,"&lt;&gt;",$B$5:$B351,"&lt;&gt;",$G$5:$G351,"Completed"),"")</f>
        <v/>
      </c>
    </row>
    <row r="352" customFormat="false" ht="15" hidden="false" customHeight="false" outlineLevel="0" collapsed="false">
      <c r="A352" s="16"/>
      <c r="B352" s="12"/>
      <c r="C352" s="17"/>
      <c r="D352" s="18"/>
      <c r="E352" s="13"/>
      <c r="F352" s="13"/>
      <c r="G352" s="12"/>
      <c r="H352" s="12"/>
      <c r="I352" s="19" t="str">
        <f aca="false">IF($B352="","",IFERROR(INDEX(Clients!$D$5:$D$204,MATCH($B352,Clients!$A$5:$A$204,0))&amp;"",""))</f>
        <v/>
      </c>
      <c r="J352" s="19" t="str">
        <f aca="false">IF($B352="","",IF($C352&lt;&gt;"",$C352,IFERROR(INDEX(Clients!$E$5:$E$204,MATCH($B352,Clients!$A$5:$A$204,0))&amp;"","")))</f>
        <v/>
      </c>
      <c r="K352" s="15" t="str">
        <f aca="false">IF($B352="","",IF($F352&lt;&gt;"",$F352,IFERROR(IF(AND(INDEX(Clients!$F$5:$F$204,MATCH($B352,Clients!$A$5:$A$204,0))&amp;""&lt;&gt;"",OR($C352="",$C352=INDEX(Clients!$E$5:$E$204,MATCH($B352,Clients!$A$5:$A$204,0)))),INDEX(Clients!$F$5:$F$204,MATCH($B352,Clients!$A$5:$A$204,0)),INDEX(Settings!$E$5:$E$19,MATCH($J352,Settings!$D$5:$D$19,0))),0)))</f>
        <v/>
      </c>
      <c r="L352" s="15" t="str">
        <f aca="false">IF($B352="","",$K352*IF($D352="",1,$D352)+$E352)</f>
        <v/>
      </c>
      <c r="M352" s="15" t="str">
        <f aca="false">IF($B352="","",ROUND($L352*Settings!$B$9,2))</f>
        <v/>
      </c>
      <c r="N352" s="15" t="str">
        <f aca="false">IF($B352="","",$L352+$M352)</f>
        <v/>
      </c>
      <c r="O352" s="19" t="str">
        <f aca="false">IF($Q352="","",Settings!$B$13&amp;TEXT(ROWS($A$5:$A352),"0000"))</f>
        <v/>
      </c>
      <c r="P352" s="19" t="str">
        <f aca="false">IF($O352="","",IFERROR(INDEX(Invoices!$I$5:$I$504,MATCH($O352,Invoices!$A$5:$A$504,0)),""))</f>
        <v/>
      </c>
      <c r="Q352" s="2" t="str">
        <f aca="false">IF(AND($A352&lt;&gt;"",$B352&lt;&gt;"",$G352="Completed"),COUNTIFS($A$5:$A352,"&lt;&gt;",$B$5:$B352,"&lt;&gt;",$G$5:$G352,"Completed"),"")</f>
        <v/>
      </c>
    </row>
    <row r="353" customFormat="false" ht="15" hidden="false" customHeight="false" outlineLevel="0" collapsed="false">
      <c r="A353" s="16"/>
      <c r="B353" s="12"/>
      <c r="C353" s="17"/>
      <c r="D353" s="18"/>
      <c r="E353" s="13"/>
      <c r="F353" s="13"/>
      <c r="G353" s="12"/>
      <c r="H353" s="12"/>
      <c r="I353" s="19" t="str">
        <f aca="false">IF($B353="","",IFERROR(INDEX(Clients!$D$5:$D$204,MATCH($B353,Clients!$A$5:$A$204,0))&amp;"",""))</f>
        <v/>
      </c>
      <c r="J353" s="19" t="str">
        <f aca="false">IF($B353="","",IF($C353&lt;&gt;"",$C353,IFERROR(INDEX(Clients!$E$5:$E$204,MATCH($B353,Clients!$A$5:$A$204,0))&amp;"","")))</f>
        <v/>
      </c>
      <c r="K353" s="15" t="str">
        <f aca="false">IF($B353="","",IF($F353&lt;&gt;"",$F353,IFERROR(IF(AND(INDEX(Clients!$F$5:$F$204,MATCH($B353,Clients!$A$5:$A$204,0))&amp;""&lt;&gt;"",OR($C353="",$C353=INDEX(Clients!$E$5:$E$204,MATCH($B353,Clients!$A$5:$A$204,0)))),INDEX(Clients!$F$5:$F$204,MATCH($B353,Clients!$A$5:$A$204,0)),INDEX(Settings!$E$5:$E$19,MATCH($J353,Settings!$D$5:$D$19,0))),0)))</f>
        <v/>
      </c>
      <c r="L353" s="15" t="str">
        <f aca="false">IF($B353="","",$K353*IF($D353="",1,$D353)+$E353)</f>
        <v/>
      </c>
      <c r="M353" s="15" t="str">
        <f aca="false">IF($B353="","",ROUND($L353*Settings!$B$9,2))</f>
        <v/>
      </c>
      <c r="N353" s="15" t="str">
        <f aca="false">IF($B353="","",$L353+$M353)</f>
        <v/>
      </c>
      <c r="O353" s="19" t="str">
        <f aca="false">IF($Q353="","",Settings!$B$13&amp;TEXT(ROWS($A$5:$A353),"0000"))</f>
        <v/>
      </c>
      <c r="P353" s="19" t="str">
        <f aca="false">IF($O353="","",IFERROR(INDEX(Invoices!$I$5:$I$504,MATCH($O353,Invoices!$A$5:$A$504,0)),""))</f>
        <v/>
      </c>
      <c r="Q353" s="2" t="str">
        <f aca="false">IF(AND($A353&lt;&gt;"",$B353&lt;&gt;"",$G353="Completed"),COUNTIFS($A$5:$A353,"&lt;&gt;",$B$5:$B353,"&lt;&gt;",$G$5:$G353,"Completed"),"")</f>
        <v/>
      </c>
    </row>
    <row r="354" customFormat="false" ht="15" hidden="false" customHeight="false" outlineLevel="0" collapsed="false">
      <c r="A354" s="16"/>
      <c r="B354" s="12"/>
      <c r="C354" s="17"/>
      <c r="D354" s="18"/>
      <c r="E354" s="13"/>
      <c r="F354" s="13"/>
      <c r="G354" s="12"/>
      <c r="H354" s="12"/>
      <c r="I354" s="19" t="str">
        <f aca="false">IF($B354="","",IFERROR(INDEX(Clients!$D$5:$D$204,MATCH($B354,Clients!$A$5:$A$204,0))&amp;"",""))</f>
        <v/>
      </c>
      <c r="J354" s="19" t="str">
        <f aca="false">IF($B354="","",IF($C354&lt;&gt;"",$C354,IFERROR(INDEX(Clients!$E$5:$E$204,MATCH($B354,Clients!$A$5:$A$204,0))&amp;"","")))</f>
        <v/>
      </c>
      <c r="K354" s="15" t="str">
        <f aca="false">IF($B354="","",IF($F354&lt;&gt;"",$F354,IFERROR(IF(AND(INDEX(Clients!$F$5:$F$204,MATCH($B354,Clients!$A$5:$A$204,0))&amp;""&lt;&gt;"",OR($C354="",$C354=INDEX(Clients!$E$5:$E$204,MATCH($B354,Clients!$A$5:$A$204,0)))),INDEX(Clients!$F$5:$F$204,MATCH($B354,Clients!$A$5:$A$204,0)),INDEX(Settings!$E$5:$E$19,MATCH($J354,Settings!$D$5:$D$19,0))),0)))</f>
        <v/>
      </c>
      <c r="L354" s="15" t="str">
        <f aca="false">IF($B354="","",$K354*IF($D354="",1,$D354)+$E354)</f>
        <v/>
      </c>
      <c r="M354" s="15" t="str">
        <f aca="false">IF($B354="","",ROUND($L354*Settings!$B$9,2))</f>
        <v/>
      </c>
      <c r="N354" s="15" t="str">
        <f aca="false">IF($B354="","",$L354+$M354)</f>
        <v/>
      </c>
      <c r="O354" s="19" t="str">
        <f aca="false">IF($Q354="","",Settings!$B$13&amp;TEXT(ROWS($A$5:$A354),"0000"))</f>
        <v/>
      </c>
      <c r="P354" s="19" t="str">
        <f aca="false">IF($O354="","",IFERROR(INDEX(Invoices!$I$5:$I$504,MATCH($O354,Invoices!$A$5:$A$504,0)),""))</f>
        <v/>
      </c>
      <c r="Q354" s="2" t="str">
        <f aca="false">IF(AND($A354&lt;&gt;"",$B354&lt;&gt;"",$G354="Completed"),COUNTIFS($A$5:$A354,"&lt;&gt;",$B$5:$B354,"&lt;&gt;",$G$5:$G354,"Completed"),"")</f>
        <v/>
      </c>
    </row>
    <row r="355" customFormat="false" ht="15" hidden="false" customHeight="false" outlineLevel="0" collapsed="false">
      <c r="A355" s="16"/>
      <c r="B355" s="12"/>
      <c r="C355" s="17"/>
      <c r="D355" s="18"/>
      <c r="E355" s="13"/>
      <c r="F355" s="13"/>
      <c r="G355" s="12"/>
      <c r="H355" s="12"/>
      <c r="I355" s="19" t="str">
        <f aca="false">IF($B355="","",IFERROR(INDEX(Clients!$D$5:$D$204,MATCH($B355,Clients!$A$5:$A$204,0))&amp;"",""))</f>
        <v/>
      </c>
      <c r="J355" s="19" t="str">
        <f aca="false">IF($B355="","",IF($C355&lt;&gt;"",$C355,IFERROR(INDEX(Clients!$E$5:$E$204,MATCH($B355,Clients!$A$5:$A$204,0))&amp;"","")))</f>
        <v/>
      </c>
      <c r="K355" s="15" t="str">
        <f aca="false">IF($B355="","",IF($F355&lt;&gt;"",$F355,IFERROR(IF(AND(INDEX(Clients!$F$5:$F$204,MATCH($B355,Clients!$A$5:$A$204,0))&amp;""&lt;&gt;"",OR($C355="",$C355=INDEX(Clients!$E$5:$E$204,MATCH($B355,Clients!$A$5:$A$204,0)))),INDEX(Clients!$F$5:$F$204,MATCH($B355,Clients!$A$5:$A$204,0)),INDEX(Settings!$E$5:$E$19,MATCH($J355,Settings!$D$5:$D$19,0))),0)))</f>
        <v/>
      </c>
      <c r="L355" s="15" t="str">
        <f aca="false">IF($B355="","",$K355*IF($D355="",1,$D355)+$E355)</f>
        <v/>
      </c>
      <c r="M355" s="15" t="str">
        <f aca="false">IF($B355="","",ROUND($L355*Settings!$B$9,2))</f>
        <v/>
      </c>
      <c r="N355" s="15" t="str">
        <f aca="false">IF($B355="","",$L355+$M355)</f>
        <v/>
      </c>
      <c r="O355" s="19" t="str">
        <f aca="false">IF($Q355="","",Settings!$B$13&amp;TEXT(ROWS($A$5:$A355),"0000"))</f>
        <v/>
      </c>
      <c r="P355" s="19" t="str">
        <f aca="false">IF($O355="","",IFERROR(INDEX(Invoices!$I$5:$I$504,MATCH($O355,Invoices!$A$5:$A$504,0)),""))</f>
        <v/>
      </c>
      <c r="Q355" s="2" t="str">
        <f aca="false">IF(AND($A355&lt;&gt;"",$B355&lt;&gt;"",$G355="Completed"),COUNTIFS($A$5:$A355,"&lt;&gt;",$B$5:$B355,"&lt;&gt;",$G$5:$G355,"Completed"),"")</f>
        <v/>
      </c>
    </row>
    <row r="356" customFormat="false" ht="15" hidden="false" customHeight="false" outlineLevel="0" collapsed="false">
      <c r="A356" s="16"/>
      <c r="B356" s="12"/>
      <c r="C356" s="17"/>
      <c r="D356" s="18"/>
      <c r="E356" s="13"/>
      <c r="F356" s="13"/>
      <c r="G356" s="12"/>
      <c r="H356" s="12"/>
      <c r="I356" s="19" t="str">
        <f aca="false">IF($B356="","",IFERROR(INDEX(Clients!$D$5:$D$204,MATCH($B356,Clients!$A$5:$A$204,0))&amp;"",""))</f>
        <v/>
      </c>
      <c r="J356" s="19" t="str">
        <f aca="false">IF($B356="","",IF($C356&lt;&gt;"",$C356,IFERROR(INDEX(Clients!$E$5:$E$204,MATCH($B356,Clients!$A$5:$A$204,0))&amp;"","")))</f>
        <v/>
      </c>
      <c r="K356" s="15" t="str">
        <f aca="false">IF($B356="","",IF($F356&lt;&gt;"",$F356,IFERROR(IF(AND(INDEX(Clients!$F$5:$F$204,MATCH($B356,Clients!$A$5:$A$204,0))&amp;""&lt;&gt;"",OR($C356="",$C356=INDEX(Clients!$E$5:$E$204,MATCH($B356,Clients!$A$5:$A$204,0)))),INDEX(Clients!$F$5:$F$204,MATCH($B356,Clients!$A$5:$A$204,0)),INDEX(Settings!$E$5:$E$19,MATCH($J356,Settings!$D$5:$D$19,0))),0)))</f>
        <v/>
      </c>
      <c r="L356" s="15" t="str">
        <f aca="false">IF($B356="","",$K356*IF($D356="",1,$D356)+$E356)</f>
        <v/>
      </c>
      <c r="M356" s="15" t="str">
        <f aca="false">IF($B356="","",ROUND($L356*Settings!$B$9,2))</f>
        <v/>
      </c>
      <c r="N356" s="15" t="str">
        <f aca="false">IF($B356="","",$L356+$M356)</f>
        <v/>
      </c>
      <c r="O356" s="19" t="str">
        <f aca="false">IF($Q356="","",Settings!$B$13&amp;TEXT(ROWS($A$5:$A356),"0000"))</f>
        <v/>
      </c>
      <c r="P356" s="19" t="str">
        <f aca="false">IF($O356="","",IFERROR(INDEX(Invoices!$I$5:$I$504,MATCH($O356,Invoices!$A$5:$A$504,0)),""))</f>
        <v/>
      </c>
      <c r="Q356" s="2" t="str">
        <f aca="false">IF(AND($A356&lt;&gt;"",$B356&lt;&gt;"",$G356="Completed"),COUNTIFS($A$5:$A356,"&lt;&gt;",$B$5:$B356,"&lt;&gt;",$G$5:$G356,"Completed"),"")</f>
        <v/>
      </c>
    </row>
    <row r="357" customFormat="false" ht="15" hidden="false" customHeight="false" outlineLevel="0" collapsed="false">
      <c r="A357" s="16"/>
      <c r="B357" s="12"/>
      <c r="C357" s="17"/>
      <c r="D357" s="18"/>
      <c r="E357" s="13"/>
      <c r="F357" s="13"/>
      <c r="G357" s="12"/>
      <c r="H357" s="12"/>
      <c r="I357" s="19" t="str">
        <f aca="false">IF($B357="","",IFERROR(INDEX(Clients!$D$5:$D$204,MATCH($B357,Clients!$A$5:$A$204,0))&amp;"",""))</f>
        <v/>
      </c>
      <c r="J357" s="19" t="str">
        <f aca="false">IF($B357="","",IF($C357&lt;&gt;"",$C357,IFERROR(INDEX(Clients!$E$5:$E$204,MATCH($B357,Clients!$A$5:$A$204,0))&amp;"","")))</f>
        <v/>
      </c>
      <c r="K357" s="15" t="str">
        <f aca="false">IF($B357="","",IF($F357&lt;&gt;"",$F357,IFERROR(IF(AND(INDEX(Clients!$F$5:$F$204,MATCH($B357,Clients!$A$5:$A$204,0))&amp;""&lt;&gt;"",OR($C357="",$C357=INDEX(Clients!$E$5:$E$204,MATCH($B357,Clients!$A$5:$A$204,0)))),INDEX(Clients!$F$5:$F$204,MATCH($B357,Clients!$A$5:$A$204,0)),INDEX(Settings!$E$5:$E$19,MATCH($J357,Settings!$D$5:$D$19,0))),0)))</f>
        <v/>
      </c>
      <c r="L357" s="15" t="str">
        <f aca="false">IF($B357="","",$K357*IF($D357="",1,$D357)+$E357)</f>
        <v/>
      </c>
      <c r="M357" s="15" t="str">
        <f aca="false">IF($B357="","",ROUND($L357*Settings!$B$9,2))</f>
        <v/>
      </c>
      <c r="N357" s="15" t="str">
        <f aca="false">IF($B357="","",$L357+$M357)</f>
        <v/>
      </c>
      <c r="O357" s="19" t="str">
        <f aca="false">IF($Q357="","",Settings!$B$13&amp;TEXT(ROWS($A$5:$A357),"0000"))</f>
        <v/>
      </c>
      <c r="P357" s="19" t="str">
        <f aca="false">IF($O357="","",IFERROR(INDEX(Invoices!$I$5:$I$504,MATCH($O357,Invoices!$A$5:$A$504,0)),""))</f>
        <v/>
      </c>
      <c r="Q357" s="2" t="str">
        <f aca="false">IF(AND($A357&lt;&gt;"",$B357&lt;&gt;"",$G357="Completed"),COUNTIFS($A$5:$A357,"&lt;&gt;",$B$5:$B357,"&lt;&gt;",$G$5:$G357,"Completed"),"")</f>
        <v/>
      </c>
    </row>
    <row r="358" customFormat="false" ht="15" hidden="false" customHeight="false" outlineLevel="0" collapsed="false">
      <c r="A358" s="16"/>
      <c r="B358" s="12"/>
      <c r="C358" s="17"/>
      <c r="D358" s="18"/>
      <c r="E358" s="13"/>
      <c r="F358" s="13"/>
      <c r="G358" s="12"/>
      <c r="H358" s="12"/>
      <c r="I358" s="19" t="str">
        <f aca="false">IF($B358="","",IFERROR(INDEX(Clients!$D$5:$D$204,MATCH($B358,Clients!$A$5:$A$204,0))&amp;"",""))</f>
        <v/>
      </c>
      <c r="J358" s="19" t="str">
        <f aca="false">IF($B358="","",IF($C358&lt;&gt;"",$C358,IFERROR(INDEX(Clients!$E$5:$E$204,MATCH($B358,Clients!$A$5:$A$204,0))&amp;"","")))</f>
        <v/>
      </c>
      <c r="K358" s="15" t="str">
        <f aca="false">IF($B358="","",IF($F358&lt;&gt;"",$F358,IFERROR(IF(AND(INDEX(Clients!$F$5:$F$204,MATCH($B358,Clients!$A$5:$A$204,0))&amp;""&lt;&gt;"",OR($C358="",$C358=INDEX(Clients!$E$5:$E$204,MATCH($B358,Clients!$A$5:$A$204,0)))),INDEX(Clients!$F$5:$F$204,MATCH($B358,Clients!$A$5:$A$204,0)),INDEX(Settings!$E$5:$E$19,MATCH($J358,Settings!$D$5:$D$19,0))),0)))</f>
        <v/>
      </c>
      <c r="L358" s="15" t="str">
        <f aca="false">IF($B358="","",$K358*IF($D358="",1,$D358)+$E358)</f>
        <v/>
      </c>
      <c r="M358" s="15" t="str">
        <f aca="false">IF($B358="","",ROUND($L358*Settings!$B$9,2))</f>
        <v/>
      </c>
      <c r="N358" s="15" t="str">
        <f aca="false">IF($B358="","",$L358+$M358)</f>
        <v/>
      </c>
      <c r="O358" s="19" t="str">
        <f aca="false">IF($Q358="","",Settings!$B$13&amp;TEXT(ROWS($A$5:$A358),"0000"))</f>
        <v/>
      </c>
      <c r="P358" s="19" t="str">
        <f aca="false">IF($O358="","",IFERROR(INDEX(Invoices!$I$5:$I$504,MATCH($O358,Invoices!$A$5:$A$504,0)),""))</f>
        <v/>
      </c>
      <c r="Q358" s="2" t="str">
        <f aca="false">IF(AND($A358&lt;&gt;"",$B358&lt;&gt;"",$G358="Completed"),COUNTIFS($A$5:$A358,"&lt;&gt;",$B$5:$B358,"&lt;&gt;",$G$5:$G358,"Completed"),"")</f>
        <v/>
      </c>
    </row>
    <row r="359" customFormat="false" ht="15" hidden="false" customHeight="false" outlineLevel="0" collapsed="false">
      <c r="A359" s="16"/>
      <c r="B359" s="12"/>
      <c r="C359" s="17"/>
      <c r="D359" s="18"/>
      <c r="E359" s="13"/>
      <c r="F359" s="13"/>
      <c r="G359" s="12"/>
      <c r="H359" s="12"/>
      <c r="I359" s="19" t="str">
        <f aca="false">IF($B359="","",IFERROR(INDEX(Clients!$D$5:$D$204,MATCH($B359,Clients!$A$5:$A$204,0))&amp;"",""))</f>
        <v/>
      </c>
      <c r="J359" s="19" t="str">
        <f aca="false">IF($B359="","",IF($C359&lt;&gt;"",$C359,IFERROR(INDEX(Clients!$E$5:$E$204,MATCH($B359,Clients!$A$5:$A$204,0))&amp;"","")))</f>
        <v/>
      </c>
      <c r="K359" s="15" t="str">
        <f aca="false">IF($B359="","",IF($F359&lt;&gt;"",$F359,IFERROR(IF(AND(INDEX(Clients!$F$5:$F$204,MATCH($B359,Clients!$A$5:$A$204,0))&amp;""&lt;&gt;"",OR($C359="",$C359=INDEX(Clients!$E$5:$E$204,MATCH($B359,Clients!$A$5:$A$204,0)))),INDEX(Clients!$F$5:$F$204,MATCH($B359,Clients!$A$5:$A$204,0)),INDEX(Settings!$E$5:$E$19,MATCH($J359,Settings!$D$5:$D$19,0))),0)))</f>
        <v/>
      </c>
      <c r="L359" s="15" t="str">
        <f aca="false">IF($B359="","",$K359*IF($D359="",1,$D359)+$E359)</f>
        <v/>
      </c>
      <c r="M359" s="15" t="str">
        <f aca="false">IF($B359="","",ROUND($L359*Settings!$B$9,2))</f>
        <v/>
      </c>
      <c r="N359" s="15" t="str">
        <f aca="false">IF($B359="","",$L359+$M359)</f>
        <v/>
      </c>
      <c r="O359" s="19" t="str">
        <f aca="false">IF($Q359="","",Settings!$B$13&amp;TEXT(ROWS($A$5:$A359),"0000"))</f>
        <v/>
      </c>
      <c r="P359" s="19" t="str">
        <f aca="false">IF($O359="","",IFERROR(INDEX(Invoices!$I$5:$I$504,MATCH($O359,Invoices!$A$5:$A$504,0)),""))</f>
        <v/>
      </c>
      <c r="Q359" s="2" t="str">
        <f aca="false">IF(AND($A359&lt;&gt;"",$B359&lt;&gt;"",$G359="Completed"),COUNTIFS($A$5:$A359,"&lt;&gt;",$B$5:$B359,"&lt;&gt;",$G$5:$G359,"Completed"),"")</f>
        <v/>
      </c>
    </row>
    <row r="360" customFormat="false" ht="15" hidden="false" customHeight="false" outlineLevel="0" collapsed="false">
      <c r="A360" s="16"/>
      <c r="B360" s="12"/>
      <c r="C360" s="17"/>
      <c r="D360" s="18"/>
      <c r="E360" s="13"/>
      <c r="F360" s="13"/>
      <c r="G360" s="12"/>
      <c r="H360" s="12"/>
      <c r="I360" s="19" t="str">
        <f aca="false">IF($B360="","",IFERROR(INDEX(Clients!$D$5:$D$204,MATCH($B360,Clients!$A$5:$A$204,0))&amp;"",""))</f>
        <v/>
      </c>
      <c r="J360" s="19" t="str">
        <f aca="false">IF($B360="","",IF($C360&lt;&gt;"",$C360,IFERROR(INDEX(Clients!$E$5:$E$204,MATCH($B360,Clients!$A$5:$A$204,0))&amp;"","")))</f>
        <v/>
      </c>
      <c r="K360" s="15" t="str">
        <f aca="false">IF($B360="","",IF($F360&lt;&gt;"",$F360,IFERROR(IF(AND(INDEX(Clients!$F$5:$F$204,MATCH($B360,Clients!$A$5:$A$204,0))&amp;""&lt;&gt;"",OR($C360="",$C360=INDEX(Clients!$E$5:$E$204,MATCH($B360,Clients!$A$5:$A$204,0)))),INDEX(Clients!$F$5:$F$204,MATCH($B360,Clients!$A$5:$A$204,0)),INDEX(Settings!$E$5:$E$19,MATCH($J360,Settings!$D$5:$D$19,0))),0)))</f>
        <v/>
      </c>
      <c r="L360" s="15" t="str">
        <f aca="false">IF($B360="","",$K360*IF($D360="",1,$D360)+$E360)</f>
        <v/>
      </c>
      <c r="M360" s="15" t="str">
        <f aca="false">IF($B360="","",ROUND($L360*Settings!$B$9,2))</f>
        <v/>
      </c>
      <c r="N360" s="15" t="str">
        <f aca="false">IF($B360="","",$L360+$M360)</f>
        <v/>
      </c>
      <c r="O360" s="19" t="str">
        <f aca="false">IF($Q360="","",Settings!$B$13&amp;TEXT(ROWS($A$5:$A360),"0000"))</f>
        <v/>
      </c>
      <c r="P360" s="19" t="str">
        <f aca="false">IF($O360="","",IFERROR(INDEX(Invoices!$I$5:$I$504,MATCH($O360,Invoices!$A$5:$A$504,0)),""))</f>
        <v/>
      </c>
      <c r="Q360" s="2" t="str">
        <f aca="false">IF(AND($A360&lt;&gt;"",$B360&lt;&gt;"",$G360="Completed"),COUNTIFS($A$5:$A360,"&lt;&gt;",$B$5:$B360,"&lt;&gt;",$G$5:$G360,"Completed"),"")</f>
        <v/>
      </c>
    </row>
    <row r="361" customFormat="false" ht="15" hidden="false" customHeight="false" outlineLevel="0" collapsed="false">
      <c r="A361" s="16"/>
      <c r="B361" s="12"/>
      <c r="C361" s="17"/>
      <c r="D361" s="18"/>
      <c r="E361" s="13"/>
      <c r="F361" s="13"/>
      <c r="G361" s="12"/>
      <c r="H361" s="12"/>
      <c r="I361" s="19" t="str">
        <f aca="false">IF($B361="","",IFERROR(INDEX(Clients!$D$5:$D$204,MATCH($B361,Clients!$A$5:$A$204,0))&amp;"",""))</f>
        <v/>
      </c>
      <c r="J361" s="19" t="str">
        <f aca="false">IF($B361="","",IF($C361&lt;&gt;"",$C361,IFERROR(INDEX(Clients!$E$5:$E$204,MATCH($B361,Clients!$A$5:$A$204,0))&amp;"","")))</f>
        <v/>
      </c>
      <c r="K361" s="15" t="str">
        <f aca="false">IF($B361="","",IF($F361&lt;&gt;"",$F361,IFERROR(IF(AND(INDEX(Clients!$F$5:$F$204,MATCH($B361,Clients!$A$5:$A$204,0))&amp;""&lt;&gt;"",OR($C361="",$C361=INDEX(Clients!$E$5:$E$204,MATCH($B361,Clients!$A$5:$A$204,0)))),INDEX(Clients!$F$5:$F$204,MATCH($B361,Clients!$A$5:$A$204,0)),INDEX(Settings!$E$5:$E$19,MATCH($J361,Settings!$D$5:$D$19,0))),0)))</f>
        <v/>
      </c>
      <c r="L361" s="15" t="str">
        <f aca="false">IF($B361="","",$K361*IF($D361="",1,$D361)+$E361)</f>
        <v/>
      </c>
      <c r="M361" s="15" t="str">
        <f aca="false">IF($B361="","",ROUND($L361*Settings!$B$9,2))</f>
        <v/>
      </c>
      <c r="N361" s="15" t="str">
        <f aca="false">IF($B361="","",$L361+$M361)</f>
        <v/>
      </c>
      <c r="O361" s="19" t="str">
        <f aca="false">IF($Q361="","",Settings!$B$13&amp;TEXT(ROWS($A$5:$A361),"0000"))</f>
        <v/>
      </c>
      <c r="P361" s="19" t="str">
        <f aca="false">IF($O361="","",IFERROR(INDEX(Invoices!$I$5:$I$504,MATCH($O361,Invoices!$A$5:$A$504,0)),""))</f>
        <v/>
      </c>
      <c r="Q361" s="2" t="str">
        <f aca="false">IF(AND($A361&lt;&gt;"",$B361&lt;&gt;"",$G361="Completed"),COUNTIFS($A$5:$A361,"&lt;&gt;",$B$5:$B361,"&lt;&gt;",$G$5:$G361,"Completed"),"")</f>
        <v/>
      </c>
    </row>
    <row r="362" customFormat="false" ht="15" hidden="false" customHeight="false" outlineLevel="0" collapsed="false">
      <c r="A362" s="16"/>
      <c r="B362" s="12"/>
      <c r="C362" s="17"/>
      <c r="D362" s="18"/>
      <c r="E362" s="13"/>
      <c r="F362" s="13"/>
      <c r="G362" s="12"/>
      <c r="H362" s="12"/>
      <c r="I362" s="19" t="str">
        <f aca="false">IF($B362="","",IFERROR(INDEX(Clients!$D$5:$D$204,MATCH($B362,Clients!$A$5:$A$204,0))&amp;"",""))</f>
        <v/>
      </c>
      <c r="J362" s="19" t="str">
        <f aca="false">IF($B362="","",IF($C362&lt;&gt;"",$C362,IFERROR(INDEX(Clients!$E$5:$E$204,MATCH($B362,Clients!$A$5:$A$204,0))&amp;"","")))</f>
        <v/>
      </c>
      <c r="K362" s="15" t="str">
        <f aca="false">IF($B362="","",IF($F362&lt;&gt;"",$F362,IFERROR(IF(AND(INDEX(Clients!$F$5:$F$204,MATCH($B362,Clients!$A$5:$A$204,0))&amp;""&lt;&gt;"",OR($C362="",$C362=INDEX(Clients!$E$5:$E$204,MATCH($B362,Clients!$A$5:$A$204,0)))),INDEX(Clients!$F$5:$F$204,MATCH($B362,Clients!$A$5:$A$204,0)),INDEX(Settings!$E$5:$E$19,MATCH($J362,Settings!$D$5:$D$19,0))),0)))</f>
        <v/>
      </c>
      <c r="L362" s="15" t="str">
        <f aca="false">IF($B362="","",$K362*IF($D362="",1,$D362)+$E362)</f>
        <v/>
      </c>
      <c r="M362" s="15" t="str">
        <f aca="false">IF($B362="","",ROUND($L362*Settings!$B$9,2))</f>
        <v/>
      </c>
      <c r="N362" s="15" t="str">
        <f aca="false">IF($B362="","",$L362+$M362)</f>
        <v/>
      </c>
      <c r="O362" s="19" t="str">
        <f aca="false">IF($Q362="","",Settings!$B$13&amp;TEXT(ROWS($A$5:$A362),"0000"))</f>
        <v/>
      </c>
      <c r="P362" s="19" t="str">
        <f aca="false">IF($O362="","",IFERROR(INDEX(Invoices!$I$5:$I$504,MATCH($O362,Invoices!$A$5:$A$504,0)),""))</f>
        <v/>
      </c>
      <c r="Q362" s="2" t="str">
        <f aca="false">IF(AND($A362&lt;&gt;"",$B362&lt;&gt;"",$G362="Completed"),COUNTIFS($A$5:$A362,"&lt;&gt;",$B$5:$B362,"&lt;&gt;",$G$5:$G362,"Completed"),"")</f>
        <v/>
      </c>
    </row>
    <row r="363" customFormat="false" ht="15" hidden="false" customHeight="false" outlineLevel="0" collapsed="false">
      <c r="A363" s="16"/>
      <c r="B363" s="12"/>
      <c r="C363" s="17"/>
      <c r="D363" s="18"/>
      <c r="E363" s="13"/>
      <c r="F363" s="13"/>
      <c r="G363" s="12"/>
      <c r="H363" s="12"/>
      <c r="I363" s="19" t="str">
        <f aca="false">IF($B363="","",IFERROR(INDEX(Clients!$D$5:$D$204,MATCH($B363,Clients!$A$5:$A$204,0))&amp;"",""))</f>
        <v/>
      </c>
      <c r="J363" s="19" t="str">
        <f aca="false">IF($B363="","",IF($C363&lt;&gt;"",$C363,IFERROR(INDEX(Clients!$E$5:$E$204,MATCH($B363,Clients!$A$5:$A$204,0))&amp;"","")))</f>
        <v/>
      </c>
      <c r="K363" s="15" t="str">
        <f aca="false">IF($B363="","",IF($F363&lt;&gt;"",$F363,IFERROR(IF(AND(INDEX(Clients!$F$5:$F$204,MATCH($B363,Clients!$A$5:$A$204,0))&amp;""&lt;&gt;"",OR($C363="",$C363=INDEX(Clients!$E$5:$E$204,MATCH($B363,Clients!$A$5:$A$204,0)))),INDEX(Clients!$F$5:$F$204,MATCH($B363,Clients!$A$5:$A$204,0)),INDEX(Settings!$E$5:$E$19,MATCH($J363,Settings!$D$5:$D$19,0))),0)))</f>
        <v/>
      </c>
      <c r="L363" s="15" t="str">
        <f aca="false">IF($B363="","",$K363*IF($D363="",1,$D363)+$E363)</f>
        <v/>
      </c>
      <c r="M363" s="15" t="str">
        <f aca="false">IF($B363="","",ROUND($L363*Settings!$B$9,2))</f>
        <v/>
      </c>
      <c r="N363" s="15" t="str">
        <f aca="false">IF($B363="","",$L363+$M363)</f>
        <v/>
      </c>
      <c r="O363" s="19" t="str">
        <f aca="false">IF($Q363="","",Settings!$B$13&amp;TEXT(ROWS($A$5:$A363),"0000"))</f>
        <v/>
      </c>
      <c r="P363" s="19" t="str">
        <f aca="false">IF($O363="","",IFERROR(INDEX(Invoices!$I$5:$I$504,MATCH($O363,Invoices!$A$5:$A$504,0)),""))</f>
        <v/>
      </c>
      <c r="Q363" s="2" t="str">
        <f aca="false">IF(AND($A363&lt;&gt;"",$B363&lt;&gt;"",$G363="Completed"),COUNTIFS($A$5:$A363,"&lt;&gt;",$B$5:$B363,"&lt;&gt;",$G$5:$G363,"Completed"),"")</f>
        <v/>
      </c>
    </row>
    <row r="364" customFormat="false" ht="15" hidden="false" customHeight="false" outlineLevel="0" collapsed="false">
      <c r="A364" s="16"/>
      <c r="B364" s="12"/>
      <c r="C364" s="17"/>
      <c r="D364" s="18"/>
      <c r="E364" s="13"/>
      <c r="F364" s="13"/>
      <c r="G364" s="12"/>
      <c r="H364" s="12"/>
      <c r="I364" s="19" t="str">
        <f aca="false">IF($B364="","",IFERROR(INDEX(Clients!$D$5:$D$204,MATCH($B364,Clients!$A$5:$A$204,0))&amp;"",""))</f>
        <v/>
      </c>
      <c r="J364" s="19" t="str">
        <f aca="false">IF($B364="","",IF($C364&lt;&gt;"",$C364,IFERROR(INDEX(Clients!$E$5:$E$204,MATCH($B364,Clients!$A$5:$A$204,0))&amp;"","")))</f>
        <v/>
      </c>
      <c r="K364" s="15" t="str">
        <f aca="false">IF($B364="","",IF($F364&lt;&gt;"",$F364,IFERROR(IF(AND(INDEX(Clients!$F$5:$F$204,MATCH($B364,Clients!$A$5:$A$204,0))&amp;""&lt;&gt;"",OR($C364="",$C364=INDEX(Clients!$E$5:$E$204,MATCH($B364,Clients!$A$5:$A$204,0)))),INDEX(Clients!$F$5:$F$204,MATCH($B364,Clients!$A$5:$A$204,0)),INDEX(Settings!$E$5:$E$19,MATCH($J364,Settings!$D$5:$D$19,0))),0)))</f>
        <v/>
      </c>
      <c r="L364" s="15" t="str">
        <f aca="false">IF($B364="","",$K364*IF($D364="",1,$D364)+$E364)</f>
        <v/>
      </c>
      <c r="M364" s="15" t="str">
        <f aca="false">IF($B364="","",ROUND($L364*Settings!$B$9,2))</f>
        <v/>
      </c>
      <c r="N364" s="15" t="str">
        <f aca="false">IF($B364="","",$L364+$M364)</f>
        <v/>
      </c>
      <c r="O364" s="19" t="str">
        <f aca="false">IF($Q364="","",Settings!$B$13&amp;TEXT(ROWS($A$5:$A364),"0000"))</f>
        <v/>
      </c>
      <c r="P364" s="19" t="str">
        <f aca="false">IF($O364="","",IFERROR(INDEX(Invoices!$I$5:$I$504,MATCH($O364,Invoices!$A$5:$A$504,0)),""))</f>
        <v/>
      </c>
      <c r="Q364" s="2" t="str">
        <f aca="false">IF(AND($A364&lt;&gt;"",$B364&lt;&gt;"",$G364="Completed"),COUNTIFS($A$5:$A364,"&lt;&gt;",$B$5:$B364,"&lt;&gt;",$G$5:$G364,"Completed"),"")</f>
        <v/>
      </c>
    </row>
    <row r="365" customFormat="false" ht="15" hidden="false" customHeight="false" outlineLevel="0" collapsed="false">
      <c r="A365" s="16"/>
      <c r="B365" s="12"/>
      <c r="C365" s="17"/>
      <c r="D365" s="18"/>
      <c r="E365" s="13"/>
      <c r="F365" s="13"/>
      <c r="G365" s="12"/>
      <c r="H365" s="12"/>
      <c r="I365" s="19" t="str">
        <f aca="false">IF($B365="","",IFERROR(INDEX(Clients!$D$5:$D$204,MATCH($B365,Clients!$A$5:$A$204,0))&amp;"",""))</f>
        <v/>
      </c>
      <c r="J365" s="19" t="str">
        <f aca="false">IF($B365="","",IF($C365&lt;&gt;"",$C365,IFERROR(INDEX(Clients!$E$5:$E$204,MATCH($B365,Clients!$A$5:$A$204,0))&amp;"","")))</f>
        <v/>
      </c>
      <c r="K365" s="15" t="str">
        <f aca="false">IF($B365="","",IF($F365&lt;&gt;"",$F365,IFERROR(IF(AND(INDEX(Clients!$F$5:$F$204,MATCH($B365,Clients!$A$5:$A$204,0))&amp;""&lt;&gt;"",OR($C365="",$C365=INDEX(Clients!$E$5:$E$204,MATCH($B365,Clients!$A$5:$A$204,0)))),INDEX(Clients!$F$5:$F$204,MATCH($B365,Clients!$A$5:$A$204,0)),INDEX(Settings!$E$5:$E$19,MATCH($J365,Settings!$D$5:$D$19,0))),0)))</f>
        <v/>
      </c>
      <c r="L365" s="15" t="str">
        <f aca="false">IF($B365="","",$K365*IF($D365="",1,$D365)+$E365)</f>
        <v/>
      </c>
      <c r="M365" s="15" t="str">
        <f aca="false">IF($B365="","",ROUND($L365*Settings!$B$9,2))</f>
        <v/>
      </c>
      <c r="N365" s="15" t="str">
        <f aca="false">IF($B365="","",$L365+$M365)</f>
        <v/>
      </c>
      <c r="O365" s="19" t="str">
        <f aca="false">IF($Q365="","",Settings!$B$13&amp;TEXT(ROWS($A$5:$A365),"0000"))</f>
        <v/>
      </c>
      <c r="P365" s="19" t="str">
        <f aca="false">IF($O365="","",IFERROR(INDEX(Invoices!$I$5:$I$504,MATCH($O365,Invoices!$A$5:$A$504,0)),""))</f>
        <v/>
      </c>
      <c r="Q365" s="2" t="str">
        <f aca="false">IF(AND($A365&lt;&gt;"",$B365&lt;&gt;"",$G365="Completed"),COUNTIFS($A$5:$A365,"&lt;&gt;",$B$5:$B365,"&lt;&gt;",$G$5:$G365,"Completed"),"")</f>
        <v/>
      </c>
    </row>
    <row r="366" customFormat="false" ht="15" hidden="false" customHeight="false" outlineLevel="0" collapsed="false">
      <c r="A366" s="16"/>
      <c r="B366" s="12"/>
      <c r="C366" s="17"/>
      <c r="D366" s="18"/>
      <c r="E366" s="13"/>
      <c r="F366" s="13"/>
      <c r="G366" s="12"/>
      <c r="H366" s="12"/>
      <c r="I366" s="19" t="str">
        <f aca="false">IF($B366="","",IFERROR(INDEX(Clients!$D$5:$D$204,MATCH($B366,Clients!$A$5:$A$204,0))&amp;"",""))</f>
        <v/>
      </c>
      <c r="J366" s="19" t="str">
        <f aca="false">IF($B366="","",IF($C366&lt;&gt;"",$C366,IFERROR(INDEX(Clients!$E$5:$E$204,MATCH($B366,Clients!$A$5:$A$204,0))&amp;"","")))</f>
        <v/>
      </c>
      <c r="K366" s="15" t="str">
        <f aca="false">IF($B366="","",IF($F366&lt;&gt;"",$F366,IFERROR(IF(AND(INDEX(Clients!$F$5:$F$204,MATCH($B366,Clients!$A$5:$A$204,0))&amp;""&lt;&gt;"",OR($C366="",$C366=INDEX(Clients!$E$5:$E$204,MATCH($B366,Clients!$A$5:$A$204,0)))),INDEX(Clients!$F$5:$F$204,MATCH($B366,Clients!$A$5:$A$204,0)),INDEX(Settings!$E$5:$E$19,MATCH($J366,Settings!$D$5:$D$19,0))),0)))</f>
        <v/>
      </c>
      <c r="L366" s="15" t="str">
        <f aca="false">IF($B366="","",$K366*IF($D366="",1,$D366)+$E366)</f>
        <v/>
      </c>
      <c r="M366" s="15" t="str">
        <f aca="false">IF($B366="","",ROUND($L366*Settings!$B$9,2))</f>
        <v/>
      </c>
      <c r="N366" s="15" t="str">
        <f aca="false">IF($B366="","",$L366+$M366)</f>
        <v/>
      </c>
      <c r="O366" s="19" t="str">
        <f aca="false">IF($Q366="","",Settings!$B$13&amp;TEXT(ROWS($A$5:$A366),"0000"))</f>
        <v/>
      </c>
      <c r="P366" s="19" t="str">
        <f aca="false">IF($O366="","",IFERROR(INDEX(Invoices!$I$5:$I$504,MATCH($O366,Invoices!$A$5:$A$504,0)),""))</f>
        <v/>
      </c>
      <c r="Q366" s="2" t="str">
        <f aca="false">IF(AND($A366&lt;&gt;"",$B366&lt;&gt;"",$G366="Completed"),COUNTIFS($A$5:$A366,"&lt;&gt;",$B$5:$B366,"&lt;&gt;",$G$5:$G366,"Completed"),"")</f>
        <v/>
      </c>
    </row>
    <row r="367" customFormat="false" ht="15" hidden="false" customHeight="false" outlineLevel="0" collapsed="false">
      <c r="A367" s="16"/>
      <c r="B367" s="12"/>
      <c r="C367" s="17"/>
      <c r="D367" s="18"/>
      <c r="E367" s="13"/>
      <c r="F367" s="13"/>
      <c r="G367" s="12"/>
      <c r="H367" s="12"/>
      <c r="I367" s="19" t="str">
        <f aca="false">IF($B367="","",IFERROR(INDEX(Clients!$D$5:$D$204,MATCH($B367,Clients!$A$5:$A$204,0))&amp;"",""))</f>
        <v/>
      </c>
      <c r="J367" s="19" t="str">
        <f aca="false">IF($B367="","",IF($C367&lt;&gt;"",$C367,IFERROR(INDEX(Clients!$E$5:$E$204,MATCH($B367,Clients!$A$5:$A$204,0))&amp;"","")))</f>
        <v/>
      </c>
      <c r="K367" s="15" t="str">
        <f aca="false">IF($B367="","",IF($F367&lt;&gt;"",$F367,IFERROR(IF(AND(INDEX(Clients!$F$5:$F$204,MATCH($B367,Clients!$A$5:$A$204,0))&amp;""&lt;&gt;"",OR($C367="",$C367=INDEX(Clients!$E$5:$E$204,MATCH($B367,Clients!$A$5:$A$204,0)))),INDEX(Clients!$F$5:$F$204,MATCH($B367,Clients!$A$5:$A$204,0)),INDEX(Settings!$E$5:$E$19,MATCH($J367,Settings!$D$5:$D$19,0))),0)))</f>
        <v/>
      </c>
      <c r="L367" s="15" t="str">
        <f aca="false">IF($B367="","",$K367*IF($D367="",1,$D367)+$E367)</f>
        <v/>
      </c>
      <c r="M367" s="15" t="str">
        <f aca="false">IF($B367="","",ROUND($L367*Settings!$B$9,2))</f>
        <v/>
      </c>
      <c r="N367" s="15" t="str">
        <f aca="false">IF($B367="","",$L367+$M367)</f>
        <v/>
      </c>
      <c r="O367" s="19" t="str">
        <f aca="false">IF($Q367="","",Settings!$B$13&amp;TEXT(ROWS($A$5:$A367),"0000"))</f>
        <v/>
      </c>
      <c r="P367" s="19" t="str">
        <f aca="false">IF($O367="","",IFERROR(INDEX(Invoices!$I$5:$I$504,MATCH($O367,Invoices!$A$5:$A$504,0)),""))</f>
        <v/>
      </c>
      <c r="Q367" s="2" t="str">
        <f aca="false">IF(AND($A367&lt;&gt;"",$B367&lt;&gt;"",$G367="Completed"),COUNTIFS($A$5:$A367,"&lt;&gt;",$B$5:$B367,"&lt;&gt;",$G$5:$G367,"Completed"),"")</f>
        <v/>
      </c>
    </row>
    <row r="368" customFormat="false" ht="15" hidden="false" customHeight="false" outlineLevel="0" collapsed="false">
      <c r="A368" s="16"/>
      <c r="B368" s="12"/>
      <c r="C368" s="17"/>
      <c r="D368" s="18"/>
      <c r="E368" s="13"/>
      <c r="F368" s="13"/>
      <c r="G368" s="12"/>
      <c r="H368" s="12"/>
      <c r="I368" s="19" t="str">
        <f aca="false">IF($B368="","",IFERROR(INDEX(Clients!$D$5:$D$204,MATCH($B368,Clients!$A$5:$A$204,0))&amp;"",""))</f>
        <v/>
      </c>
      <c r="J368" s="19" t="str">
        <f aca="false">IF($B368="","",IF($C368&lt;&gt;"",$C368,IFERROR(INDEX(Clients!$E$5:$E$204,MATCH($B368,Clients!$A$5:$A$204,0))&amp;"","")))</f>
        <v/>
      </c>
      <c r="K368" s="15" t="str">
        <f aca="false">IF($B368="","",IF($F368&lt;&gt;"",$F368,IFERROR(IF(AND(INDEX(Clients!$F$5:$F$204,MATCH($B368,Clients!$A$5:$A$204,0))&amp;""&lt;&gt;"",OR($C368="",$C368=INDEX(Clients!$E$5:$E$204,MATCH($B368,Clients!$A$5:$A$204,0)))),INDEX(Clients!$F$5:$F$204,MATCH($B368,Clients!$A$5:$A$204,0)),INDEX(Settings!$E$5:$E$19,MATCH($J368,Settings!$D$5:$D$19,0))),0)))</f>
        <v/>
      </c>
      <c r="L368" s="15" t="str">
        <f aca="false">IF($B368="","",$K368*IF($D368="",1,$D368)+$E368)</f>
        <v/>
      </c>
      <c r="M368" s="15" t="str">
        <f aca="false">IF($B368="","",ROUND($L368*Settings!$B$9,2))</f>
        <v/>
      </c>
      <c r="N368" s="15" t="str">
        <f aca="false">IF($B368="","",$L368+$M368)</f>
        <v/>
      </c>
      <c r="O368" s="19" t="str">
        <f aca="false">IF($Q368="","",Settings!$B$13&amp;TEXT(ROWS($A$5:$A368),"0000"))</f>
        <v/>
      </c>
      <c r="P368" s="19" t="str">
        <f aca="false">IF($O368="","",IFERROR(INDEX(Invoices!$I$5:$I$504,MATCH($O368,Invoices!$A$5:$A$504,0)),""))</f>
        <v/>
      </c>
      <c r="Q368" s="2" t="str">
        <f aca="false">IF(AND($A368&lt;&gt;"",$B368&lt;&gt;"",$G368="Completed"),COUNTIFS($A$5:$A368,"&lt;&gt;",$B$5:$B368,"&lt;&gt;",$G$5:$G368,"Completed"),"")</f>
        <v/>
      </c>
    </row>
    <row r="369" customFormat="false" ht="15" hidden="false" customHeight="false" outlineLevel="0" collapsed="false">
      <c r="A369" s="16"/>
      <c r="B369" s="12"/>
      <c r="C369" s="17"/>
      <c r="D369" s="18"/>
      <c r="E369" s="13"/>
      <c r="F369" s="13"/>
      <c r="G369" s="12"/>
      <c r="H369" s="12"/>
      <c r="I369" s="19" t="str">
        <f aca="false">IF($B369="","",IFERROR(INDEX(Clients!$D$5:$D$204,MATCH($B369,Clients!$A$5:$A$204,0))&amp;"",""))</f>
        <v/>
      </c>
      <c r="J369" s="19" t="str">
        <f aca="false">IF($B369="","",IF($C369&lt;&gt;"",$C369,IFERROR(INDEX(Clients!$E$5:$E$204,MATCH($B369,Clients!$A$5:$A$204,0))&amp;"","")))</f>
        <v/>
      </c>
      <c r="K369" s="15" t="str">
        <f aca="false">IF($B369="","",IF($F369&lt;&gt;"",$F369,IFERROR(IF(AND(INDEX(Clients!$F$5:$F$204,MATCH($B369,Clients!$A$5:$A$204,0))&amp;""&lt;&gt;"",OR($C369="",$C369=INDEX(Clients!$E$5:$E$204,MATCH($B369,Clients!$A$5:$A$204,0)))),INDEX(Clients!$F$5:$F$204,MATCH($B369,Clients!$A$5:$A$204,0)),INDEX(Settings!$E$5:$E$19,MATCH($J369,Settings!$D$5:$D$19,0))),0)))</f>
        <v/>
      </c>
      <c r="L369" s="15" t="str">
        <f aca="false">IF($B369="","",$K369*IF($D369="",1,$D369)+$E369)</f>
        <v/>
      </c>
      <c r="M369" s="15" t="str">
        <f aca="false">IF($B369="","",ROUND($L369*Settings!$B$9,2))</f>
        <v/>
      </c>
      <c r="N369" s="15" t="str">
        <f aca="false">IF($B369="","",$L369+$M369)</f>
        <v/>
      </c>
      <c r="O369" s="19" t="str">
        <f aca="false">IF($Q369="","",Settings!$B$13&amp;TEXT(ROWS($A$5:$A369),"0000"))</f>
        <v/>
      </c>
      <c r="P369" s="19" t="str">
        <f aca="false">IF($O369="","",IFERROR(INDEX(Invoices!$I$5:$I$504,MATCH($O369,Invoices!$A$5:$A$504,0)),""))</f>
        <v/>
      </c>
      <c r="Q369" s="2" t="str">
        <f aca="false">IF(AND($A369&lt;&gt;"",$B369&lt;&gt;"",$G369="Completed"),COUNTIFS($A$5:$A369,"&lt;&gt;",$B$5:$B369,"&lt;&gt;",$G$5:$G369,"Completed"),"")</f>
        <v/>
      </c>
    </row>
    <row r="370" customFormat="false" ht="15" hidden="false" customHeight="false" outlineLevel="0" collapsed="false">
      <c r="A370" s="16"/>
      <c r="B370" s="12"/>
      <c r="C370" s="17"/>
      <c r="D370" s="18"/>
      <c r="E370" s="13"/>
      <c r="F370" s="13"/>
      <c r="G370" s="12"/>
      <c r="H370" s="12"/>
      <c r="I370" s="19" t="str">
        <f aca="false">IF($B370="","",IFERROR(INDEX(Clients!$D$5:$D$204,MATCH($B370,Clients!$A$5:$A$204,0))&amp;"",""))</f>
        <v/>
      </c>
      <c r="J370" s="19" t="str">
        <f aca="false">IF($B370="","",IF($C370&lt;&gt;"",$C370,IFERROR(INDEX(Clients!$E$5:$E$204,MATCH($B370,Clients!$A$5:$A$204,0))&amp;"","")))</f>
        <v/>
      </c>
      <c r="K370" s="15" t="str">
        <f aca="false">IF($B370="","",IF($F370&lt;&gt;"",$F370,IFERROR(IF(AND(INDEX(Clients!$F$5:$F$204,MATCH($B370,Clients!$A$5:$A$204,0))&amp;""&lt;&gt;"",OR($C370="",$C370=INDEX(Clients!$E$5:$E$204,MATCH($B370,Clients!$A$5:$A$204,0)))),INDEX(Clients!$F$5:$F$204,MATCH($B370,Clients!$A$5:$A$204,0)),INDEX(Settings!$E$5:$E$19,MATCH($J370,Settings!$D$5:$D$19,0))),0)))</f>
        <v/>
      </c>
      <c r="L370" s="15" t="str">
        <f aca="false">IF($B370="","",$K370*IF($D370="",1,$D370)+$E370)</f>
        <v/>
      </c>
      <c r="M370" s="15" t="str">
        <f aca="false">IF($B370="","",ROUND($L370*Settings!$B$9,2))</f>
        <v/>
      </c>
      <c r="N370" s="15" t="str">
        <f aca="false">IF($B370="","",$L370+$M370)</f>
        <v/>
      </c>
      <c r="O370" s="19" t="str">
        <f aca="false">IF($Q370="","",Settings!$B$13&amp;TEXT(ROWS($A$5:$A370),"0000"))</f>
        <v/>
      </c>
      <c r="P370" s="19" t="str">
        <f aca="false">IF($O370="","",IFERROR(INDEX(Invoices!$I$5:$I$504,MATCH($O370,Invoices!$A$5:$A$504,0)),""))</f>
        <v/>
      </c>
      <c r="Q370" s="2" t="str">
        <f aca="false">IF(AND($A370&lt;&gt;"",$B370&lt;&gt;"",$G370="Completed"),COUNTIFS($A$5:$A370,"&lt;&gt;",$B$5:$B370,"&lt;&gt;",$G$5:$G370,"Completed"),"")</f>
        <v/>
      </c>
    </row>
    <row r="371" customFormat="false" ht="15" hidden="false" customHeight="false" outlineLevel="0" collapsed="false">
      <c r="A371" s="16"/>
      <c r="B371" s="12"/>
      <c r="C371" s="17"/>
      <c r="D371" s="18"/>
      <c r="E371" s="13"/>
      <c r="F371" s="13"/>
      <c r="G371" s="12"/>
      <c r="H371" s="12"/>
      <c r="I371" s="19" t="str">
        <f aca="false">IF($B371="","",IFERROR(INDEX(Clients!$D$5:$D$204,MATCH($B371,Clients!$A$5:$A$204,0))&amp;"",""))</f>
        <v/>
      </c>
      <c r="J371" s="19" t="str">
        <f aca="false">IF($B371="","",IF($C371&lt;&gt;"",$C371,IFERROR(INDEX(Clients!$E$5:$E$204,MATCH($B371,Clients!$A$5:$A$204,0))&amp;"","")))</f>
        <v/>
      </c>
      <c r="K371" s="15" t="str">
        <f aca="false">IF($B371="","",IF($F371&lt;&gt;"",$F371,IFERROR(IF(AND(INDEX(Clients!$F$5:$F$204,MATCH($B371,Clients!$A$5:$A$204,0))&amp;""&lt;&gt;"",OR($C371="",$C371=INDEX(Clients!$E$5:$E$204,MATCH($B371,Clients!$A$5:$A$204,0)))),INDEX(Clients!$F$5:$F$204,MATCH($B371,Clients!$A$5:$A$204,0)),INDEX(Settings!$E$5:$E$19,MATCH($J371,Settings!$D$5:$D$19,0))),0)))</f>
        <v/>
      </c>
      <c r="L371" s="15" t="str">
        <f aca="false">IF($B371="","",$K371*IF($D371="",1,$D371)+$E371)</f>
        <v/>
      </c>
      <c r="M371" s="15" t="str">
        <f aca="false">IF($B371="","",ROUND($L371*Settings!$B$9,2))</f>
        <v/>
      </c>
      <c r="N371" s="15" t="str">
        <f aca="false">IF($B371="","",$L371+$M371)</f>
        <v/>
      </c>
      <c r="O371" s="19" t="str">
        <f aca="false">IF($Q371="","",Settings!$B$13&amp;TEXT(ROWS($A$5:$A371),"0000"))</f>
        <v/>
      </c>
      <c r="P371" s="19" t="str">
        <f aca="false">IF($O371="","",IFERROR(INDEX(Invoices!$I$5:$I$504,MATCH($O371,Invoices!$A$5:$A$504,0)),""))</f>
        <v/>
      </c>
      <c r="Q371" s="2" t="str">
        <f aca="false">IF(AND($A371&lt;&gt;"",$B371&lt;&gt;"",$G371="Completed"),COUNTIFS($A$5:$A371,"&lt;&gt;",$B$5:$B371,"&lt;&gt;",$G$5:$G371,"Completed"),"")</f>
        <v/>
      </c>
    </row>
    <row r="372" customFormat="false" ht="15" hidden="false" customHeight="false" outlineLevel="0" collapsed="false">
      <c r="A372" s="16"/>
      <c r="B372" s="12"/>
      <c r="C372" s="17"/>
      <c r="D372" s="18"/>
      <c r="E372" s="13"/>
      <c r="F372" s="13"/>
      <c r="G372" s="12"/>
      <c r="H372" s="12"/>
      <c r="I372" s="19" t="str">
        <f aca="false">IF($B372="","",IFERROR(INDEX(Clients!$D$5:$D$204,MATCH($B372,Clients!$A$5:$A$204,0))&amp;"",""))</f>
        <v/>
      </c>
      <c r="J372" s="19" t="str">
        <f aca="false">IF($B372="","",IF($C372&lt;&gt;"",$C372,IFERROR(INDEX(Clients!$E$5:$E$204,MATCH($B372,Clients!$A$5:$A$204,0))&amp;"","")))</f>
        <v/>
      </c>
      <c r="K372" s="15" t="str">
        <f aca="false">IF($B372="","",IF($F372&lt;&gt;"",$F372,IFERROR(IF(AND(INDEX(Clients!$F$5:$F$204,MATCH($B372,Clients!$A$5:$A$204,0))&amp;""&lt;&gt;"",OR($C372="",$C372=INDEX(Clients!$E$5:$E$204,MATCH($B372,Clients!$A$5:$A$204,0)))),INDEX(Clients!$F$5:$F$204,MATCH($B372,Clients!$A$5:$A$204,0)),INDEX(Settings!$E$5:$E$19,MATCH($J372,Settings!$D$5:$D$19,0))),0)))</f>
        <v/>
      </c>
      <c r="L372" s="15" t="str">
        <f aca="false">IF($B372="","",$K372*IF($D372="",1,$D372)+$E372)</f>
        <v/>
      </c>
      <c r="M372" s="15" t="str">
        <f aca="false">IF($B372="","",ROUND($L372*Settings!$B$9,2))</f>
        <v/>
      </c>
      <c r="N372" s="15" t="str">
        <f aca="false">IF($B372="","",$L372+$M372)</f>
        <v/>
      </c>
      <c r="O372" s="19" t="str">
        <f aca="false">IF($Q372="","",Settings!$B$13&amp;TEXT(ROWS($A$5:$A372),"0000"))</f>
        <v/>
      </c>
      <c r="P372" s="19" t="str">
        <f aca="false">IF($O372="","",IFERROR(INDEX(Invoices!$I$5:$I$504,MATCH($O372,Invoices!$A$5:$A$504,0)),""))</f>
        <v/>
      </c>
      <c r="Q372" s="2" t="str">
        <f aca="false">IF(AND($A372&lt;&gt;"",$B372&lt;&gt;"",$G372="Completed"),COUNTIFS($A$5:$A372,"&lt;&gt;",$B$5:$B372,"&lt;&gt;",$G$5:$G372,"Completed"),"")</f>
        <v/>
      </c>
    </row>
    <row r="373" customFormat="false" ht="15" hidden="false" customHeight="false" outlineLevel="0" collapsed="false">
      <c r="A373" s="16"/>
      <c r="B373" s="12"/>
      <c r="C373" s="17"/>
      <c r="D373" s="18"/>
      <c r="E373" s="13"/>
      <c r="F373" s="13"/>
      <c r="G373" s="12"/>
      <c r="H373" s="12"/>
      <c r="I373" s="19" t="str">
        <f aca="false">IF($B373="","",IFERROR(INDEX(Clients!$D$5:$D$204,MATCH($B373,Clients!$A$5:$A$204,0))&amp;"",""))</f>
        <v/>
      </c>
      <c r="J373" s="19" t="str">
        <f aca="false">IF($B373="","",IF($C373&lt;&gt;"",$C373,IFERROR(INDEX(Clients!$E$5:$E$204,MATCH($B373,Clients!$A$5:$A$204,0))&amp;"","")))</f>
        <v/>
      </c>
      <c r="K373" s="15" t="str">
        <f aca="false">IF($B373="","",IF($F373&lt;&gt;"",$F373,IFERROR(IF(AND(INDEX(Clients!$F$5:$F$204,MATCH($B373,Clients!$A$5:$A$204,0))&amp;""&lt;&gt;"",OR($C373="",$C373=INDEX(Clients!$E$5:$E$204,MATCH($B373,Clients!$A$5:$A$204,0)))),INDEX(Clients!$F$5:$F$204,MATCH($B373,Clients!$A$5:$A$204,0)),INDEX(Settings!$E$5:$E$19,MATCH($J373,Settings!$D$5:$D$19,0))),0)))</f>
        <v/>
      </c>
      <c r="L373" s="15" t="str">
        <f aca="false">IF($B373="","",$K373*IF($D373="",1,$D373)+$E373)</f>
        <v/>
      </c>
      <c r="M373" s="15" t="str">
        <f aca="false">IF($B373="","",ROUND($L373*Settings!$B$9,2))</f>
        <v/>
      </c>
      <c r="N373" s="15" t="str">
        <f aca="false">IF($B373="","",$L373+$M373)</f>
        <v/>
      </c>
      <c r="O373" s="19" t="str">
        <f aca="false">IF($Q373="","",Settings!$B$13&amp;TEXT(ROWS($A$5:$A373),"0000"))</f>
        <v/>
      </c>
      <c r="P373" s="19" t="str">
        <f aca="false">IF($O373="","",IFERROR(INDEX(Invoices!$I$5:$I$504,MATCH($O373,Invoices!$A$5:$A$504,0)),""))</f>
        <v/>
      </c>
      <c r="Q373" s="2" t="str">
        <f aca="false">IF(AND($A373&lt;&gt;"",$B373&lt;&gt;"",$G373="Completed"),COUNTIFS($A$5:$A373,"&lt;&gt;",$B$5:$B373,"&lt;&gt;",$G$5:$G373,"Completed"),"")</f>
        <v/>
      </c>
    </row>
    <row r="374" customFormat="false" ht="15" hidden="false" customHeight="false" outlineLevel="0" collapsed="false">
      <c r="A374" s="16"/>
      <c r="B374" s="12"/>
      <c r="C374" s="17"/>
      <c r="D374" s="18"/>
      <c r="E374" s="13"/>
      <c r="F374" s="13"/>
      <c r="G374" s="12"/>
      <c r="H374" s="12"/>
      <c r="I374" s="19" t="str">
        <f aca="false">IF($B374="","",IFERROR(INDEX(Clients!$D$5:$D$204,MATCH($B374,Clients!$A$5:$A$204,0))&amp;"",""))</f>
        <v/>
      </c>
      <c r="J374" s="19" t="str">
        <f aca="false">IF($B374="","",IF($C374&lt;&gt;"",$C374,IFERROR(INDEX(Clients!$E$5:$E$204,MATCH($B374,Clients!$A$5:$A$204,0))&amp;"","")))</f>
        <v/>
      </c>
      <c r="K374" s="15" t="str">
        <f aca="false">IF($B374="","",IF($F374&lt;&gt;"",$F374,IFERROR(IF(AND(INDEX(Clients!$F$5:$F$204,MATCH($B374,Clients!$A$5:$A$204,0))&amp;""&lt;&gt;"",OR($C374="",$C374=INDEX(Clients!$E$5:$E$204,MATCH($B374,Clients!$A$5:$A$204,0)))),INDEX(Clients!$F$5:$F$204,MATCH($B374,Clients!$A$5:$A$204,0)),INDEX(Settings!$E$5:$E$19,MATCH($J374,Settings!$D$5:$D$19,0))),0)))</f>
        <v/>
      </c>
      <c r="L374" s="15" t="str">
        <f aca="false">IF($B374="","",$K374*IF($D374="",1,$D374)+$E374)</f>
        <v/>
      </c>
      <c r="M374" s="15" t="str">
        <f aca="false">IF($B374="","",ROUND($L374*Settings!$B$9,2))</f>
        <v/>
      </c>
      <c r="N374" s="15" t="str">
        <f aca="false">IF($B374="","",$L374+$M374)</f>
        <v/>
      </c>
      <c r="O374" s="19" t="str">
        <f aca="false">IF($Q374="","",Settings!$B$13&amp;TEXT(ROWS($A$5:$A374),"0000"))</f>
        <v/>
      </c>
      <c r="P374" s="19" t="str">
        <f aca="false">IF($O374="","",IFERROR(INDEX(Invoices!$I$5:$I$504,MATCH($O374,Invoices!$A$5:$A$504,0)),""))</f>
        <v/>
      </c>
      <c r="Q374" s="2" t="str">
        <f aca="false">IF(AND($A374&lt;&gt;"",$B374&lt;&gt;"",$G374="Completed"),COUNTIFS($A$5:$A374,"&lt;&gt;",$B$5:$B374,"&lt;&gt;",$G$5:$G374,"Completed"),"")</f>
        <v/>
      </c>
    </row>
    <row r="375" customFormat="false" ht="15" hidden="false" customHeight="false" outlineLevel="0" collapsed="false">
      <c r="A375" s="16"/>
      <c r="B375" s="12"/>
      <c r="C375" s="17"/>
      <c r="D375" s="18"/>
      <c r="E375" s="13"/>
      <c r="F375" s="13"/>
      <c r="G375" s="12"/>
      <c r="H375" s="12"/>
      <c r="I375" s="19" t="str">
        <f aca="false">IF($B375="","",IFERROR(INDEX(Clients!$D$5:$D$204,MATCH($B375,Clients!$A$5:$A$204,0))&amp;"",""))</f>
        <v/>
      </c>
      <c r="J375" s="19" t="str">
        <f aca="false">IF($B375="","",IF($C375&lt;&gt;"",$C375,IFERROR(INDEX(Clients!$E$5:$E$204,MATCH($B375,Clients!$A$5:$A$204,0))&amp;"","")))</f>
        <v/>
      </c>
      <c r="K375" s="15" t="str">
        <f aca="false">IF($B375="","",IF($F375&lt;&gt;"",$F375,IFERROR(IF(AND(INDEX(Clients!$F$5:$F$204,MATCH($B375,Clients!$A$5:$A$204,0))&amp;""&lt;&gt;"",OR($C375="",$C375=INDEX(Clients!$E$5:$E$204,MATCH($B375,Clients!$A$5:$A$204,0)))),INDEX(Clients!$F$5:$F$204,MATCH($B375,Clients!$A$5:$A$204,0)),INDEX(Settings!$E$5:$E$19,MATCH($J375,Settings!$D$5:$D$19,0))),0)))</f>
        <v/>
      </c>
      <c r="L375" s="15" t="str">
        <f aca="false">IF($B375="","",$K375*IF($D375="",1,$D375)+$E375)</f>
        <v/>
      </c>
      <c r="M375" s="15" t="str">
        <f aca="false">IF($B375="","",ROUND($L375*Settings!$B$9,2))</f>
        <v/>
      </c>
      <c r="N375" s="15" t="str">
        <f aca="false">IF($B375="","",$L375+$M375)</f>
        <v/>
      </c>
      <c r="O375" s="19" t="str">
        <f aca="false">IF($Q375="","",Settings!$B$13&amp;TEXT(ROWS($A$5:$A375),"0000"))</f>
        <v/>
      </c>
      <c r="P375" s="19" t="str">
        <f aca="false">IF($O375="","",IFERROR(INDEX(Invoices!$I$5:$I$504,MATCH($O375,Invoices!$A$5:$A$504,0)),""))</f>
        <v/>
      </c>
      <c r="Q375" s="2" t="str">
        <f aca="false">IF(AND($A375&lt;&gt;"",$B375&lt;&gt;"",$G375="Completed"),COUNTIFS($A$5:$A375,"&lt;&gt;",$B$5:$B375,"&lt;&gt;",$G$5:$G375,"Completed"),"")</f>
        <v/>
      </c>
    </row>
    <row r="376" customFormat="false" ht="15" hidden="false" customHeight="false" outlineLevel="0" collapsed="false">
      <c r="A376" s="16"/>
      <c r="B376" s="12"/>
      <c r="C376" s="17"/>
      <c r="D376" s="18"/>
      <c r="E376" s="13"/>
      <c r="F376" s="13"/>
      <c r="G376" s="12"/>
      <c r="H376" s="12"/>
      <c r="I376" s="19" t="str">
        <f aca="false">IF($B376="","",IFERROR(INDEX(Clients!$D$5:$D$204,MATCH($B376,Clients!$A$5:$A$204,0))&amp;"",""))</f>
        <v/>
      </c>
      <c r="J376" s="19" t="str">
        <f aca="false">IF($B376="","",IF($C376&lt;&gt;"",$C376,IFERROR(INDEX(Clients!$E$5:$E$204,MATCH($B376,Clients!$A$5:$A$204,0))&amp;"","")))</f>
        <v/>
      </c>
      <c r="K376" s="15" t="str">
        <f aca="false">IF($B376="","",IF($F376&lt;&gt;"",$F376,IFERROR(IF(AND(INDEX(Clients!$F$5:$F$204,MATCH($B376,Clients!$A$5:$A$204,0))&amp;""&lt;&gt;"",OR($C376="",$C376=INDEX(Clients!$E$5:$E$204,MATCH($B376,Clients!$A$5:$A$204,0)))),INDEX(Clients!$F$5:$F$204,MATCH($B376,Clients!$A$5:$A$204,0)),INDEX(Settings!$E$5:$E$19,MATCH($J376,Settings!$D$5:$D$19,0))),0)))</f>
        <v/>
      </c>
      <c r="L376" s="15" t="str">
        <f aca="false">IF($B376="","",$K376*IF($D376="",1,$D376)+$E376)</f>
        <v/>
      </c>
      <c r="M376" s="15" t="str">
        <f aca="false">IF($B376="","",ROUND($L376*Settings!$B$9,2))</f>
        <v/>
      </c>
      <c r="N376" s="15" t="str">
        <f aca="false">IF($B376="","",$L376+$M376)</f>
        <v/>
      </c>
      <c r="O376" s="19" t="str">
        <f aca="false">IF($Q376="","",Settings!$B$13&amp;TEXT(ROWS($A$5:$A376),"0000"))</f>
        <v/>
      </c>
      <c r="P376" s="19" t="str">
        <f aca="false">IF($O376="","",IFERROR(INDEX(Invoices!$I$5:$I$504,MATCH($O376,Invoices!$A$5:$A$504,0)),""))</f>
        <v/>
      </c>
      <c r="Q376" s="2" t="str">
        <f aca="false">IF(AND($A376&lt;&gt;"",$B376&lt;&gt;"",$G376="Completed"),COUNTIFS($A$5:$A376,"&lt;&gt;",$B$5:$B376,"&lt;&gt;",$G$5:$G376,"Completed"),"")</f>
        <v/>
      </c>
    </row>
    <row r="377" customFormat="false" ht="15" hidden="false" customHeight="false" outlineLevel="0" collapsed="false">
      <c r="A377" s="16"/>
      <c r="B377" s="12"/>
      <c r="C377" s="17"/>
      <c r="D377" s="18"/>
      <c r="E377" s="13"/>
      <c r="F377" s="13"/>
      <c r="G377" s="12"/>
      <c r="H377" s="12"/>
      <c r="I377" s="19" t="str">
        <f aca="false">IF($B377="","",IFERROR(INDEX(Clients!$D$5:$D$204,MATCH($B377,Clients!$A$5:$A$204,0))&amp;"",""))</f>
        <v/>
      </c>
      <c r="J377" s="19" t="str">
        <f aca="false">IF($B377="","",IF($C377&lt;&gt;"",$C377,IFERROR(INDEX(Clients!$E$5:$E$204,MATCH($B377,Clients!$A$5:$A$204,0))&amp;"","")))</f>
        <v/>
      </c>
      <c r="K377" s="15" t="str">
        <f aca="false">IF($B377="","",IF($F377&lt;&gt;"",$F377,IFERROR(IF(AND(INDEX(Clients!$F$5:$F$204,MATCH($B377,Clients!$A$5:$A$204,0))&amp;""&lt;&gt;"",OR($C377="",$C377=INDEX(Clients!$E$5:$E$204,MATCH($B377,Clients!$A$5:$A$204,0)))),INDEX(Clients!$F$5:$F$204,MATCH($B377,Clients!$A$5:$A$204,0)),INDEX(Settings!$E$5:$E$19,MATCH($J377,Settings!$D$5:$D$19,0))),0)))</f>
        <v/>
      </c>
      <c r="L377" s="15" t="str">
        <f aca="false">IF($B377="","",$K377*IF($D377="",1,$D377)+$E377)</f>
        <v/>
      </c>
      <c r="M377" s="15" t="str">
        <f aca="false">IF($B377="","",ROUND($L377*Settings!$B$9,2))</f>
        <v/>
      </c>
      <c r="N377" s="15" t="str">
        <f aca="false">IF($B377="","",$L377+$M377)</f>
        <v/>
      </c>
      <c r="O377" s="19" t="str">
        <f aca="false">IF($Q377="","",Settings!$B$13&amp;TEXT(ROWS($A$5:$A377),"0000"))</f>
        <v/>
      </c>
      <c r="P377" s="19" t="str">
        <f aca="false">IF($O377="","",IFERROR(INDEX(Invoices!$I$5:$I$504,MATCH($O377,Invoices!$A$5:$A$504,0)),""))</f>
        <v/>
      </c>
      <c r="Q377" s="2" t="str">
        <f aca="false">IF(AND($A377&lt;&gt;"",$B377&lt;&gt;"",$G377="Completed"),COUNTIFS($A$5:$A377,"&lt;&gt;",$B$5:$B377,"&lt;&gt;",$G$5:$G377,"Completed"),"")</f>
        <v/>
      </c>
    </row>
    <row r="378" customFormat="false" ht="15" hidden="false" customHeight="false" outlineLevel="0" collapsed="false">
      <c r="A378" s="16"/>
      <c r="B378" s="12"/>
      <c r="C378" s="17"/>
      <c r="D378" s="18"/>
      <c r="E378" s="13"/>
      <c r="F378" s="13"/>
      <c r="G378" s="12"/>
      <c r="H378" s="12"/>
      <c r="I378" s="19" t="str">
        <f aca="false">IF($B378="","",IFERROR(INDEX(Clients!$D$5:$D$204,MATCH($B378,Clients!$A$5:$A$204,0))&amp;"",""))</f>
        <v/>
      </c>
      <c r="J378" s="19" t="str">
        <f aca="false">IF($B378="","",IF($C378&lt;&gt;"",$C378,IFERROR(INDEX(Clients!$E$5:$E$204,MATCH($B378,Clients!$A$5:$A$204,0))&amp;"","")))</f>
        <v/>
      </c>
      <c r="K378" s="15" t="str">
        <f aca="false">IF($B378="","",IF($F378&lt;&gt;"",$F378,IFERROR(IF(AND(INDEX(Clients!$F$5:$F$204,MATCH($B378,Clients!$A$5:$A$204,0))&amp;""&lt;&gt;"",OR($C378="",$C378=INDEX(Clients!$E$5:$E$204,MATCH($B378,Clients!$A$5:$A$204,0)))),INDEX(Clients!$F$5:$F$204,MATCH($B378,Clients!$A$5:$A$204,0)),INDEX(Settings!$E$5:$E$19,MATCH($J378,Settings!$D$5:$D$19,0))),0)))</f>
        <v/>
      </c>
      <c r="L378" s="15" t="str">
        <f aca="false">IF($B378="","",$K378*IF($D378="",1,$D378)+$E378)</f>
        <v/>
      </c>
      <c r="M378" s="15" t="str">
        <f aca="false">IF($B378="","",ROUND($L378*Settings!$B$9,2))</f>
        <v/>
      </c>
      <c r="N378" s="15" t="str">
        <f aca="false">IF($B378="","",$L378+$M378)</f>
        <v/>
      </c>
      <c r="O378" s="19" t="str">
        <f aca="false">IF($Q378="","",Settings!$B$13&amp;TEXT(ROWS($A$5:$A378),"0000"))</f>
        <v/>
      </c>
      <c r="P378" s="19" t="str">
        <f aca="false">IF($O378="","",IFERROR(INDEX(Invoices!$I$5:$I$504,MATCH($O378,Invoices!$A$5:$A$504,0)),""))</f>
        <v/>
      </c>
      <c r="Q378" s="2" t="str">
        <f aca="false">IF(AND($A378&lt;&gt;"",$B378&lt;&gt;"",$G378="Completed"),COUNTIFS($A$5:$A378,"&lt;&gt;",$B$5:$B378,"&lt;&gt;",$G$5:$G378,"Completed"),"")</f>
        <v/>
      </c>
    </row>
    <row r="379" customFormat="false" ht="15" hidden="false" customHeight="false" outlineLevel="0" collapsed="false">
      <c r="A379" s="16"/>
      <c r="B379" s="12"/>
      <c r="C379" s="17"/>
      <c r="D379" s="18"/>
      <c r="E379" s="13"/>
      <c r="F379" s="13"/>
      <c r="G379" s="12"/>
      <c r="H379" s="12"/>
      <c r="I379" s="19" t="str">
        <f aca="false">IF($B379="","",IFERROR(INDEX(Clients!$D$5:$D$204,MATCH($B379,Clients!$A$5:$A$204,0))&amp;"",""))</f>
        <v/>
      </c>
      <c r="J379" s="19" t="str">
        <f aca="false">IF($B379="","",IF($C379&lt;&gt;"",$C379,IFERROR(INDEX(Clients!$E$5:$E$204,MATCH($B379,Clients!$A$5:$A$204,0))&amp;"","")))</f>
        <v/>
      </c>
      <c r="K379" s="15" t="str">
        <f aca="false">IF($B379="","",IF($F379&lt;&gt;"",$F379,IFERROR(IF(AND(INDEX(Clients!$F$5:$F$204,MATCH($B379,Clients!$A$5:$A$204,0))&amp;""&lt;&gt;"",OR($C379="",$C379=INDEX(Clients!$E$5:$E$204,MATCH($B379,Clients!$A$5:$A$204,0)))),INDEX(Clients!$F$5:$F$204,MATCH($B379,Clients!$A$5:$A$204,0)),INDEX(Settings!$E$5:$E$19,MATCH($J379,Settings!$D$5:$D$19,0))),0)))</f>
        <v/>
      </c>
      <c r="L379" s="15" t="str">
        <f aca="false">IF($B379="","",$K379*IF($D379="",1,$D379)+$E379)</f>
        <v/>
      </c>
      <c r="M379" s="15" t="str">
        <f aca="false">IF($B379="","",ROUND($L379*Settings!$B$9,2))</f>
        <v/>
      </c>
      <c r="N379" s="15" t="str">
        <f aca="false">IF($B379="","",$L379+$M379)</f>
        <v/>
      </c>
      <c r="O379" s="19" t="str">
        <f aca="false">IF($Q379="","",Settings!$B$13&amp;TEXT(ROWS($A$5:$A379),"0000"))</f>
        <v/>
      </c>
      <c r="P379" s="19" t="str">
        <f aca="false">IF($O379="","",IFERROR(INDEX(Invoices!$I$5:$I$504,MATCH($O379,Invoices!$A$5:$A$504,0)),""))</f>
        <v/>
      </c>
      <c r="Q379" s="2" t="str">
        <f aca="false">IF(AND($A379&lt;&gt;"",$B379&lt;&gt;"",$G379="Completed"),COUNTIFS($A$5:$A379,"&lt;&gt;",$B$5:$B379,"&lt;&gt;",$G$5:$G379,"Completed"),"")</f>
        <v/>
      </c>
    </row>
    <row r="380" customFormat="false" ht="15" hidden="false" customHeight="false" outlineLevel="0" collapsed="false">
      <c r="A380" s="16"/>
      <c r="B380" s="12"/>
      <c r="C380" s="17"/>
      <c r="D380" s="18"/>
      <c r="E380" s="13"/>
      <c r="F380" s="13"/>
      <c r="G380" s="12"/>
      <c r="H380" s="12"/>
      <c r="I380" s="19" t="str">
        <f aca="false">IF($B380="","",IFERROR(INDEX(Clients!$D$5:$D$204,MATCH($B380,Clients!$A$5:$A$204,0))&amp;"",""))</f>
        <v/>
      </c>
      <c r="J380" s="19" t="str">
        <f aca="false">IF($B380="","",IF($C380&lt;&gt;"",$C380,IFERROR(INDEX(Clients!$E$5:$E$204,MATCH($B380,Clients!$A$5:$A$204,0))&amp;"","")))</f>
        <v/>
      </c>
      <c r="K380" s="15" t="str">
        <f aca="false">IF($B380="","",IF($F380&lt;&gt;"",$F380,IFERROR(IF(AND(INDEX(Clients!$F$5:$F$204,MATCH($B380,Clients!$A$5:$A$204,0))&amp;""&lt;&gt;"",OR($C380="",$C380=INDEX(Clients!$E$5:$E$204,MATCH($B380,Clients!$A$5:$A$204,0)))),INDEX(Clients!$F$5:$F$204,MATCH($B380,Clients!$A$5:$A$204,0)),INDEX(Settings!$E$5:$E$19,MATCH($J380,Settings!$D$5:$D$19,0))),0)))</f>
        <v/>
      </c>
      <c r="L380" s="15" t="str">
        <f aca="false">IF($B380="","",$K380*IF($D380="",1,$D380)+$E380)</f>
        <v/>
      </c>
      <c r="M380" s="15" t="str">
        <f aca="false">IF($B380="","",ROUND($L380*Settings!$B$9,2))</f>
        <v/>
      </c>
      <c r="N380" s="15" t="str">
        <f aca="false">IF($B380="","",$L380+$M380)</f>
        <v/>
      </c>
      <c r="O380" s="19" t="str">
        <f aca="false">IF($Q380="","",Settings!$B$13&amp;TEXT(ROWS($A$5:$A380),"0000"))</f>
        <v/>
      </c>
      <c r="P380" s="19" t="str">
        <f aca="false">IF($O380="","",IFERROR(INDEX(Invoices!$I$5:$I$504,MATCH($O380,Invoices!$A$5:$A$504,0)),""))</f>
        <v/>
      </c>
      <c r="Q380" s="2" t="str">
        <f aca="false">IF(AND($A380&lt;&gt;"",$B380&lt;&gt;"",$G380="Completed"),COUNTIFS($A$5:$A380,"&lt;&gt;",$B$5:$B380,"&lt;&gt;",$G$5:$G380,"Completed"),"")</f>
        <v/>
      </c>
    </row>
    <row r="381" customFormat="false" ht="15" hidden="false" customHeight="false" outlineLevel="0" collapsed="false">
      <c r="A381" s="16"/>
      <c r="B381" s="12"/>
      <c r="C381" s="17"/>
      <c r="D381" s="18"/>
      <c r="E381" s="13"/>
      <c r="F381" s="13"/>
      <c r="G381" s="12"/>
      <c r="H381" s="12"/>
      <c r="I381" s="19" t="str">
        <f aca="false">IF($B381="","",IFERROR(INDEX(Clients!$D$5:$D$204,MATCH($B381,Clients!$A$5:$A$204,0))&amp;"",""))</f>
        <v/>
      </c>
      <c r="J381" s="19" t="str">
        <f aca="false">IF($B381="","",IF($C381&lt;&gt;"",$C381,IFERROR(INDEX(Clients!$E$5:$E$204,MATCH($B381,Clients!$A$5:$A$204,0))&amp;"","")))</f>
        <v/>
      </c>
      <c r="K381" s="15" t="str">
        <f aca="false">IF($B381="","",IF($F381&lt;&gt;"",$F381,IFERROR(IF(AND(INDEX(Clients!$F$5:$F$204,MATCH($B381,Clients!$A$5:$A$204,0))&amp;""&lt;&gt;"",OR($C381="",$C381=INDEX(Clients!$E$5:$E$204,MATCH($B381,Clients!$A$5:$A$204,0)))),INDEX(Clients!$F$5:$F$204,MATCH($B381,Clients!$A$5:$A$204,0)),INDEX(Settings!$E$5:$E$19,MATCH($J381,Settings!$D$5:$D$19,0))),0)))</f>
        <v/>
      </c>
      <c r="L381" s="15" t="str">
        <f aca="false">IF($B381="","",$K381*IF($D381="",1,$D381)+$E381)</f>
        <v/>
      </c>
      <c r="M381" s="15" t="str">
        <f aca="false">IF($B381="","",ROUND($L381*Settings!$B$9,2))</f>
        <v/>
      </c>
      <c r="N381" s="15" t="str">
        <f aca="false">IF($B381="","",$L381+$M381)</f>
        <v/>
      </c>
      <c r="O381" s="19" t="str">
        <f aca="false">IF($Q381="","",Settings!$B$13&amp;TEXT(ROWS($A$5:$A381),"0000"))</f>
        <v/>
      </c>
      <c r="P381" s="19" t="str">
        <f aca="false">IF($O381="","",IFERROR(INDEX(Invoices!$I$5:$I$504,MATCH($O381,Invoices!$A$5:$A$504,0)),""))</f>
        <v/>
      </c>
      <c r="Q381" s="2" t="str">
        <f aca="false">IF(AND($A381&lt;&gt;"",$B381&lt;&gt;"",$G381="Completed"),COUNTIFS($A$5:$A381,"&lt;&gt;",$B$5:$B381,"&lt;&gt;",$G$5:$G381,"Completed"),"")</f>
        <v/>
      </c>
    </row>
    <row r="382" customFormat="false" ht="15" hidden="false" customHeight="false" outlineLevel="0" collapsed="false">
      <c r="A382" s="16"/>
      <c r="B382" s="12"/>
      <c r="C382" s="17"/>
      <c r="D382" s="18"/>
      <c r="E382" s="13"/>
      <c r="F382" s="13"/>
      <c r="G382" s="12"/>
      <c r="H382" s="12"/>
      <c r="I382" s="19" t="str">
        <f aca="false">IF($B382="","",IFERROR(INDEX(Clients!$D$5:$D$204,MATCH($B382,Clients!$A$5:$A$204,0))&amp;"",""))</f>
        <v/>
      </c>
      <c r="J382" s="19" t="str">
        <f aca="false">IF($B382="","",IF($C382&lt;&gt;"",$C382,IFERROR(INDEX(Clients!$E$5:$E$204,MATCH($B382,Clients!$A$5:$A$204,0))&amp;"","")))</f>
        <v/>
      </c>
      <c r="K382" s="15" t="str">
        <f aca="false">IF($B382="","",IF($F382&lt;&gt;"",$F382,IFERROR(IF(AND(INDEX(Clients!$F$5:$F$204,MATCH($B382,Clients!$A$5:$A$204,0))&amp;""&lt;&gt;"",OR($C382="",$C382=INDEX(Clients!$E$5:$E$204,MATCH($B382,Clients!$A$5:$A$204,0)))),INDEX(Clients!$F$5:$F$204,MATCH($B382,Clients!$A$5:$A$204,0)),INDEX(Settings!$E$5:$E$19,MATCH($J382,Settings!$D$5:$D$19,0))),0)))</f>
        <v/>
      </c>
      <c r="L382" s="15" t="str">
        <f aca="false">IF($B382="","",$K382*IF($D382="",1,$D382)+$E382)</f>
        <v/>
      </c>
      <c r="M382" s="15" t="str">
        <f aca="false">IF($B382="","",ROUND($L382*Settings!$B$9,2))</f>
        <v/>
      </c>
      <c r="N382" s="15" t="str">
        <f aca="false">IF($B382="","",$L382+$M382)</f>
        <v/>
      </c>
      <c r="O382" s="19" t="str">
        <f aca="false">IF($Q382="","",Settings!$B$13&amp;TEXT(ROWS($A$5:$A382),"0000"))</f>
        <v/>
      </c>
      <c r="P382" s="19" t="str">
        <f aca="false">IF($O382="","",IFERROR(INDEX(Invoices!$I$5:$I$504,MATCH($O382,Invoices!$A$5:$A$504,0)),""))</f>
        <v/>
      </c>
      <c r="Q382" s="2" t="str">
        <f aca="false">IF(AND($A382&lt;&gt;"",$B382&lt;&gt;"",$G382="Completed"),COUNTIFS($A$5:$A382,"&lt;&gt;",$B$5:$B382,"&lt;&gt;",$G$5:$G382,"Completed"),"")</f>
        <v/>
      </c>
    </row>
    <row r="383" customFormat="false" ht="15" hidden="false" customHeight="false" outlineLevel="0" collapsed="false">
      <c r="A383" s="16"/>
      <c r="B383" s="12"/>
      <c r="C383" s="17"/>
      <c r="D383" s="18"/>
      <c r="E383" s="13"/>
      <c r="F383" s="13"/>
      <c r="G383" s="12"/>
      <c r="H383" s="12"/>
      <c r="I383" s="19" t="str">
        <f aca="false">IF($B383="","",IFERROR(INDEX(Clients!$D$5:$D$204,MATCH($B383,Clients!$A$5:$A$204,0))&amp;"",""))</f>
        <v/>
      </c>
      <c r="J383" s="19" t="str">
        <f aca="false">IF($B383="","",IF($C383&lt;&gt;"",$C383,IFERROR(INDEX(Clients!$E$5:$E$204,MATCH($B383,Clients!$A$5:$A$204,0))&amp;"","")))</f>
        <v/>
      </c>
      <c r="K383" s="15" t="str">
        <f aca="false">IF($B383="","",IF($F383&lt;&gt;"",$F383,IFERROR(IF(AND(INDEX(Clients!$F$5:$F$204,MATCH($B383,Clients!$A$5:$A$204,0))&amp;""&lt;&gt;"",OR($C383="",$C383=INDEX(Clients!$E$5:$E$204,MATCH($B383,Clients!$A$5:$A$204,0)))),INDEX(Clients!$F$5:$F$204,MATCH($B383,Clients!$A$5:$A$204,0)),INDEX(Settings!$E$5:$E$19,MATCH($J383,Settings!$D$5:$D$19,0))),0)))</f>
        <v/>
      </c>
      <c r="L383" s="15" t="str">
        <f aca="false">IF($B383="","",$K383*IF($D383="",1,$D383)+$E383)</f>
        <v/>
      </c>
      <c r="M383" s="15" t="str">
        <f aca="false">IF($B383="","",ROUND($L383*Settings!$B$9,2))</f>
        <v/>
      </c>
      <c r="N383" s="15" t="str">
        <f aca="false">IF($B383="","",$L383+$M383)</f>
        <v/>
      </c>
      <c r="O383" s="19" t="str">
        <f aca="false">IF($Q383="","",Settings!$B$13&amp;TEXT(ROWS($A$5:$A383),"0000"))</f>
        <v/>
      </c>
      <c r="P383" s="19" t="str">
        <f aca="false">IF($O383="","",IFERROR(INDEX(Invoices!$I$5:$I$504,MATCH($O383,Invoices!$A$5:$A$504,0)),""))</f>
        <v/>
      </c>
      <c r="Q383" s="2" t="str">
        <f aca="false">IF(AND($A383&lt;&gt;"",$B383&lt;&gt;"",$G383="Completed"),COUNTIFS($A$5:$A383,"&lt;&gt;",$B$5:$B383,"&lt;&gt;",$G$5:$G383,"Completed"),"")</f>
        <v/>
      </c>
    </row>
    <row r="384" customFormat="false" ht="15" hidden="false" customHeight="false" outlineLevel="0" collapsed="false">
      <c r="A384" s="16"/>
      <c r="B384" s="12"/>
      <c r="C384" s="17"/>
      <c r="D384" s="18"/>
      <c r="E384" s="13"/>
      <c r="F384" s="13"/>
      <c r="G384" s="12"/>
      <c r="H384" s="12"/>
      <c r="I384" s="19" t="str">
        <f aca="false">IF($B384="","",IFERROR(INDEX(Clients!$D$5:$D$204,MATCH($B384,Clients!$A$5:$A$204,0))&amp;"",""))</f>
        <v/>
      </c>
      <c r="J384" s="19" t="str">
        <f aca="false">IF($B384="","",IF($C384&lt;&gt;"",$C384,IFERROR(INDEX(Clients!$E$5:$E$204,MATCH($B384,Clients!$A$5:$A$204,0))&amp;"","")))</f>
        <v/>
      </c>
      <c r="K384" s="15" t="str">
        <f aca="false">IF($B384="","",IF($F384&lt;&gt;"",$F384,IFERROR(IF(AND(INDEX(Clients!$F$5:$F$204,MATCH($B384,Clients!$A$5:$A$204,0))&amp;""&lt;&gt;"",OR($C384="",$C384=INDEX(Clients!$E$5:$E$204,MATCH($B384,Clients!$A$5:$A$204,0)))),INDEX(Clients!$F$5:$F$204,MATCH($B384,Clients!$A$5:$A$204,0)),INDEX(Settings!$E$5:$E$19,MATCH($J384,Settings!$D$5:$D$19,0))),0)))</f>
        <v/>
      </c>
      <c r="L384" s="15" t="str">
        <f aca="false">IF($B384="","",$K384*IF($D384="",1,$D384)+$E384)</f>
        <v/>
      </c>
      <c r="M384" s="15" t="str">
        <f aca="false">IF($B384="","",ROUND($L384*Settings!$B$9,2))</f>
        <v/>
      </c>
      <c r="N384" s="15" t="str">
        <f aca="false">IF($B384="","",$L384+$M384)</f>
        <v/>
      </c>
      <c r="O384" s="19" t="str">
        <f aca="false">IF($Q384="","",Settings!$B$13&amp;TEXT(ROWS($A$5:$A384),"0000"))</f>
        <v/>
      </c>
      <c r="P384" s="19" t="str">
        <f aca="false">IF($O384="","",IFERROR(INDEX(Invoices!$I$5:$I$504,MATCH($O384,Invoices!$A$5:$A$504,0)),""))</f>
        <v/>
      </c>
      <c r="Q384" s="2" t="str">
        <f aca="false">IF(AND($A384&lt;&gt;"",$B384&lt;&gt;"",$G384="Completed"),COUNTIFS($A$5:$A384,"&lt;&gt;",$B$5:$B384,"&lt;&gt;",$G$5:$G384,"Completed"),"")</f>
        <v/>
      </c>
    </row>
    <row r="385" customFormat="false" ht="15" hidden="false" customHeight="false" outlineLevel="0" collapsed="false">
      <c r="A385" s="16"/>
      <c r="B385" s="12"/>
      <c r="C385" s="17"/>
      <c r="D385" s="18"/>
      <c r="E385" s="13"/>
      <c r="F385" s="13"/>
      <c r="G385" s="12"/>
      <c r="H385" s="12"/>
      <c r="I385" s="19" t="str">
        <f aca="false">IF($B385="","",IFERROR(INDEX(Clients!$D$5:$D$204,MATCH($B385,Clients!$A$5:$A$204,0))&amp;"",""))</f>
        <v/>
      </c>
      <c r="J385" s="19" t="str">
        <f aca="false">IF($B385="","",IF($C385&lt;&gt;"",$C385,IFERROR(INDEX(Clients!$E$5:$E$204,MATCH($B385,Clients!$A$5:$A$204,0))&amp;"","")))</f>
        <v/>
      </c>
      <c r="K385" s="15" t="str">
        <f aca="false">IF($B385="","",IF($F385&lt;&gt;"",$F385,IFERROR(IF(AND(INDEX(Clients!$F$5:$F$204,MATCH($B385,Clients!$A$5:$A$204,0))&amp;""&lt;&gt;"",OR($C385="",$C385=INDEX(Clients!$E$5:$E$204,MATCH($B385,Clients!$A$5:$A$204,0)))),INDEX(Clients!$F$5:$F$204,MATCH($B385,Clients!$A$5:$A$204,0)),INDEX(Settings!$E$5:$E$19,MATCH($J385,Settings!$D$5:$D$19,0))),0)))</f>
        <v/>
      </c>
      <c r="L385" s="15" t="str">
        <f aca="false">IF($B385="","",$K385*IF($D385="",1,$D385)+$E385)</f>
        <v/>
      </c>
      <c r="M385" s="15" t="str">
        <f aca="false">IF($B385="","",ROUND($L385*Settings!$B$9,2))</f>
        <v/>
      </c>
      <c r="N385" s="15" t="str">
        <f aca="false">IF($B385="","",$L385+$M385)</f>
        <v/>
      </c>
      <c r="O385" s="19" t="str">
        <f aca="false">IF($Q385="","",Settings!$B$13&amp;TEXT(ROWS($A$5:$A385),"0000"))</f>
        <v/>
      </c>
      <c r="P385" s="19" t="str">
        <f aca="false">IF($O385="","",IFERROR(INDEX(Invoices!$I$5:$I$504,MATCH($O385,Invoices!$A$5:$A$504,0)),""))</f>
        <v/>
      </c>
      <c r="Q385" s="2" t="str">
        <f aca="false">IF(AND($A385&lt;&gt;"",$B385&lt;&gt;"",$G385="Completed"),COUNTIFS($A$5:$A385,"&lt;&gt;",$B$5:$B385,"&lt;&gt;",$G$5:$G385,"Completed"),"")</f>
        <v/>
      </c>
    </row>
    <row r="386" customFormat="false" ht="15" hidden="false" customHeight="false" outlineLevel="0" collapsed="false">
      <c r="A386" s="16"/>
      <c r="B386" s="12"/>
      <c r="C386" s="17"/>
      <c r="D386" s="18"/>
      <c r="E386" s="13"/>
      <c r="F386" s="13"/>
      <c r="G386" s="12"/>
      <c r="H386" s="12"/>
      <c r="I386" s="19" t="str">
        <f aca="false">IF($B386="","",IFERROR(INDEX(Clients!$D$5:$D$204,MATCH($B386,Clients!$A$5:$A$204,0))&amp;"",""))</f>
        <v/>
      </c>
      <c r="J386" s="19" t="str">
        <f aca="false">IF($B386="","",IF($C386&lt;&gt;"",$C386,IFERROR(INDEX(Clients!$E$5:$E$204,MATCH($B386,Clients!$A$5:$A$204,0))&amp;"","")))</f>
        <v/>
      </c>
      <c r="K386" s="15" t="str">
        <f aca="false">IF($B386="","",IF($F386&lt;&gt;"",$F386,IFERROR(IF(AND(INDEX(Clients!$F$5:$F$204,MATCH($B386,Clients!$A$5:$A$204,0))&amp;""&lt;&gt;"",OR($C386="",$C386=INDEX(Clients!$E$5:$E$204,MATCH($B386,Clients!$A$5:$A$204,0)))),INDEX(Clients!$F$5:$F$204,MATCH($B386,Clients!$A$5:$A$204,0)),INDEX(Settings!$E$5:$E$19,MATCH($J386,Settings!$D$5:$D$19,0))),0)))</f>
        <v/>
      </c>
      <c r="L386" s="15" t="str">
        <f aca="false">IF($B386="","",$K386*IF($D386="",1,$D386)+$E386)</f>
        <v/>
      </c>
      <c r="M386" s="15" t="str">
        <f aca="false">IF($B386="","",ROUND($L386*Settings!$B$9,2))</f>
        <v/>
      </c>
      <c r="N386" s="15" t="str">
        <f aca="false">IF($B386="","",$L386+$M386)</f>
        <v/>
      </c>
      <c r="O386" s="19" t="str">
        <f aca="false">IF($Q386="","",Settings!$B$13&amp;TEXT(ROWS($A$5:$A386),"0000"))</f>
        <v/>
      </c>
      <c r="P386" s="19" t="str">
        <f aca="false">IF($O386="","",IFERROR(INDEX(Invoices!$I$5:$I$504,MATCH($O386,Invoices!$A$5:$A$504,0)),""))</f>
        <v/>
      </c>
      <c r="Q386" s="2" t="str">
        <f aca="false">IF(AND($A386&lt;&gt;"",$B386&lt;&gt;"",$G386="Completed"),COUNTIFS($A$5:$A386,"&lt;&gt;",$B$5:$B386,"&lt;&gt;",$G$5:$G386,"Completed"),"")</f>
        <v/>
      </c>
    </row>
    <row r="387" customFormat="false" ht="15" hidden="false" customHeight="false" outlineLevel="0" collapsed="false">
      <c r="A387" s="16"/>
      <c r="B387" s="12"/>
      <c r="C387" s="17"/>
      <c r="D387" s="18"/>
      <c r="E387" s="13"/>
      <c r="F387" s="13"/>
      <c r="G387" s="12"/>
      <c r="H387" s="12"/>
      <c r="I387" s="19" t="str">
        <f aca="false">IF($B387="","",IFERROR(INDEX(Clients!$D$5:$D$204,MATCH($B387,Clients!$A$5:$A$204,0))&amp;"",""))</f>
        <v/>
      </c>
      <c r="J387" s="19" t="str">
        <f aca="false">IF($B387="","",IF($C387&lt;&gt;"",$C387,IFERROR(INDEX(Clients!$E$5:$E$204,MATCH($B387,Clients!$A$5:$A$204,0))&amp;"","")))</f>
        <v/>
      </c>
      <c r="K387" s="15" t="str">
        <f aca="false">IF($B387="","",IF($F387&lt;&gt;"",$F387,IFERROR(IF(AND(INDEX(Clients!$F$5:$F$204,MATCH($B387,Clients!$A$5:$A$204,0))&amp;""&lt;&gt;"",OR($C387="",$C387=INDEX(Clients!$E$5:$E$204,MATCH($B387,Clients!$A$5:$A$204,0)))),INDEX(Clients!$F$5:$F$204,MATCH($B387,Clients!$A$5:$A$204,0)),INDEX(Settings!$E$5:$E$19,MATCH($J387,Settings!$D$5:$D$19,0))),0)))</f>
        <v/>
      </c>
      <c r="L387" s="15" t="str">
        <f aca="false">IF($B387="","",$K387*IF($D387="",1,$D387)+$E387)</f>
        <v/>
      </c>
      <c r="M387" s="15" t="str">
        <f aca="false">IF($B387="","",ROUND($L387*Settings!$B$9,2))</f>
        <v/>
      </c>
      <c r="N387" s="15" t="str">
        <f aca="false">IF($B387="","",$L387+$M387)</f>
        <v/>
      </c>
      <c r="O387" s="19" t="str">
        <f aca="false">IF($Q387="","",Settings!$B$13&amp;TEXT(ROWS($A$5:$A387),"0000"))</f>
        <v/>
      </c>
      <c r="P387" s="19" t="str">
        <f aca="false">IF($O387="","",IFERROR(INDEX(Invoices!$I$5:$I$504,MATCH($O387,Invoices!$A$5:$A$504,0)),""))</f>
        <v/>
      </c>
      <c r="Q387" s="2" t="str">
        <f aca="false">IF(AND($A387&lt;&gt;"",$B387&lt;&gt;"",$G387="Completed"),COUNTIFS($A$5:$A387,"&lt;&gt;",$B$5:$B387,"&lt;&gt;",$G$5:$G387,"Completed"),"")</f>
        <v/>
      </c>
    </row>
    <row r="388" customFormat="false" ht="15" hidden="false" customHeight="false" outlineLevel="0" collapsed="false">
      <c r="A388" s="16"/>
      <c r="B388" s="12"/>
      <c r="C388" s="17"/>
      <c r="D388" s="18"/>
      <c r="E388" s="13"/>
      <c r="F388" s="13"/>
      <c r="G388" s="12"/>
      <c r="H388" s="12"/>
      <c r="I388" s="19" t="str">
        <f aca="false">IF($B388="","",IFERROR(INDEX(Clients!$D$5:$D$204,MATCH($B388,Clients!$A$5:$A$204,0))&amp;"",""))</f>
        <v/>
      </c>
      <c r="J388" s="19" t="str">
        <f aca="false">IF($B388="","",IF($C388&lt;&gt;"",$C388,IFERROR(INDEX(Clients!$E$5:$E$204,MATCH($B388,Clients!$A$5:$A$204,0))&amp;"","")))</f>
        <v/>
      </c>
      <c r="K388" s="15" t="str">
        <f aca="false">IF($B388="","",IF($F388&lt;&gt;"",$F388,IFERROR(IF(AND(INDEX(Clients!$F$5:$F$204,MATCH($B388,Clients!$A$5:$A$204,0))&amp;""&lt;&gt;"",OR($C388="",$C388=INDEX(Clients!$E$5:$E$204,MATCH($B388,Clients!$A$5:$A$204,0)))),INDEX(Clients!$F$5:$F$204,MATCH($B388,Clients!$A$5:$A$204,0)),INDEX(Settings!$E$5:$E$19,MATCH($J388,Settings!$D$5:$D$19,0))),0)))</f>
        <v/>
      </c>
      <c r="L388" s="15" t="str">
        <f aca="false">IF($B388="","",$K388*IF($D388="",1,$D388)+$E388)</f>
        <v/>
      </c>
      <c r="M388" s="15" t="str">
        <f aca="false">IF($B388="","",ROUND($L388*Settings!$B$9,2))</f>
        <v/>
      </c>
      <c r="N388" s="15" t="str">
        <f aca="false">IF($B388="","",$L388+$M388)</f>
        <v/>
      </c>
      <c r="O388" s="19" t="str">
        <f aca="false">IF($Q388="","",Settings!$B$13&amp;TEXT(ROWS($A$5:$A388),"0000"))</f>
        <v/>
      </c>
      <c r="P388" s="19" t="str">
        <f aca="false">IF($O388="","",IFERROR(INDEX(Invoices!$I$5:$I$504,MATCH($O388,Invoices!$A$5:$A$504,0)),""))</f>
        <v/>
      </c>
      <c r="Q388" s="2" t="str">
        <f aca="false">IF(AND($A388&lt;&gt;"",$B388&lt;&gt;"",$G388="Completed"),COUNTIFS($A$5:$A388,"&lt;&gt;",$B$5:$B388,"&lt;&gt;",$G$5:$G388,"Completed"),"")</f>
        <v/>
      </c>
    </row>
    <row r="389" customFormat="false" ht="15" hidden="false" customHeight="false" outlineLevel="0" collapsed="false">
      <c r="A389" s="16"/>
      <c r="B389" s="12"/>
      <c r="C389" s="17"/>
      <c r="D389" s="18"/>
      <c r="E389" s="13"/>
      <c r="F389" s="13"/>
      <c r="G389" s="12"/>
      <c r="H389" s="12"/>
      <c r="I389" s="19" t="str">
        <f aca="false">IF($B389="","",IFERROR(INDEX(Clients!$D$5:$D$204,MATCH($B389,Clients!$A$5:$A$204,0))&amp;"",""))</f>
        <v/>
      </c>
      <c r="J389" s="19" t="str">
        <f aca="false">IF($B389="","",IF($C389&lt;&gt;"",$C389,IFERROR(INDEX(Clients!$E$5:$E$204,MATCH($B389,Clients!$A$5:$A$204,0))&amp;"","")))</f>
        <v/>
      </c>
      <c r="K389" s="15" t="str">
        <f aca="false">IF($B389="","",IF($F389&lt;&gt;"",$F389,IFERROR(IF(AND(INDEX(Clients!$F$5:$F$204,MATCH($B389,Clients!$A$5:$A$204,0))&amp;""&lt;&gt;"",OR($C389="",$C389=INDEX(Clients!$E$5:$E$204,MATCH($B389,Clients!$A$5:$A$204,0)))),INDEX(Clients!$F$5:$F$204,MATCH($B389,Clients!$A$5:$A$204,0)),INDEX(Settings!$E$5:$E$19,MATCH($J389,Settings!$D$5:$D$19,0))),0)))</f>
        <v/>
      </c>
      <c r="L389" s="15" t="str">
        <f aca="false">IF($B389="","",$K389*IF($D389="",1,$D389)+$E389)</f>
        <v/>
      </c>
      <c r="M389" s="15" t="str">
        <f aca="false">IF($B389="","",ROUND($L389*Settings!$B$9,2))</f>
        <v/>
      </c>
      <c r="N389" s="15" t="str">
        <f aca="false">IF($B389="","",$L389+$M389)</f>
        <v/>
      </c>
      <c r="O389" s="19" t="str">
        <f aca="false">IF($Q389="","",Settings!$B$13&amp;TEXT(ROWS($A$5:$A389),"0000"))</f>
        <v/>
      </c>
      <c r="P389" s="19" t="str">
        <f aca="false">IF($O389="","",IFERROR(INDEX(Invoices!$I$5:$I$504,MATCH($O389,Invoices!$A$5:$A$504,0)),""))</f>
        <v/>
      </c>
      <c r="Q389" s="2" t="str">
        <f aca="false">IF(AND($A389&lt;&gt;"",$B389&lt;&gt;"",$G389="Completed"),COUNTIFS($A$5:$A389,"&lt;&gt;",$B$5:$B389,"&lt;&gt;",$G$5:$G389,"Completed"),"")</f>
        <v/>
      </c>
    </row>
    <row r="390" customFormat="false" ht="15" hidden="false" customHeight="false" outlineLevel="0" collapsed="false">
      <c r="A390" s="16"/>
      <c r="B390" s="12"/>
      <c r="C390" s="17"/>
      <c r="D390" s="18"/>
      <c r="E390" s="13"/>
      <c r="F390" s="13"/>
      <c r="G390" s="12"/>
      <c r="H390" s="12"/>
      <c r="I390" s="19" t="str">
        <f aca="false">IF($B390="","",IFERROR(INDEX(Clients!$D$5:$D$204,MATCH($B390,Clients!$A$5:$A$204,0))&amp;"",""))</f>
        <v/>
      </c>
      <c r="J390" s="19" t="str">
        <f aca="false">IF($B390="","",IF($C390&lt;&gt;"",$C390,IFERROR(INDEX(Clients!$E$5:$E$204,MATCH($B390,Clients!$A$5:$A$204,0))&amp;"","")))</f>
        <v/>
      </c>
      <c r="K390" s="15" t="str">
        <f aca="false">IF($B390="","",IF($F390&lt;&gt;"",$F390,IFERROR(IF(AND(INDEX(Clients!$F$5:$F$204,MATCH($B390,Clients!$A$5:$A$204,0))&amp;""&lt;&gt;"",OR($C390="",$C390=INDEX(Clients!$E$5:$E$204,MATCH($B390,Clients!$A$5:$A$204,0)))),INDEX(Clients!$F$5:$F$204,MATCH($B390,Clients!$A$5:$A$204,0)),INDEX(Settings!$E$5:$E$19,MATCH($J390,Settings!$D$5:$D$19,0))),0)))</f>
        <v/>
      </c>
      <c r="L390" s="15" t="str">
        <f aca="false">IF($B390="","",$K390*IF($D390="",1,$D390)+$E390)</f>
        <v/>
      </c>
      <c r="M390" s="15" t="str">
        <f aca="false">IF($B390="","",ROUND($L390*Settings!$B$9,2))</f>
        <v/>
      </c>
      <c r="N390" s="15" t="str">
        <f aca="false">IF($B390="","",$L390+$M390)</f>
        <v/>
      </c>
      <c r="O390" s="19" t="str">
        <f aca="false">IF($Q390="","",Settings!$B$13&amp;TEXT(ROWS($A$5:$A390),"0000"))</f>
        <v/>
      </c>
      <c r="P390" s="19" t="str">
        <f aca="false">IF($O390="","",IFERROR(INDEX(Invoices!$I$5:$I$504,MATCH($O390,Invoices!$A$5:$A$504,0)),""))</f>
        <v/>
      </c>
      <c r="Q390" s="2" t="str">
        <f aca="false">IF(AND($A390&lt;&gt;"",$B390&lt;&gt;"",$G390="Completed"),COUNTIFS($A$5:$A390,"&lt;&gt;",$B$5:$B390,"&lt;&gt;",$G$5:$G390,"Completed"),"")</f>
        <v/>
      </c>
    </row>
    <row r="391" customFormat="false" ht="15" hidden="false" customHeight="false" outlineLevel="0" collapsed="false">
      <c r="A391" s="16"/>
      <c r="B391" s="12"/>
      <c r="C391" s="17"/>
      <c r="D391" s="18"/>
      <c r="E391" s="13"/>
      <c r="F391" s="13"/>
      <c r="G391" s="12"/>
      <c r="H391" s="12"/>
      <c r="I391" s="19" t="str">
        <f aca="false">IF($B391="","",IFERROR(INDEX(Clients!$D$5:$D$204,MATCH($B391,Clients!$A$5:$A$204,0))&amp;"",""))</f>
        <v/>
      </c>
      <c r="J391" s="19" t="str">
        <f aca="false">IF($B391="","",IF($C391&lt;&gt;"",$C391,IFERROR(INDEX(Clients!$E$5:$E$204,MATCH($B391,Clients!$A$5:$A$204,0))&amp;"","")))</f>
        <v/>
      </c>
      <c r="K391" s="15" t="str">
        <f aca="false">IF($B391="","",IF($F391&lt;&gt;"",$F391,IFERROR(IF(AND(INDEX(Clients!$F$5:$F$204,MATCH($B391,Clients!$A$5:$A$204,0))&amp;""&lt;&gt;"",OR($C391="",$C391=INDEX(Clients!$E$5:$E$204,MATCH($B391,Clients!$A$5:$A$204,0)))),INDEX(Clients!$F$5:$F$204,MATCH($B391,Clients!$A$5:$A$204,0)),INDEX(Settings!$E$5:$E$19,MATCH($J391,Settings!$D$5:$D$19,0))),0)))</f>
        <v/>
      </c>
      <c r="L391" s="15" t="str">
        <f aca="false">IF($B391="","",$K391*IF($D391="",1,$D391)+$E391)</f>
        <v/>
      </c>
      <c r="M391" s="15" t="str">
        <f aca="false">IF($B391="","",ROUND($L391*Settings!$B$9,2))</f>
        <v/>
      </c>
      <c r="N391" s="15" t="str">
        <f aca="false">IF($B391="","",$L391+$M391)</f>
        <v/>
      </c>
      <c r="O391" s="19" t="str">
        <f aca="false">IF($Q391="","",Settings!$B$13&amp;TEXT(ROWS($A$5:$A391),"0000"))</f>
        <v/>
      </c>
      <c r="P391" s="19" t="str">
        <f aca="false">IF($O391="","",IFERROR(INDEX(Invoices!$I$5:$I$504,MATCH($O391,Invoices!$A$5:$A$504,0)),""))</f>
        <v/>
      </c>
      <c r="Q391" s="2" t="str">
        <f aca="false">IF(AND($A391&lt;&gt;"",$B391&lt;&gt;"",$G391="Completed"),COUNTIFS($A$5:$A391,"&lt;&gt;",$B$5:$B391,"&lt;&gt;",$G$5:$G391,"Completed"),"")</f>
        <v/>
      </c>
    </row>
    <row r="392" customFormat="false" ht="15" hidden="false" customHeight="false" outlineLevel="0" collapsed="false">
      <c r="A392" s="16"/>
      <c r="B392" s="12"/>
      <c r="C392" s="17"/>
      <c r="D392" s="18"/>
      <c r="E392" s="13"/>
      <c r="F392" s="13"/>
      <c r="G392" s="12"/>
      <c r="H392" s="12"/>
      <c r="I392" s="19" t="str">
        <f aca="false">IF($B392="","",IFERROR(INDEX(Clients!$D$5:$D$204,MATCH($B392,Clients!$A$5:$A$204,0))&amp;"",""))</f>
        <v/>
      </c>
      <c r="J392" s="19" t="str">
        <f aca="false">IF($B392="","",IF($C392&lt;&gt;"",$C392,IFERROR(INDEX(Clients!$E$5:$E$204,MATCH($B392,Clients!$A$5:$A$204,0))&amp;"","")))</f>
        <v/>
      </c>
      <c r="K392" s="15" t="str">
        <f aca="false">IF($B392="","",IF($F392&lt;&gt;"",$F392,IFERROR(IF(AND(INDEX(Clients!$F$5:$F$204,MATCH($B392,Clients!$A$5:$A$204,0))&amp;""&lt;&gt;"",OR($C392="",$C392=INDEX(Clients!$E$5:$E$204,MATCH($B392,Clients!$A$5:$A$204,0)))),INDEX(Clients!$F$5:$F$204,MATCH($B392,Clients!$A$5:$A$204,0)),INDEX(Settings!$E$5:$E$19,MATCH($J392,Settings!$D$5:$D$19,0))),0)))</f>
        <v/>
      </c>
      <c r="L392" s="15" t="str">
        <f aca="false">IF($B392="","",$K392*IF($D392="",1,$D392)+$E392)</f>
        <v/>
      </c>
      <c r="M392" s="15" t="str">
        <f aca="false">IF($B392="","",ROUND($L392*Settings!$B$9,2))</f>
        <v/>
      </c>
      <c r="N392" s="15" t="str">
        <f aca="false">IF($B392="","",$L392+$M392)</f>
        <v/>
      </c>
      <c r="O392" s="19" t="str">
        <f aca="false">IF($Q392="","",Settings!$B$13&amp;TEXT(ROWS($A$5:$A392),"0000"))</f>
        <v/>
      </c>
      <c r="P392" s="19" t="str">
        <f aca="false">IF($O392="","",IFERROR(INDEX(Invoices!$I$5:$I$504,MATCH($O392,Invoices!$A$5:$A$504,0)),""))</f>
        <v/>
      </c>
      <c r="Q392" s="2" t="str">
        <f aca="false">IF(AND($A392&lt;&gt;"",$B392&lt;&gt;"",$G392="Completed"),COUNTIFS($A$5:$A392,"&lt;&gt;",$B$5:$B392,"&lt;&gt;",$G$5:$G392,"Completed"),"")</f>
        <v/>
      </c>
    </row>
    <row r="393" customFormat="false" ht="15" hidden="false" customHeight="false" outlineLevel="0" collapsed="false">
      <c r="A393" s="16"/>
      <c r="B393" s="12"/>
      <c r="C393" s="17"/>
      <c r="D393" s="18"/>
      <c r="E393" s="13"/>
      <c r="F393" s="13"/>
      <c r="G393" s="12"/>
      <c r="H393" s="12"/>
      <c r="I393" s="19" t="str">
        <f aca="false">IF($B393="","",IFERROR(INDEX(Clients!$D$5:$D$204,MATCH($B393,Clients!$A$5:$A$204,0))&amp;"",""))</f>
        <v/>
      </c>
      <c r="J393" s="19" t="str">
        <f aca="false">IF($B393="","",IF($C393&lt;&gt;"",$C393,IFERROR(INDEX(Clients!$E$5:$E$204,MATCH($B393,Clients!$A$5:$A$204,0))&amp;"","")))</f>
        <v/>
      </c>
      <c r="K393" s="15" t="str">
        <f aca="false">IF($B393="","",IF($F393&lt;&gt;"",$F393,IFERROR(IF(AND(INDEX(Clients!$F$5:$F$204,MATCH($B393,Clients!$A$5:$A$204,0))&amp;""&lt;&gt;"",OR($C393="",$C393=INDEX(Clients!$E$5:$E$204,MATCH($B393,Clients!$A$5:$A$204,0)))),INDEX(Clients!$F$5:$F$204,MATCH($B393,Clients!$A$5:$A$204,0)),INDEX(Settings!$E$5:$E$19,MATCH($J393,Settings!$D$5:$D$19,0))),0)))</f>
        <v/>
      </c>
      <c r="L393" s="15" t="str">
        <f aca="false">IF($B393="","",$K393*IF($D393="",1,$D393)+$E393)</f>
        <v/>
      </c>
      <c r="M393" s="15" t="str">
        <f aca="false">IF($B393="","",ROUND($L393*Settings!$B$9,2))</f>
        <v/>
      </c>
      <c r="N393" s="15" t="str">
        <f aca="false">IF($B393="","",$L393+$M393)</f>
        <v/>
      </c>
      <c r="O393" s="19" t="str">
        <f aca="false">IF($Q393="","",Settings!$B$13&amp;TEXT(ROWS($A$5:$A393),"0000"))</f>
        <v/>
      </c>
      <c r="P393" s="19" t="str">
        <f aca="false">IF($O393="","",IFERROR(INDEX(Invoices!$I$5:$I$504,MATCH($O393,Invoices!$A$5:$A$504,0)),""))</f>
        <v/>
      </c>
      <c r="Q393" s="2" t="str">
        <f aca="false">IF(AND($A393&lt;&gt;"",$B393&lt;&gt;"",$G393="Completed"),COUNTIFS($A$5:$A393,"&lt;&gt;",$B$5:$B393,"&lt;&gt;",$G$5:$G393,"Completed"),"")</f>
        <v/>
      </c>
    </row>
    <row r="394" customFormat="false" ht="15" hidden="false" customHeight="false" outlineLevel="0" collapsed="false">
      <c r="A394" s="16"/>
      <c r="B394" s="12"/>
      <c r="C394" s="17"/>
      <c r="D394" s="18"/>
      <c r="E394" s="13"/>
      <c r="F394" s="13"/>
      <c r="G394" s="12"/>
      <c r="H394" s="12"/>
      <c r="I394" s="19" t="str">
        <f aca="false">IF($B394="","",IFERROR(INDEX(Clients!$D$5:$D$204,MATCH($B394,Clients!$A$5:$A$204,0))&amp;"",""))</f>
        <v/>
      </c>
      <c r="J394" s="19" t="str">
        <f aca="false">IF($B394="","",IF($C394&lt;&gt;"",$C394,IFERROR(INDEX(Clients!$E$5:$E$204,MATCH($B394,Clients!$A$5:$A$204,0))&amp;"","")))</f>
        <v/>
      </c>
      <c r="K394" s="15" t="str">
        <f aca="false">IF($B394="","",IF($F394&lt;&gt;"",$F394,IFERROR(IF(AND(INDEX(Clients!$F$5:$F$204,MATCH($B394,Clients!$A$5:$A$204,0))&amp;""&lt;&gt;"",OR($C394="",$C394=INDEX(Clients!$E$5:$E$204,MATCH($B394,Clients!$A$5:$A$204,0)))),INDEX(Clients!$F$5:$F$204,MATCH($B394,Clients!$A$5:$A$204,0)),INDEX(Settings!$E$5:$E$19,MATCH($J394,Settings!$D$5:$D$19,0))),0)))</f>
        <v/>
      </c>
      <c r="L394" s="15" t="str">
        <f aca="false">IF($B394="","",$K394*IF($D394="",1,$D394)+$E394)</f>
        <v/>
      </c>
      <c r="M394" s="15" t="str">
        <f aca="false">IF($B394="","",ROUND($L394*Settings!$B$9,2))</f>
        <v/>
      </c>
      <c r="N394" s="15" t="str">
        <f aca="false">IF($B394="","",$L394+$M394)</f>
        <v/>
      </c>
      <c r="O394" s="19" t="str">
        <f aca="false">IF($Q394="","",Settings!$B$13&amp;TEXT(ROWS($A$5:$A394),"0000"))</f>
        <v/>
      </c>
      <c r="P394" s="19" t="str">
        <f aca="false">IF($O394="","",IFERROR(INDEX(Invoices!$I$5:$I$504,MATCH($O394,Invoices!$A$5:$A$504,0)),""))</f>
        <v/>
      </c>
      <c r="Q394" s="2" t="str">
        <f aca="false">IF(AND($A394&lt;&gt;"",$B394&lt;&gt;"",$G394="Completed"),COUNTIFS($A$5:$A394,"&lt;&gt;",$B$5:$B394,"&lt;&gt;",$G$5:$G394,"Completed"),"")</f>
        <v/>
      </c>
    </row>
    <row r="395" customFormat="false" ht="15" hidden="false" customHeight="false" outlineLevel="0" collapsed="false">
      <c r="A395" s="16"/>
      <c r="B395" s="12"/>
      <c r="C395" s="17"/>
      <c r="D395" s="18"/>
      <c r="E395" s="13"/>
      <c r="F395" s="13"/>
      <c r="G395" s="12"/>
      <c r="H395" s="12"/>
      <c r="I395" s="19" t="str">
        <f aca="false">IF($B395="","",IFERROR(INDEX(Clients!$D$5:$D$204,MATCH($B395,Clients!$A$5:$A$204,0))&amp;"",""))</f>
        <v/>
      </c>
      <c r="J395" s="19" t="str">
        <f aca="false">IF($B395="","",IF($C395&lt;&gt;"",$C395,IFERROR(INDEX(Clients!$E$5:$E$204,MATCH($B395,Clients!$A$5:$A$204,0))&amp;"","")))</f>
        <v/>
      </c>
      <c r="K395" s="15" t="str">
        <f aca="false">IF($B395="","",IF($F395&lt;&gt;"",$F395,IFERROR(IF(AND(INDEX(Clients!$F$5:$F$204,MATCH($B395,Clients!$A$5:$A$204,0))&amp;""&lt;&gt;"",OR($C395="",$C395=INDEX(Clients!$E$5:$E$204,MATCH($B395,Clients!$A$5:$A$204,0)))),INDEX(Clients!$F$5:$F$204,MATCH($B395,Clients!$A$5:$A$204,0)),INDEX(Settings!$E$5:$E$19,MATCH($J395,Settings!$D$5:$D$19,0))),0)))</f>
        <v/>
      </c>
      <c r="L395" s="15" t="str">
        <f aca="false">IF($B395="","",$K395*IF($D395="",1,$D395)+$E395)</f>
        <v/>
      </c>
      <c r="M395" s="15" t="str">
        <f aca="false">IF($B395="","",ROUND($L395*Settings!$B$9,2))</f>
        <v/>
      </c>
      <c r="N395" s="15" t="str">
        <f aca="false">IF($B395="","",$L395+$M395)</f>
        <v/>
      </c>
      <c r="O395" s="19" t="str">
        <f aca="false">IF($Q395="","",Settings!$B$13&amp;TEXT(ROWS($A$5:$A395),"0000"))</f>
        <v/>
      </c>
      <c r="P395" s="19" t="str">
        <f aca="false">IF($O395="","",IFERROR(INDEX(Invoices!$I$5:$I$504,MATCH($O395,Invoices!$A$5:$A$504,0)),""))</f>
        <v/>
      </c>
      <c r="Q395" s="2" t="str">
        <f aca="false">IF(AND($A395&lt;&gt;"",$B395&lt;&gt;"",$G395="Completed"),COUNTIFS($A$5:$A395,"&lt;&gt;",$B$5:$B395,"&lt;&gt;",$G$5:$G395,"Completed"),"")</f>
        <v/>
      </c>
    </row>
    <row r="396" customFormat="false" ht="15" hidden="false" customHeight="false" outlineLevel="0" collapsed="false">
      <c r="A396" s="16"/>
      <c r="B396" s="12"/>
      <c r="C396" s="17"/>
      <c r="D396" s="18"/>
      <c r="E396" s="13"/>
      <c r="F396" s="13"/>
      <c r="G396" s="12"/>
      <c r="H396" s="12"/>
      <c r="I396" s="19" t="str">
        <f aca="false">IF($B396="","",IFERROR(INDEX(Clients!$D$5:$D$204,MATCH($B396,Clients!$A$5:$A$204,0))&amp;"",""))</f>
        <v/>
      </c>
      <c r="J396" s="19" t="str">
        <f aca="false">IF($B396="","",IF($C396&lt;&gt;"",$C396,IFERROR(INDEX(Clients!$E$5:$E$204,MATCH($B396,Clients!$A$5:$A$204,0))&amp;"","")))</f>
        <v/>
      </c>
      <c r="K396" s="15" t="str">
        <f aca="false">IF($B396="","",IF($F396&lt;&gt;"",$F396,IFERROR(IF(AND(INDEX(Clients!$F$5:$F$204,MATCH($B396,Clients!$A$5:$A$204,0))&amp;""&lt;&gt;"",OR($C396="",$C396=INDEX(Clients!$E$5:$E$204,MATCH($B396,Clients!$A$5:$A$204,0)))),INDEX(Clients!$F$5:$F$204,MATCH($B396,Clients!$A$5:$A$204,0)),INDEX(Settings!$E$5:$E$19,MATCH($J396,Settings!$D$5:$D$19,0))),0)))</f>
        <v/>
      </c>
      <c r="L396" s="15" t="str">
        <f aca="false">IF($B396="","",$K396*IF($D396="",1,$D396)+$E396)</f>
        <v/>
      </c>
      <c r="M396" s="15" t="str">
        <f aca="false">IF($B396="","",ROUND($L396*Settings!$B$9,2))</f>
        <v/>
      </c>
      <c r="N396" s="15" t="str">
        <f aca="false">IF($B396="","",$L396+$M396)</f>
        <v/>
      </c>
      <c r="O396" s="19" t="str">
        <f aca="false">IF($Q396="","",Settings!$B$13&amp;TEXT(ROWS($A$5:$A396),"0000"))</f>
        <v/>
      </c>
      <c r="P396" s="19" t="str">
        <f aca="false">IF($O396="","",IFERROR(INDEX(Invoices!$I$5:$I$504,MATCH($O396,Invoices!$A$5:$A$504,0)),""))</f>
        <v/>
      </c>
      <c r="Q396" s="2" t="str">
        <f aca="false">IF(AND($A396&lt;&gt;"",$B396&lt;&gt;"",$G396="Completed"),COUNTIFS($A$5:$A396,"&lt;&gt;",$B$5:$B396,"&lt;&gt;",$G$5:$G396,"Completed"),"")</f>
        <v/>
      </c>
    </row>
    <row r="397" customFormat="false" ht="15" hidden="false" customHeight="false" outlineLevel="0" collapsed="false">
      <c r="A397" s="16"/>
      <c r="B397" s="12"/>
      <c r="C397" s="17"/>
      <c r="D397" s="18"/>
      <c r="E397" s="13"/>
      <c r="F397" s="13"/>
      <c r="G397" s="12"/>
      <c r="H397" s="12"/>
      <c r="I397" s="19" t="str">
        <f aca="false">IF($B397="","",IFERROR(INDEX(Clients!$D$5:$D$204,MATCH($B397,Clients!$A$5:$A$204,0))&amp;"",""))</f>
        <v/>
      </c>
      <c r="J397" s="19" t="str">
        <f aca="false">IF($B397="","",IF($C397&lt;&gt;"",$C397,IFERROR(INDEX(Clients!$E$5:$E$204,MATCH($B397,Clients!$A$5:$A$204,0))&amp;"","")))</f>
        <v/>
      </c>
      <c r="K397" s="15" t="str">
        <f aca="false">IF($B397="","",IF($F397&lt;&gt;"",$F397,IFERROR(IF(AND(INDEX(Clients!$F$5:$F$204,MATCH($B397,Clients!$A$5:$A$204,0))&amp;""&lt;&gt;"",OR($C397="",$C397=INDEX(Clients!$E$5:$E$204,MATCH($B397,Clients!$A$5:$A$204,0)))),INDEX(Clients!$F$5:$F$204,MATCH($B397,Clients!$A$5:$A$204,0)),INDEX(Settings!$E$5:$E$19,MATCH($J397,Settings!$D$5:$D$19,0))),0)))</f>
        <v/>
      </c>
      <c r="L397" s="15" t="str">
        <f aca="false">IF($B397="","",$K397*IF($D397="",1,$D397)+$E397)</f>
        <v/>
      </c>
      <c r="M397" s="15" t="str">
        <f aca="false">IF($B397="","",ROUND($L397*Settings!$B$9,2))</f>
        <v/>
      </c>
      <c r="N397" s="15" t="str">
        <f aca="false">IF($B397="","",$L397+$M397)</f>
        <v/>
      </c>
      <c r="O397" s="19" t="str">
        <f aca="false">IF($Q397="","",Settings!$B$13&amp;TEXT(ROWS($A$5:$A397),"0000"))</f>
        <v/>
      </c>
      <c r="P397" s="19" t="str">
        <f aca="false">IF($O397="","",IFERROR(INDEX(Invoices!$I$5:$I$504,MATCH($O397,Invoices!$A$5:$A$504,0)),""))</f>
        <v/>
      </c>
      <c r="Q397" s="2" t="str">
        <f aca="false">IF(AND($A397&lt;&gt;"",$B397&lt;&gt;"",$G397="Completed"),COUNTIFS($A$5:$A397,"&lt;&gt;",$B$5:$B397,"&lt;&gt;",$G$5:$G397,"Completed"),"")</f>
        <v/>
      </c>
    </row>
    <row r="398" customFormat="false" ht="15" hidden="false" customHeight="false" outlineLevel="0" collapsed="false">
      <c r="A398" s="16"/>
      <c r="B398" s="12"/>
      <c r="C398" s="17"/>
      <c r="D398" s="18"/>
      <c r="E398" s="13"/>
      <c r="F398" s="13"/>
      <c r="G398" s="12"/>
      <c r="H398" s="12"/>
      <c r="I398" s="19" t="str">
        <f aca="false">IF($B398="","",IFERROR(INDEX(Clients!$D$5:$D$204,MATCH($B398,Clients!$A$5:$A$204,0))&amp;"",""))</f>
        <v/>
      </c>
      <c r="J398" s="19" t="str">
        <f aca="false">IF($B398="","",IF($C398&lt;&gt;"",$C398,IFERROR(INDEX(Clients!$E$5:$E$204,MATCH($B398,Clients!$A$5:$A$204,0))&amp;"","")))</f>
        <v/>
      </c>
      <c r="K398" s="15" t="str">
        <f aca="false">IF($B398="","",IF($F398&lt;&gt;"",$F398,IFERROR(IF(AND(INDEX(Clients!$F$5:$F$204,MATCH($B398,Clients!$A$5:$A$204,0))&amp;""&lt;&gt;"",OR($C398="",$C398=INDEX(Clients!$E$5:$E$204,MATCH($B398,Clients!$A$5:$A$204,0)))),INDEX(Clients!$F$5:$F$204,MATCH($B398,Clients!$A$5:$A$204,0)),INDEX(Settings!$E$5:$E$19,MATCH($J398,Settings!$D$5:$D$19,0))),0)))</f>
        <v/>
      </c>
      <c r="L398" s="15" t="str">
        <f aca="false">IF($B398="","",$K398*IF($D398="",1,$D398)+$E398)</f>
        <v/>
      </c>
      <c r="M398" s="15" t="str">
        <f aca="false">IF($B398="","",ROUND($L398*Settings!$B$9,2))</f>
        <v/>
      </c>
      <c r="N398" s="15" t="str">
        <f aca="false">IF($B398="","",$L398+$M398)</f>
        <v/>
      </c>
      <c r="O398" s="19" t="str">
        <f aca="false">IF($Q398="","",Settings!$B$13&amp;TEXT(ROWS($A$5:$A398),"0000"))</f>
        <v/>
      </c>
      <c r="P398" s="19" t="str">
        <f aca="false">IF($O398="","",IFERROR(INDEX(Invoices!$I$5:$I$504,MATCH($O398,Invoices!$A$5:$A$504,0)),""))</f>
        <v/>
      </c>
      <c r="Q398" s="2" t="str">
        <f aca="false">IF(AND($A398&lt;&gt;"",$B398&lt;&gt;"",$G398="Completed"),COUNTIFS($A$5:$A398,"&lt;&gt;",$B$5:$B398,"&lt;&gt;",$G$5:$G398,"Completed"),"")</f>
        <v/>
      </c>
    </row>
    <row r="399" customFormat="false" ht="15" hidden="false" customHeight="false" outlineLevel="0" collapsed="false">
      <c r="A399" s="16"/>
      <c r="B399" s="12"/>
      <c r="C399" s="17"/>
      <c r="D399" s="18"/>
      <c r="E399" s="13"/>
      <c r="F399" s="13"/>
      <c r="G399" s="12"/>
      <c r="H399" s="12"/>
      <c r="I399" s="19" t="str">
        <f aca="false">IF($B399="","",IFERROR(INDEX(Clients!$D$5:$D$204,MATCH($B399,Clients!$A$5:$A$204,0))&amp;"",""))</f>
        <v/>
      </c>
      <c r="J399" s="19" t="str">
        <f aca="false">IF($B399="","",IF($C399&lt;&gt;"",$C399,IFERROR(INDEX(Clients!$E$5:$E$204,MATCH($B399,Clients!$A$5:$A$204,0))&amp;"","")))</f>
        <v/>
      </c>
      <c r="K399" s="15" t="str">
        <f aca="false">IF($B399="","",IF($F399&lt;&gt;"",$F399,IFERROR(IF(AND(INDEX(Clients!$F$5:$F$204,MATCH($B399,Clients!$A$5:$A$204,0))&amp;""&lt;&gt;"",OR($C399="",$C399=INDEX(Clients!$E$5:$E$204,MATCH($B399,Clients!$A$5:$A$204,0)))),INDEX(Clients!$F$5:$F$204,MATCH($B399,Clients!$A$5:$A$204,0)),INDEX(Settings!$E$5:$E$19,MATCH($J399,Settings!$D$5:$D$19,0))),0)))</f>
        <v/>
      </c>
      <c r="L399" s="15" t="str">
        <f aca="false">IF($B399="","",$K399*IF($D399="",1,$D399)+$E399)</f>
        <v/>
      </c>
      <c r="M399" s="15" t="str">
        <f aca="false">IF($B399="","",ROUND($L399*Settings!$B$9,2))</f>
        <v/>
      </c>
      <c r="N399" s="15" t="str">
        <f aca="false">IF($B399="","",$L399+$M399)</f>
        <v/>
      </c>
      <c r="O399" s="19" t="str">
        <f aca="false">IF($Q399="","",Settings!$B$13&amp;TEXT(ROWS($A$5:$A399),"0000"))</f>
        <v/>
      </c>
      <c r="P399" s="19" t="str">
        <f aca="false">IF($O399="","",IFERROR(INDEX(Invoices!$I$5:$I$504,MATCH($O399,Invoices!$A$5:$A$504,0)),""))</f>
        <v/>
      </c>
      <c r="Q399" s="2" t="str">
        <f aca="false">IF(AND($A399&lt;&gt;"",$B399&lt;&gt;"",$G399="Completed"),COUNTIFS($A$5:$A399,"&lt;&gt;",$B$5:$B399,"&lt;&gt;",$G$5:$G399,"Completed"),"")</f>
        <v/>
      </c>
    </row>
    <row r="400" customFormat="false" ht="15" hidden="false" customHeight="false" outlineLevel="0" collapsed="false">
      <c r="A400" s="16"/>
      <c r="B400" s="12"/>
      <c r="C400" s="17"/>
      <c r="D400" s="18"/>
      <c r="E400" s="13"/>
      <c r="F400" s="13"/>
      <c r="G400" s="12"/>
      <c r="H400" s="12"/>
      <c r="I400" s="19" t="str">
        <f aca="false">IF($B400="","",IFERROR(INDEX(Clients!$D$5:$D$204,MATCH($B400,Clients!$A$5:$A$204,0))&amp;"",""))</f>
        <v/>
      </c>
      <c r="J400" s="19" t="str">
        <f aca="false">IF($B400="","",IF($C400&lt;&gt;"",$C400,IFERROR(INDEX(Clients!$E$5:$E$204,MATCH($B400,Clients!$A$5:$A$204,0))&amp;"","")))</f>
        <v/>
      </c>
      <c r="K400" s="15" t="str">
        <f aca="false">IF($B400="","",IF($F400&lt;&gt;"",$F400,IFERROR(IF(AND(INDEX(Clients!$F$5:$F$204,MATCH($B400,Clients!$A$5:$A$204,0))&amp;""&lt;&gt;"",OR($C400="",$C400=INDEX(Clients!$E$5:$E$204,MATCH($B400,Clients!$A$5:$A$204,0)))),INDEX(Clients!$F$5:$F$204,MATCH($B400,Clients!$A$5:$A$204,0)),INDEX(Settings!$E$5:$E$19,MATCH($J400,Settings!$D$5:$D$19,0))),0)))</f>
        <v/>
      </c>
      <c r="L400" s="15" t="str">
        <f aca="false">IF($B400="","",$K400*IF($D400="",1,$D400)+$E400)</f>
        <v/>
      </c>
      <c r="M400" s="15" t="str">
        <f aca="false">IF($B400="","",ROUND($L400*Settings!$B$9,2))</f>
        <v/>
      </c>
      <c r="N400" s="15" t="str">
        <f aca="false">IF($B400="","",$L400+$M400)</f>
        <v/>
      </c>
      <c r="O400" s="19" t="str">
        <f aca="false">IF($Q400="","",Settings!$B$13&amp;TEXT(ROWS($A$5:$A400),"0000"))</f>
        <v/>
      </c>
      <c r="P400" s="19" t="str">
        <f aca="false">IF($O400="","",IFERROR(INDEX(Invoices!$I$5:$I$504,MATCH($O400,Invoices!$A$5:$A$504,0)),""))</f>
        <v/>
      </c>
      <c r="Q400" s="2" t="str">
        <f aca="false">IF(AND($A400&lt;&gt;"",$B400&lt;&gt;"",$G400="Completed"),COUNTIFS($A$5:$A400,"&lt;&gt;",$B$5:$B400,"&lt;&gt;",$G$5:$G400,"Completed"),"")</f>
        <v/>
      </c>
    </row>
    <row r="401" customFormat="false" ht="15" hidden="false" customHeight="false" outlineLevel="0" collapsed="false">
      <c r="A401" s="16"/>
      <c r="B401" s="12"/>
      <c r="C401" s="17"/>
      <c r="D401" s="18"/>
      <c r="E401" s="13"/>
      <c r="F401" s="13"/>
      <c r="G401" s="12"/>
      <c r="H401" s="12"/>
      <c r="I401" s="19" t="str">
        <f aca="false">IF($B401="","",IFERROR(INDEX(Clients!$D$5:$D$204,MATCH($B401,Clients!$A$5:$A$204,0))&amp;"",""))</f>
        <v/>
      </c>
      <c r="J401" s="19" t="str">
        <f aca="false">IF($B401="","",IF($C401&lt;&gt;"",$C401,IFERROR(INDEX(Clients!$E$5:$E$204,MATCH($B401,Clients!$A$5:$A$204,0))&amp;"","")))</f>
        <v/>
      </c>
      <c r="K401" s="15" t="str">
        <f aca="false">IF($B401="","",IF($F401&lt;&gt;"",$F401,IFERROR(IF(AND(INDEX(Clients!$F$5:$F$204,MATCH($B401,Clients!$A$5:$A$204,0))&amp;""&lt;&gt;"",OR($C401="",$C401=INDEX(Clients!$E$5:$E$204,MATCH($B401,Clients!$A$5:$A$204,0)))),INDEX(Clients!$F$5:$F$204,MATCH($B401,Clients!$A$5:$A$204,0)),INDEX(Settings!$E$5:$E$19,MATCH($J401,Settings!$D$5:$D$19,0))),0)))</f>
        <v/>
      </c>
      <c r="L401" s="15" t="str">
        <f aca="false">IF($B401="","",$K401*IF($D401="",1,$D401)+$E401)</f>
        <v/>
      </c>
      <c r="M401" s="15" t="str">
        <f aca="false">IF($B401="","",ROUND($L401*Settings!$B$9,2))</f>
        <v/>
      </c>
      <c r="N401" s="15" t="str">
        <f aca="false">IF($B401="","",$L401+$M401)</f>
        <v/>
      </c>
      <c r="O401" s="19" t="str">
        <f aca="false">IF($Q401="","",Settings!$B$13&amp;TEXT(ROWS($A$5:$A401),"0000"))</f>
        <v/>
      </c>
      <c r="P401" s="19" t="str">
        <f aca="false">IF($O401="","",IFERROR(INDEX(Invoices!$I$5:$I$504,MATCH($O401,Invoices!$A$5:$A$504,0)),""))</f>
        <v/>
      </c>
      <c r="Q401" s="2" t="str">
        <f aca="false">IF(AND($A401&lt;&gt;"",$B401&lt;&gt;"",$G401="Completed"),COUNTIFS($A$5:$A401,"&lt;&gt;",$B$5:$B401,"&lt;&gt;",$G$5:$G401,"Completed"),"")</f>
        <v/>
      </c>
    </row>
    <row r="402" customFormat="false" ht="15" hidden="false" customHeight="false" outlineLevel="0" collapsed="false">
      <c r="A402" s="16"/>
      <c r="B402" s="12"/>
      <c r="C402" s="17"/>
      <c r="D402" s="18"/>
      <c r="E402" s="13"/>
      <c r="F402" s="13"/>
      <c r="G402" s="12"/>
      <c r="H402" s="12"/>
      <c r="I402" s="19" t="str">
        <f aca="false">IF($B402="","",IFERROR(INDEX(Clients!$D$5:$D$204,MATCH($B402,Clients!$A$5:$A$204,0))&amp;"",""))</f>
        <v/>
      </c>
      <c r="J402" s="19" t="str">
        <f aca="false">IF($B402="","",IF($C402&lt;&gt;"",$C402,IFERROR(INDEX(Clients!$E$5:$E$204,MATCH($B402,Clients!$A$5:$A$204,0))&amp;"","")))</f>
        <v/>
      </c>
      <c r="K402" s="15" t="str">
        <f aca="false">IF($B402="","",IF($F402&lt;&gt;"",$F402,IFERROR(IF(AND(INDEX(Clients!$F$5:$F$204,MATCH($B402,Clients!$A$5:$A$204,0))&amp;""&lt;&gt;"",OR($C402="",$C402=INDEX(Clients!$E$5:$E$204,MATCH($B402,Clients!$A$5:$A$204,0)))),INDEX(Clients!$F$5:$F$204,MATCH($B402,Clients!$A$5:$A$204,0)),INDEX(Settings!$E$5:$E$19,MATCH($J402,Settings!$D$5:$D$19,0))),0)))</f>
        <v/>
      </c>
      <c r="L402" s="15" t="str">
        <f aca="false">IF($B402="","",$K402*IF($D402="",1,$D402)+$E402)</f>
        <v/>
      </c>
      <c r="M402" s="15" t="str">
        <f aca="false">IF($B402="","",ROUND($L402*Settings!$B$9,2))</f>
        <v/>
      </c>
      <c r="N402" s="15" t="str">
        <f aca="false">IF($B402="","",$L402+$M402)</f>
        <v/>
      </c>
      <c r="O402" s="19" t="str">
        <f aca="false">IF($Q402="","",Settings!$B$13&amp;TEXT(ROWS($A$5:$A402),"0000"))</f>
        <v/>
      </c>
      <c r="P402" s="19" t="str">
        <f aca="false">IF($O402="","",IFERROR(INDEX(Invoices!$I$5:$I$504,MATCH($O402,Invoices!$A$5:$A$504,0)),""))</f>
        <v/>
      </c>
      <c r="Q402" s="2" t="str">
        <f aca="false">IF(AND($A402&lt;&gt;"",$B402&lt;&gt;"",$G402="Completed"),COUNTIFS($A$5:$A402,"&lt;&gt;",$B$5:$B402,"&lt;&gt;",$G$5:$G402,"Completed"),"")</f>
        <v/>
      </c>
    </row>
    <row r="403" customFormat="false" ht="15" hidden="false" customHeight="false" outlineLevel="0" collapsed="false">
      <c r="A403" s="16"/>
      <c r="B403" s="12"/>
      <c r="C403" s="17"/>
      <c r="D403" s="18"/>
      <c r="E403" s="13"/>
      <c r="F403" s="13"/>
      <c r="G403" s="12"/>
      <c r="H403" s="12"/>
      <c r="I403" s="19" t="str">
        <f aca="false">IF($B403="","",IFERROR(INDEX(Clients!$D$5:$D$204,MATCH($B403,Clients!$A$5:$A$204,0))&amp;"",""))</f>
        <v/>
      </c>
      <c r="J403" s="19" t="str">
        <f aca="false">IF($B403="","",IF($C403&lt;&gt;"",$C403,IFERROR(INDEX(Clients!$E$5:$E$204,MATCH($B403,Clients!$A$5:$A$204,0))&amp;"","")))</f>
        <v/>
      </c>
      <c r="K403" s="15" t="str">
        <f aca="false">IF($B403="","",IF($F403&lt;&gt;"",$F403,IFERROR(IF(AND(INDEX(Clients!$F$5:$F$204,MATCH($B403,Clients!$A$5:$A$204,0))&amp;""&lt;&gt;"",OR($C403="",$C403=INDEX(Clients!$E$5:$E$204,MATCH($B403,Clients!$A$5:$A$204,0)))),INDEX(Clients!$F$5:$F$204,MATCH($B403,Clients!$A$5:$A$204,0)),INDEX(Settings!$E$5:$E$19,MATCH($J403,Settings!$D$5:$D$19,0))),0)))</f>
        <v/>
      </c>
      <c r="L403" s="15" t="str">
        <f aca="false">IF($B403="","",$K403*IF($D403="",1,$D403)+$E403)</f>
        <v/>
      </c>
      <c r="M403" s="15" t="str">
        <f aca="false">IF($B403="","",ROUND($L403*Settings!$B$9,2))</f>
        <v/>
      </c>
      <c r="N403" s="15" t="str">
        <f aca="false">IF($B403="","",$L403+$M403)</f>
        <v/>
      </c>
      <c r="O403" s="19" t="str">
        <f aca="false">IF($Q403="","",Settings!$B$13&amp;TEXT(ROWS($A$5:$A403),"0000"))</f>
        <v/>
      </c>
      <c r="P403" s="19" t="str">
        <f aca="false">IF($O403="","",IFERROR(INDEX(Invoices!$I$5:$I$504,MATCH($O403,Invoices!$A$5:$A$504,0)),""))</f>
        <v/>
      </c>
      <c r="Q403" s="2" t="str">
        <f aca="false">IF(AND($A403&lt;&gt;"",$B403&lt;&gt;"",$G403="Completed"),COUNTIFS($A$5:$A403,"&lt;&gt;",$B$5:$B403,"&lt;&gt;",$G$5:$G403,"Completed"),"")</f>
        <v/>
      </c>
    </row>
    <row r="404" customFormat="false" ht="15" hidden="false" customHeight="false" outlineLevel="0" collapsed="false">
      <c r="A404" s="16"/>
      <c r="B404" s="12"/>
      <c r="C404" s="17"/>
      <c r="D404" s="18"/>
      <c r="E404" s="13"/>
      <c r="F404" s="13"/>
      <c r="G404" s="12"/>
      <c r="H404" s="12"/>
      <c r="I404" s="19" t="str">
        <f aca="false">IF($B404="","",IFERROR(INDEX(Clients!$D$5:$D$204,MATCH($B404,Clients!$A$5:$A$204,0))&amp;"",""))</f>
        <v/>
      </c>
      <c r="J404" s="19" t="str">
        <f aca="false">IF($B404="","",IF($C404&lt;&gt;"",$C404,IFERROR(INDEX(Clients!$E$5:$E$204,MATCH($B404,Clients!$A$5:$A$204,0))&amp;"","")))</f>
        <v/>
      </c>
      <c r="K404" s="15" t="str">
        <f aca="false">IF($B404="","",IF($F404&lt;&gt;"",$F404,IFERROR(IF(AND(INDEX(Clients!$F$5:$F$204,MATCH($B404,Clients!$A$5:$A$204,0))&amp;""&lt;&gt;"",OR($C404="",$C404=INDEX(Clients!$E$5:$E$204,MATCH($B404,Clients!$A$5:$A$204,0)))),INDEX(Clients!$F$5:$F$204,MATCH($B404,Clients!$A$5:$A$204,0)),INDEX(Settings!$E$5:$E$19,MATCH($J404,Settings!$D$5:$D$19,0))),0)))</f>
        <v/>
      </c>
      <c r="L404" s="15" t="str">
        <f aca="false">IF($B404="","",$K404*IF($D404="",1,$D404)+$E404)</f>
        <v/>
      </c>
      <c r="M404" s="15" t="str">
        <f aca="false">IF($B404="","",ROUND($L404*Settings!$B$9,2))</f>
        <v/>
      </c>
      <c r="N404" s="15" t="str">
        <f aca="false">IF($B404="","",$L404+$M404)</f>
        <v/>
      </c>
      <c r="O404" s="19" t="str">
        <f aca="false">IF($Q404="","",Settings!$B$13&amp;TEXT(ROWS($A$5:$A404),"0000"))</f>
        <v/>
      </c>
      <c r="P404" s="19" t="str">
        <f aca="false">IF($O404="","",IFERROR(INDEX(Invoices!$I$5:$I$504,MATCH($O404,Invoices!$A$5:$A$504,0)),""))</f>
        <v/>
      </c>
      <c r="Q404" s="2" t="str">
        <f aca="false">IF(AND($A404&lt;&gt;"",$B404&lt;&gt;"",$G404="Completed"),COUNTIFS($A$5:$A404,"&lt;&gt;",$B$5:$B404,"&lt;&gt;",$G$5:$G404,"Completed"),"")</f>
        <v/>
      </c>
    </row>
    <row r="405" customFormat="false" ht="15" hidden="false" customHeight="false" outlineLevel="0" collapsed="false">
      <c r="A405" s="16"/>
      <c r="B405" s="12"/>
      <c r="C405" s="17"/>
      <c r="D405" s="18"/>
      <c r="E405" s="13"/>
      <c r="F405" s="13"/>
      <c r="G405" s="12"/>
      <c r="H405" s="12"/>
      <c r="I405" s="19" t="str">
        <f aca="false">IF($B405="","",IFERROR(INDEX(Clients!$D$5:$D$204,MATCH($B405,Clients!$A$5:$A$204,0))&amp;"",""))</f>
        <v/>
      </c>
      <c r="J405" s="19" t="str">
        <f aca="false">IF($B405="","",IF($C405&lt;&gt;"",$C405,IFERROR(INDEX(Clients!$E$5:$E$204,MATCH($B405,Clients!$A$5:$A$204,0))&amp;"","")))</f>
        <v/>
      </c>
      <c r="K405" s="15" t="str">
        <f aca="false">IF($B405="","",IF($F405&lt;&gt;"",$F405,IFERROR(IF(AND(INDEX(Clients!$F$5:$F$204,MATCH($B405,Clients!$A$5:$A$204,0))&amp;""&lt;&gt;"",OR($C405="",$C405=INDEX(Clients!$E$5:$E$204,MATCH($B405,Clients!$A$5:$A$204,0)))),INDEX(Clients!$F$5:$F$204,MATCH($B405,Clients!$A$5:$A$204,0)),INDEX(Settings!$E$5:$E$19,MATCH($J405,Settings!$D$5:$D$19,0))),0)))</f>
        <v/>
      </c>
      <c r="L405" s="15" t="str">
        <f aca="false">IF($B405="","",$K405*IF($D405="",1,$D405)+$E405)</f>
        <v/>
      </c>
      <c r="M405" s="15" t="str">
        <f aca="false">IF($B405="","",ROUND($L405*Settings!$B$9,2))</f>
        <v/>
      </c>
      <c r="N405" s="15" t="str">
        <f aca="false">IF($B405="","",$L405+$M405)</f>
        <v/>
      </c>
      <c r="O405" s="19" t="str">
        <f aca="false">IF($Q405="","",Settings!$B$13&amp;TEXT(ROWS($A$5:$A405),"0000"))</f>
        <v/>
      </c>
      <c r="P405" s="19" t="str">
        <f aca="false">IF($O405="","",IFERROR(INDEX(Invoices!$I$5:$I$504,MATCH($O405,Invoices!$A$5:$A$504,0)),""))</f>
        <v/>
      </c>
      <c r="Q405" s="2" t="str">
        <f aca="false">IF(AND($A405&lt;&gt;"",$B405&lt;&gt;"",$G405="Completed"),COUNTIFS($A$5:$A405,"&lt;&gt;",$B$5:$B405,"&lt;&gt;",$G$5:$G405,"Completed"),"")</f>
        <v/>
      </c>
    </row>
    <row r="406" customFormat="false" ht="15" hidden="false" customHeight="false" outlineLevel="0" collapsed="false">
      <c r="A406" s="16"/>
      <c r="B406" s="12"/>
      <c r="C406" s="17"/>
      <c r="D406" s="18"/>
      <c r="E406" s="13"/>
      <c r="F406" s="13"/>
      <c r="G406" s="12"/>
      <c r="H406" s="12"/>
      <c r="I406" s="19" t="str">
        <f aca="false">IF($B406="","",IFERROR(INDEX(Clients!$D$5:$D$204,MATCH($B406,Clients!$A$5:$A$204,0))&amp;"",""))</f>
        <v/>
      </c>
      <c r="J406" s="19" t="str">
        <f aca="false">IF($B406="","",IF($C406&lt;&gt;"",$C406,IFERROR(INDEX(Clients!$E$5:$E$204,MATCH($B406,Clients!$A$5:$A$204,0))&amp;"","")))</f>
        <v/>
      </c>
      <c r="K406" s="15" t="str">
        <f aca="false">IF($B406="","",IF($F406&lt;&gt;"",$F406,IFERROR(IF(AND(INDEX(Clients!$F$5:$F$204,MATCH($B406,Clients!$A$5:$A$204,0))&amp;""&lt;&gt;"",OR($C406="",$C406=INDEX(Clients!$E$5:$E$204,MATCH($B406,Clients!$A$5:$A$204,0)))),INDEX(Clients!$F$5:$F$204,MATCH($B406,Clients!$A$5:$A$204,0)),INDEX(Settings!$E$5:$E$19,MATCH($J406,Settings!$D$5:$D$19,0))),0)))</f>
        <v/>
      </c>
      <c r="L406" s="15" t="str">
        <f aca="false">IF($B406="","",$K406*IF($D406="",1,$D406)+$E406)</f>
        <v/>
      </c>
      <c r="M406" s="15" t="str">
        <f aca="false">IF($B406="","",ROUND($L406*Settings!$B$9,2))</f>
        <v/>
      </c>
      <c r="N406" s="15" t="str">
        <f aca="false">IF($B406="","",$L406+$M406)</f>
        <v/>
      </c>
      <c r="O406" s="19" t="str">
        <f aca="false">IF($Q406="","",Settings!$B$13&amp;TEXT(ROWS($A$5:$A406),"0000"))</f>
        <v/>
      </c>
      <c r="P406" s="19" t="str">
        <f aca="false">IF($O406="","",IFERROR(INDEX(Invoices!$I$5:$I$504,MATCH($O406,Invoices!$A$5:$A$504,0)),""))</f>
        <v/>
      </c>
      <c r="Q406" s="2" t="str">
        <f aca="false">IF(AND($A406&lt;&gt;"",$B406&lt;&gt;"",$G406="Completed"),COUNTIFS($A$5:$A406,"&lt;&gt;",$B$5:$B406,"&lt;&gt;",$G$5:$G406,"Completed"),"")</f>
        <v/>
      </c>
    </row>
    <row r="407" customFormat="false" ht="15" hidden="false" customHeight="false" outlineLevel="0" collapsed="false">
      <c r="A407" s="16"/>
      <c r="B407" s="12"/>
      <c r="C407" s="17"/>
      <c r="D407" s="18"/>
      <c r="E407" s="13"/>
      <c r="F407" s="13"/>
      <c r="G407" s="12"/>
      <c r="H407" s="12"/>
      <c r="I407" s="19" t="str">
        <f aca="false">IF($B407="","",IFERROR(INDEX(Clients!$D$5:$D$204,MATCH($B407,Clients!$A$5:$A$204,0))&amp;"",""))</f>
        <v/>
      </c>
      <c r="J407" s="19" t="str">
        <f aca="false">IF($B407="","",IF($C407&lt;&gt;"",$C407,IFERROR(INDEX(Clients!$E$5:$E$204,MATCH($B407,Clients!$A$5:$A$204,0))&amp;"","")))</f>
        <v/>
      </c>
      <c r="K407" s="15" t="str">
        <f aca="false">IF($B407="","",IF($F407&lt;&gt;"",$F407,IFERROR(IF(AND(INDEX(Clients!$F$5:$F$204,MATCH($B407,Clients!$A$5:$A$204,0))&amp;""&lt;&gt;"",OR($C407="",$C407=INDEX(Clients!$E$5:$E$204,MATCH($B407,Clients!$A$5:$A$204,0)))),INDEX(Clients!$F$5:$F$204,MATCH($B407,Clients!$A$5:$A$204,0)),INDEX(Settings!$E$5:$E$19,MATCH($J407,Settings!$D$5:$D$19,0))),0)))</f>
        <v/>
      </c>
      <c r="L407" s="15" t="str">
        <f aca="false">IF($B407="","",$K407*IF($D407="",1,$D407)+$E407)</f>
        <v/>
      </c>
      <c r="M407" s="15" t="str">
        <f aca="false">IF($B407="","",ROUND($L407*Settings!$B$9,2))</f>
        <v/>
      </c>
      <c r="N407" s="15" t="str">
        <f aca="false">IF($B407="","",$L407+$M407)</f>
        <v/>
      </c>
      <c r="O407" s="19" t="str">
        <f aca="false">IF($Q407="","",Settings!$B$13&amp;TEXT(ROWS($A$5:$A407),"0000"))</f>
        <v/>
      </c>
      <c r="P407" s="19" t="str">
        <f aca="false">IF($O407="","",IFERROR(INDEX(Invoices!$I$5:$I$504,MATCH($O407,Invoices!$A$5:$A$504,0)),""))</f>
        <v/>
      </c>
      <c r="Q407" s="2" t="str">
        <f aca="false">IF(AND($A407&lt;&gt;"",$B407&lt;&gt;"",$G407="Completed"),COUNTIFS($A$5:$A407,"&lt;&gt;",$B$5:$B407,"&lt;&gt;",$G$5:$G407,"Completed"),"")</f>
        <v/>
      </c>
    </row>
    <row r="408" customFormat="false" ht="15" hidden="false" customHeight="false" outlineLevel="0" collapsed="false">
      <c r="A408" s="16"/>
      <c r="B408" s="12"/>
      <c r="C408" s="17"/>
      <c r="D408" s="18"/>
      <c r="E408" s="13"/>
      <c r="F408" s="13"/>
      <c r="G408" s="12"/>
      <c r="H408" s="12"/>
      <c r="I408" s="19" t="str">
        <f aca="false">IF($B408="","",IFERROR(INDEX(Clients!$D$5:$D$204,MATCH($B408,Clients!$A$5:$A$204,0))&amp;"",""))</f>
        <v/>
      </c>
      <c r="J408" s="19" t="str">
        <f aca="false">IF($B408="","",IF($C408&lt;&gt;"",$C408,IFERROR(INDEX(Clients!$E$5:$E$204,MATCH($B408,Clients!$A$5:$A$204,0))&amp;"","")))</f>
        <v/>
      </c>
      <c r="K408" s="15" t="str">
        <f aca="false">IF($B408="","",IF($F408&lt;&gt;"",$F408,IFERROR(IF(AND(INDEX(Clients!$F$5:$F$204,MATCH($B408,Clients!$A$5:$A$204,0))&amp;""&lt;&gt;"",OR($C408="",$C408=INDEX(Clients!$E$5:$E$204,MATCH($B408,Clients!$A$5:$A$204,0)))),INDEX(Clients!$F$5:$F$204,MATCH($B408,Clients!$A$5:$A$204,0)),INDEX(Settings!$E$5:$E$19,MATCH($J408,Settings!$D$5:$D$19,0))),0)))</f>
        <v/>
      </c>
      <c r="L408" s="15" t="str">
        <f aca="false">IF($B408="","",$K408*IF($D408="",1,$D408)+$E408)</f>
        <v/>
      </c>
      <c r="M408" s="15" t="str">
        <f aca="false">IF($B408="","",ROUND($L408*Settings!$B$9,2))</f>
        <v/>
      </c>
      <c r="N408" s="15" t="str">
        <f aca="false">IF($B408="","",$L408+$M408)</f>
        <v/>
      </c>
      <c r="O408" s="19" t="str">
        <f aca="false">IF($Q408="","",Settings!$B$13&amp;TEXT(ROWS($A$5:$A408),"0000"))</f>
        <v/>
      </c>
      <c r="P408" s="19" t="str">
        <f aca="false">IF($O408="","",IFERROR(INDEX(Invoices!$I$5:$I$504,MATCH($O408,Invoices!$A$5:$A$504,0)),""))</f>
        <v/>
      </c>
      <c r="Q408" s="2" t="str">
        <f aca="false">IF(AND($A408&lt;&gt;"",$B408&lt;&gt;"",$G408="Completed"),COUNTIFS($A$5:$A408,"&lt;&gt;",$B$5:$B408,"&lt;&gt;",$G$5:$G408,"Completed"),"")</f>
        <v/>
      </c>
    </row>
    <row r="409" customFormat="false" ht="15" hidden="false" customHeight="false" outlineLevel="0" collapsed="false">
      <c r="A409" s="16"/>
      <c r="B409" s="12"/>
      <c r="C409" s="17"/>
      <c r="D409" s="18"/>
      <c r="E409" s="13"/>
      <c r="F409" s="13"/>
      <c r="G409" s="12"/>
      <c r="H409" s="12"/>
      <c r="I409" s="19" t="str">
        <f aca="false">IF($B409="","",IFERROR(INDEX(Clients!$D$5:$D$204,MATCH($B409,Clients!$A$5:$A$204,0))&amp;"",""))</f>
        <v/>
      </c>
      <c r="J409" s="19" t="str">
        <f aca="false">IF($B409="","",IF($C409&lt;&gt;"",$C409,IFERROR(INDEX(Clients!$E$5:$E$204,MATCH($B409,Clients!$A$5:$A$204,0))&amp;"","")))</f>
        <v/>
      </c>
      <c r="K409" s="15" t="str">
        <f aca="false">IF($B409="","",IF($F409&lt;&gt;"",$F409,IFERROR(IF(AND(INDEX(Clients!$F$5:$F$204,MATCH($B409,Clients!$A$5:$A$204,0))&amp;""&lt;&gt;"",OR($C409="",$C409=INDEX(Clients!$E$5:$E$204,MATCH($B409,Clients!$A$5:$A$204,0)))),INDEX(Clients!$F$5:$F$204,MATCH($B409,Clients!$A$5:$A$204,0)),INDEX(Settings!$E$5:$E$19,MATCH($J409,Settings!$D$5:$D$19,0))),0)))</f>
        <v/>
      </c>
      <c r="L409" s="15" t="str">
        <f aca="false">IF($B409="","",$K409*IF($D409="",1,$D409)+$E409)</f>
        <v/>
      </c>
      <c r="M409" s="15" t="str">
        <f aca="false">IF($B409="","",ROUND($L409*Settings!$B$9,2))</f>
        <v/>
      </c>
      <c r="N409" s="15" t="str">
        <f aca="false">IF($B409="","",$L409+$M409)</f>
        <v/>
      </c>
      <c r="O409" s="19" t="str">
        <f aca="false">IF($Q409="","",Settings!$B$13&amp;TEXT(ROWS($A$5:$A409),"0000"))</f>
        <v/>
      </c>
      <c r="P409" s="19" t="str">
        <f aca="false">IF($O409="","",IFERROR(INDEX(Invoices!$I$5:$I$504,MATCH($O409,Invoices!$A$5:$A$504,0)),""))</f>
        <v/>
      </c>
      <c r="Q409" s="2" t="str">
        <f aca="false">IF(AND($A409&lt;&gt;"",$B409&lt;&gt;"",$G409="Completed"),COUNTIFS($A$5:$A409,"&lt;&gt;",$B$5:$B409,"&lt;&gt;",$G$5:$G409,"Completed"),"")</f>
        <v/>
      </c>
    </row>
    <row r="410" customFormat="false" ht="15" hidden="false" customHeight="false" outlineLevel="0" collapsed="false">
      <c r="A410" s="16"/>
      <c r="B410" s="12"/>
      <c r="C410" s="17"/>
      <c r="D410" s="18"/>
      <c r="E410" s="13"/>
      <c r="F410" s="13"/>
      <c r="G410" s="12"/>
      <c r="H410" s="12"/>
      <c r="I410" s="19" t="str">
        <f aca="false">IF($B410="","",IFERROR(INDEX(Clients!$D$5:$D$204,MATCH($B410,Clients!$A$5:$A$204,0))&amp;"",""))</f>
        <v/>
      </c>
      <c r="J410" s="19" t="str">
        <f aca="false">IF($B410="","",IF($C410&lt;&gt;"",$C410,IFERROR(INDEX(Clients!$E$5:$E$204,MATCH($B410,Clients!$A$5:$A$204,0))&amp;"","")))</f>
        <v/>
      </c>
      <c r="K410" s="15" t="str">
        <f aca="false">IF($B410="","",IF($F410&lt;&gt;"",$F410,IFERROR(IF(AND(INDEX(Clients!$F$5:$F$204,MATCH($B410,Clients!$A$5:$A$204,0))&amp;""&lt;&gt;"",OR($C410="",$C410=INDEX(Clients!$E$5:$E$204,MATCH($B410,Clients!$A$5:$A$204,0)))),INDEX(Clients!$F$5:$F$204,MATCH($B410,Clients!$A$5:$A$204,0)),INDEX(Settings!$E$5:$E$19,MATCH($J410,Settings!$D$5:$D$19,0))),0)))</f>
        <v/>
      </c>
      <c r="L410" s="15" t="str">
        <f aca="false">IF($B410="","",$K410*IF($D410="",1,$D410)+$E410)</f>
        <v/>
      </c>
      <c r="M410" s="15" t="str">
        <f aca="false">IF($B410="","",ROUND($L410*Settings!$B$9,2))</f>
        <v/>
      </c>
      <c r="N410" s="15" t="str">
        <f aca="false">IF($B410="","",$L410+$M410)</f>
        <v/>
      </c>
      <c r="O410" s="19" t="str">
        <f aca="false">IF($Q410="","",Settings!$B$13&amp;TEXT(ROWS($A$5:$A410),"0000"))</f>
        <v/>
      </c>
      <c r="P410" s="19" t="str">
        <f aca="false">IF($O410="","",IFERROR(INDEX(Invoices!$I$5:$I$504,MATCH($O410,Invoices!$A$5:$A$504,0)),""))</f>
        <v/>
      </c>
      <c r="Q410" s="2" t="str">
        <f aca="false">IF(AND($A410&lt;&gt;"",$B410&lt;&gt;"",$G410="Completed"),COUNTIFS($A$5:$A410,"&lt;&gt;",$B$5:$B410,"&lt;&gt;",$G$5:$G410,"Completed"),"")</f>
        <v/>
      </c>
    </row>
    <row r="411" customFormat="false" ht="15" hidden="false" customHeight="false" outlineLevel="0" collapsed="false">
      <c r="A411" s="16"/>
      <c r="B411" s="12"/>
      <c r="C411" s="17"/>
      <c r="D411" s="18"/>
      <c r="E411" s="13"/>
      <c r="F411" s="13"/>
      <c r="G411" s="12"/>
      <c r="H411" s="12"/>
      <c r="I411" s="19" t="str">
        <f aca="false">IF($B411="","",IFERROR(INDEX(Clients!$D$5:$D$204,MATCH($B411,Clients!$A$5:$A$204,0))&amp;"",""))</f>
        <v/>
      </c>
      <c r="J411" s="19" t="str">
        <f aca="false">IF($B411="","",IF($C411&lt;&gt;"",$C411,IFERROR(INDEX(Clients!$E$5:$E$204,MATCH($B411,Clients!$A$5:$A$204,0))&amp;"","")))</f>
        <v/>
      </c>
      <c r="K411" s="15" t="str">
        <f aca="false">IF($B411="","",IF($F411&lt;&gt;"",$F411,IFERROR(IF(AND(INDEX(Clients!$F$5:$F$204,MATCH($B411,Clients!$A$5:$A$204,0))&amp;""&lt;&gt;"",OR($C411="",$C411=INDEX(Clients!$E$5:$E$204,MATCH($B411,Clients!$A$5:$A$204,0)))),INDEX(Clients!$F$5:$F$204,MATCH($B411,Clients!$A$5:$A$204,0)),INDEX(Settings!$E$5:$E$19,MATCH($J411,Settings!$D$5:$D$19,0))),0)))</f>
        <v/>
      </c>
      <c r="L411" s="15" t="str">
        <f aca="false">IF($B411="","",$K411*IF($D411="",1,$D411)+$E411)</f>
        <v/>
      </c>
      <c r="M411" s="15" t="str">
        <f aca="false">IF($B411="","",ROUND($L411*Settings!$B$9,2))</f>
        <v/>
      </c>
      <c r="N411" s="15" t="str">
        <f aca="false">IF($B411="","",$L411+$M411)</f>
        <v/>
      </c>
      <c r="O411" s="19" t="str">
        <f aca="false">IF($Q411="","",Settings!$B$13&amp;TEXT(ROWS($A$5:$A411),"0000"))</f>
        <v/>
      </c>
      <c r="P411" s="19" t="str">
        <f aca="false">IF($O411="","",IFERROR(INDEX(Invoices!$I$5:$I$504,MATCH($O411,Invoices!$A$5:$A$504,0)),""))</f>
        <v/>
      </c>
      <c r="Q411" s="2" t="str">
        <f aca="false">IF(AND($A411&lt;&gt;"",$B411&lt;&gt;"",$G411="Completed"),COUNTIFS($A$5:$A411,"&lt;&gt;",$B$5:$B411,"&lt;&gt;",$G$5:$G411,"Completed"),"")</f>
        <v/>
      </c>
    </row>
    <row r="412" customFormat="false" ht="15" hidden="false" customHeight="false" outlineLevel="0" collapsed="false">
      <c r="A412" s="16"/>
      <c r="B412" s="12"/>
      <c r="C412" s="17"/>
      <c r="D412" s="18"/>
      <c r="E412" s="13"/>
      <c r="F412" s="13"/>
      <c r="G412" s="12"/>
      <c r="H412" s="12"/>
      <c r="I412" s="19" t="str">
        <f aca="false">IF($B412="","",IFERROR(INDEX(Clients!$D$5:$D$204,MATCH($B412,Clients!$A$5:$A$204,0))&amp;"",""))</f>
        <v/>
      </c>
      <c r="J412" s="19" t="str">
        <f aca="false">IF($B412="","",IF($C412&lt;&gt;"",$C412,IFERROR(INDEX(Clients!$E$5:$E$204,MATCH($B412,Clients!$A$5:$A$204,0))&amp;"","")))</f>
        <v/>
      </c>
      <c r="K412" s="15" t="str">
        <f aca="false">IF($B412="","",IF($F412&lt;&gt;"",$F412,IFERROR(IF(AND(INDEX(Clients!$F$5:$F$204,MATCH($B412,Clients!$A$5:$A$204,0))&amp;""&lt;&gt;"",OR($C412="",$C412=INDEX(Clients!$E$5:$E$204,MATCH($B412,Clients!$A$5:$A$204,0)))),INDEX(Clients!$F$5:$F$204,MATCH($B412,Clients!$A$5:$A$204,0)),INDEX(Settings!$E$5:$E$19,MATCH($J412,Settings!$D$5:$D$19,0))),0)))</f>
        <v/>
      </c>
      <c r="L412" s="15" t="str">
        <f aca="false">IF($B412="","",$K412*IF($D412="",1,$D412)+$E412)</f>
        <v/>
      </c>
      <c r="M412" s="15" t="str">
        <f aca="false">IF($B412="","",ROUND($L412*Settings!$B$9,2))</f>
        <v/>
      </c>
      <c r="N412" s="15" t="str">
        <f aca="false">IF($B412="","",$L412+$M412)</f>
        <v/>
      </c>
      <c r="O412" s="19" t="str">
        <f aca="false">IF($Q412="","",Settings!$B$13&amp;TEXT(ROWS($A$5:$A412),"0000"))</f>
        <v/>
      </c>
      <c r="P412" s="19" t="str">
        <f aca="false">IF($O412="","",IFERROR(INDEX(Invoices!$I$5:$I$504,MATCH($O412,Invoices!$A$5:$A$504,0)),""))</f>
        <v/>
      </c>
      <c r="Q412" s="2" t="str">
        <f aca="false">IF(AND($A412&lt;&gt;"",$B412&lt;&gt;"",$G412="Completed"),COUNTIFS($A$5:$A412,"&lt;&gt;",$B$5:$B412,"&lt;&gt;",$G$5:$G412,"Completed"),"")</f>
        <v/>
      </c>
    </row>
    <row r="413" customFormat="false" ht="15" hidden="false" customHeight="false" outlineLevel="0" collapsed="false">
      <c r="A413" s="16"/>
      <c r="B413" s="12"/>
      <c r="C413" s="17"/>
      <c r="D413" s="18"/>
      <c r="E413" s="13"/>
      <c r="F413" s="13"/>
      <c r="G413" s="12"/>
      <c r="H413" s="12"/>
      <c r="I413" s="19" t="str">
        <f aca="false">IF($B413="","",IFERROR(INDEX(Clients!$D$5:$D$204,MATCH($B413,Clients!$A$5:$A$204,0))&amp;"",""))</f>
        <v/>
      </c>
      <c r="J413" s="19" t="str">
        <f aca="false">IF($B413="","",IF($C413&lt;&gt;"",$C413,IFERROR(INDEX(Clients!$E$5:$E$204,MATCH($B413,Clients!$A$5:$A$204,0))&amp;"","")))</f>
        <v/>
      </c>
      <c r="K413" s="15" t="str">
        <f aca="false">IF($B413="","",IF($F413&lt;&gt;"",$F413,IFERROR(IF(AND(INDEX(Clients!$F$5:$F$204,MATCH($B413,Clients!$A$5:$A$204,0))&amp;""&lt;&gt;"",OR($C413="",$C413=INDEX(Clients!$E$5:$E$204,MATCH($B413,Clients!$A$5:$A$204,0)))),INDEX(Clients!$F$5:$F$204,MATCH($B413,Clients!$A$5:$A$204,0)),INDEX(Settings!$E$5:$E$19,MATCH($J413,Settings!$D$5:$D$19,0))),0)))</f>
        <v/>
      </c>
      <c r="L413" s="15" t="str">
        <f aca="false">IF($B413="","",$K413*IF($D413="",1,$D413)+$E413)</f>
        <v/>
      </c>
      <c r="M413" s="15" t="str">
        <f aca="false">IF($B413="","",ROUND($L413*Settings!$B$9,2))</f>
        <v/>
      </c>
      <c r="N413" s="15" t="str">
        <f aca="false">IF($B413="","",$L413+$M413)</f>
        <v/>
      </c>
      <c r="O413" s="19" t="str">
        <f aca="false">IF($Q413="","",Settings!$B$13&amp;TEXT(ROWS($A$5:$A413),"0000"))</f>
        <v/>
      </c>
      <c r="P413" s="19" t="str">
        <f aca="false">IF($O413="","",IFERROR(INDEX(Invoices!$I$5:$I$504,MATCH($O413,Invoices!$A$5:$A$504,0)),""))</f>
        <v/>
      </c>
      <c r="Q413" s="2" t="str">
        <f aca="false">IF(AND($A413&lt;&gt;"",$B413&lt;&gt;"",$G413="Completed"),COUNTIFS($A$5:$A413,"&lt;&gt;",$B$5:$B413,"&lt;&gt;",$G$5:$G413,"Completed"),"")</f>
        <v/>
      </c>
    </row>
    <row r="414" customFormat="false" ht="15" hidden="false" customHeight="false" outlineLevel="0" collapsed="false">
      <c r="A414" s="16"/>
      <c r="B414" s="12"/>
      <c r="C414" s="17"/>
      <c r="D414" s="18"/>
      <c r="E414" s="13"/>
      <c r="F414" s="13"/>
      <c r="G414" s="12"/>
      <c r="H414" s="12"/>
      <c r="I414" s="19" t="str">
        <f aca="false">IF($B414="","",IFERROR(INDEX(Clients!$D$5:$D$204,MATCH($B414,Clients!$A$5:$A$204,0))&amp;"",""))</f>
        <v/>
      </c>
      <c r="J414" s="19" t="str">
        <f aca="false">IF($B414="","",IF($C414&lt;&gt;"",$C414,IFERROR(INDEX(Clients!$E$5:$E$204,MATCH($B414,Clients!$A$5:$A$204,0))&amp;"","")))</f>
        <v/>
      </c>
      <c r="K414" s="15" t="str">
        <f aca="false">IF($B414="","",IF($F414&lt;&gt;"",$F414,IFERROR(IF(AND(INDEX(Clients!$F$5:$F$204,MATCH($B414,Clients!$A$5:$A$204,0))&amp;""&lt;&gt;"",OR($C414="",$C414=INDEX(Clients!$E$5:$E$204,MATCH($B414,Clients!$A$5:$A$204,0)))),INDEX(Clients!$F$5:$F$204,MATCH($B414,Clients!$A$5:$A$204,0)),INDEX(Settings!$E$5:$E$19,MATCH($J414,Settings!$D$5:$D$19,0))),0)))</f>
        <v/>
      </c>
      <c r="L414" s="15" t="str">
        <f aca="false">IF($B414="","",$K414*IF($D414="",1,$D414)+$E414)</f>
        <v/>
      </c>
      <c r="M414" s="15" t="str">
        <f aca="false">IF($B414="","",ROUND($L414*Settings!$B$9,2))</f>
        <v/>
      </c>
      <c r="N414" s="15" t="str">
        <f aca="false">IF($B414="","",$L414+$M414)</f>
        <v/>
      </c>
      <c r="O414" s="19" t="str">
        <f aca="false">IF($Q414="","",Settings!$B$13&amp;TEXT(ROWS($A$5:$A414),"0000"))</f>
        <v/>
      </c>
      <c r="P414" s="19" t="str">
        <f aca="false">IF($O414="","",IFERROR(INDEX(Invoices!$I$5:$I$504,MATCH($O414,Invoices!$A$5:$A$504,0)),""))</f>
        <v/>
      </c>
      <c r="Q414" s="2" t="str">
        <f aca="false">IF(AND($A414&lt;&gt;"",$B414&lt;&gt;"",$G414="Completed"),COUNTIFS($A$5:$A414,"&lt;&gt;",$B$5:$B414,"&lt;&gt;",$G$5:$G414,"Completed"),"")</f>
        <v/>
      </c>
    </row>
    <row r="415" customFormat="false" ht="15" hidden="false" customHeight="false" outlineLevel="0" collapsed="false">
      <c r="A415" s="16"/>
      <c r="B415" s="12"/>
      <c r="C415" s="17"/>
      <c r="D415" s="18"/>
      <c r="E415" s="13"/>
      <c r="F415" s="13"/>
      <c r="G415" s="12"/>
      <c r="H415" s="12"/>
      <c r="I415" s="19" t="str">
        <f aca="false">IF($B415="","",IFERROR(INDEX(Clients!$D$5:$D$204,MATCH($B415,Clients!$A$5:$A$204,0))&amp;"",""))</f>
        <v/>
      </c>
      <c r="J415" s="19" t="str">
        <f aca="false">IF($B415="","",IF($C415&lt;&gt;"",$C415,IFERROR(INDEX(Clients!$E$5:$E$204,MATCH($B415,Clients!$A$5:$A$204,0))&amp;"","")))</f>
        <v/>
      </c>
      <c r="K415" s="15" t="str">
        <f aca="false">IF($B415="","",IF($F415&lt;&gt;"",$F415,IFERROR(IF(AND(INDEX(Clients!$F$5:$F$204,MATCH($B415,Clients!$A$5:$A$204,0))&amp;""&lt;&gt;"",OR($C415="",$C415=INDEX(Clients!$E$5:$E$204,MATCH($B415,Clients!$A$5:$A$204,0)))),INDEX(Clients!$F$5:$F$204,MATCH($B415,Clients!$A$5:$A$204,0)),INDEX(Settings!$E$5:$E$19,MATCH($J415,Settings!$D$5:$D$19,0))),0)))</f>
        <v/>
      </c>
      <c r="L415" s="15" t="str">
        <f aca="false">IF($B415="","",$K415*IF($D415="",1,$D415)+$E415)</f>
        <v/>
      </c>
      <c r="M415" s="15" t="str">
        <f aca="false">IF($B415="","",ROUND($L415*Settings!$B$9,2))</f>
        <v/>
      </c>
      <c r="N415" s="15" t="str">
        <f aca="false">IF($B415="","",$L415+$M415)</f>
        <v/>
      </c>
      <c r="O415" s="19" t="str">
        <f aca="false">IF($Q415="","",Settings!$B$13&amp;TEXT(ROWS($A$5:$A415),"0000"))</f>
        <v/>
      </c>
      <c r="P415" s="19" t="str">
        <f aca="false">IF($O415="","",IFERROR(INDEX(Invoices!$I$5:$I$504,MATCH($O415,Invoices!$A$5:$A$504,0)),""))</f>
        <v/>
      </c>
      <c r="Q415" s="2" t="str">
        <f aca="false">IF(AND($A415&lt;&gt;"",$B415&lt;&gt;"",$G415="Completed"),COUNTIFS($A$5:$A415,"&lt;&gt;",$B$5:$B415,"&lt;&gt;",$G$5:$G415,"Completed"),"")</f>
        <v/>
      </c>
    </row>
    <row r="416" customFormat="false" ht="15" hidden="false" customHeight="false" outlineLevel="0" collapsed="false">
      <c r="A416" s="16"/>
      <c r="B416" s="12"/>
      <c r="C416" s="17"/>
      <c r="D416" s="18"/>
      <c r="E416" s="13"/>
      <c r="F416" s="13"/>
      <c r="G416" s="12"/>
      <c r="H416" s="12"/>
      <c r="I416" s="19" t="str">
        <f aca="false">IF($B416="","",IFERROR(INDEX(Clients!$D$5:$D$204,MATCH($B416,Clients!$A$5:$A$204,0))&amp;"",""))</f>
        <v/>
      </c>
      <c r="J416" s="19" t="str">
        <f aca="false">IF($B416="","",IF($C416&lt;&gt;"",$C416,IFERROR(INDEX(Clients!$E$5:$E$204,MATCH($B416,Clients!$A$5:$A$204,0))&amp;"","")))</f>
        <v/>
      </c>
      <c r="K416" s="15" t="str">
        <f aca="false">IF($B416="","",IF($F416&lt;&gt;"",$F416,IFERROR(IF(AND(INDEX(Clients!$F$5:$F$204,MATCH($B416,Clients!$A$5:$A$204,0))&amp;""&lt;&gt;"",OR($C416="",$C416=INDEX(Clients!$E$5:$E$204,MATCH($B416,Clients!$A$5:$A$204,0)))),INDEX(Clients!$F$5:$F$204,MATCH($B416,Clients!$A$5:$A$204,0)),INDEX(Settings!$E$5:$E$19,MATCH($J416,Settings!$D$5:$D$19,0))),0)))</f>
        <v/>
      </c>
      <c r="L416" s="15" t="str">
        <f aca="false">IF($B416="","",$K416*IF($D416="",1,$D416)+$E416)</f>
        <v/>
      </c>
      <c r="M416" s="15" t="str">
        <f aca="false">IF($B416="","",ROUND($L416*Settings!$B$9,2))</f>
        <v/>
      </c>
      <c r="N416" s="15" t="str">
        <f aca="false">IF($B416="","",$L416+$M416)</f>
        <v/>
      </c>
      <c r="O416" s="19" t="str">
        <f aca="false">IF($Q416="","",Settings!$B$13&amp;TEXT(ROWS($A$5:$A416),"0000"))</f>
        <v/>
      </c>
      <c r="P416" s="19" t="str">
        <f aca="false">IF($O416="","",IFERROR(INDEX(Invoices!$I$5:$I$504,MATCH($O416,Invoices!$A$5:$A$504,0)),""))</f>
        <v/>
      </c>
      <c r="Q416" s="2" t="str">
        <f aca="false">IF(AND($A416&lt;&gt;"",$B416&lt;&gt;"",$G416="Completed"),COUNTIFS($A$5:$A416,"&lt;&gt;",$B$5:$B416,"&lt;&gt;",$G$5:$G416,"Completed"),"")</f>
        <v/>
      </c>
    </row>
    <row r="417" customFormat="false" ht="15" hidden="false" customHeight="false" outlineLevel="0" collapsed="false">
      <c r="A417" s="16"/>
      <c r="B417" s="12"/>
      <c r="C417" s="17"/>
      <c r="D417" s="18"/>
      <c r="E417" s="13"/>
      <c r="F417" s="13"/>
      <c r="G417" s="12"/>
      <c r="H417" s="12"/>
      <c r="I417" s="19" t="str">
        <f aca="false">IF($B417="","",IFERROR(INDEX(Clients!$D$5:$D$204,MATCH($B417,Clients!$A$5:$A$204,0))&amp;"",""))</f>
        <v/>
      </c>
      <c r="J417" s="19" t="str">
        <f aca="false">IF($B417="","",IF($C417&lt;&gt;"",$C417,IFERROR(INDEX(Clients!$E$5:$E$204,MATCH($B417,Clients!$A$5:$A$204,0))&amp;"","")))</f>
        <v/>
      </c>
      <c r="K417" s="15" t="str">
        <f aca="false">IF($B417="","",IF($F417&lt;&gt;"",$F417,IFERROR(IF(AND(INDEX(Clients!$F$5:$F$204,MATCH($B417,Clients!$A$5:$A$204,0))&amp;""&lt;&gt;"",OR($C417="",$C417=INDEX(Clients!$E$5:$E$204,MATCH($B417,Clients!$A$5:$A$204,0)))),INDEX(Clients!$F$5:$F$204,MATCH($B417,Clients!$A$5:$A$204,0)),INDEX(Settings!$E$5:$E$19,MATCH($J417,Settings!$D$5:$D$19,0))),0)))</f>
        <v/>
      </c>
      <c r="L417" s="15" t="str">
        <f aca="false">IF($B417="","",$K417*IF($D417="",1,$D417)+$E417)</f>
        <v/>
      </c>
      <c r="M417" s="15" t="str">
        <f aca="false">IF($B417="","",ROUND($L417*Settings!$B$9,2))</f>
        <v/>
      </c>
      <c r="N417" s="15" t="str">
        <f aca="false">IF($B417="","",$L417+$M417)</f>
        <v/>
      </c>
      <c r="O417" s="19" t="str">
        <f aca="false">IF($Q417="","",Settings!$B$13&amp;TEXT(ROWS($A$5:$A417),"0000"))</f>
        <v/>
      </c>
      <c r="P417" s="19" t="str">
        <f aca="false">IF($O417="","",IFERROR(INDEX(Invoices!$I$5:$I$504,MATCH($O417,Invoices!$A$5:$A$504,0)),""))</f>
        <v/>
      </c>
      <c r="Q417" s="2" t="str">
        <f aca="false">IF(AND($A417&lt;&gt;"",$B417&lt;&gt;"",$G417="Completed"),COUNTIFS($A$5:$A417,"&lt;&gt;",$B$5:$B417,"&lt;&gt;",$G$5:$G417,"Completed"),"")</f>
        <v/>
      </c>
    </row>
    <row r="418" customFormat="false" ht="15" hidden="false" customHeight="false" outlineLevel="0" collapsed="false">
      <c r="A418" s="16"/>
      <c r="B418" s="12"/>
      <c r="C418" s="17"/>
      <c r="D418" s="18"/>
      <c r="E418" s="13"/>
      <c r="F418" s="13"/>
      <c r="G418" s="12"/>
      <c r="H418" s="12"/>
      <c r="I418" s="19" t="str">
        <f aca="false">IF($B418="","",IFERROR(INDEX(Clients!$D$5:$D$204,MATCH($B418,Clients!$A$5:$A$204,0))&amp;"",""))</f>
        <v/>
      </c>
      <c r="J418" s="19" t="str">
        <f aca="false">IF($B418="","",IF($C418&lt;&gt;"",$C418,IFERROR(INDEX(Clients!$E$5:$E$204,MATCH($B418,Clients!$A$5:$A$204,0))&amp;"","")))</f>
        <v/>
      </c>
      <c r="K418" s="15" t="str">
        <f aca="false">IF($B418="","",IF($F418&lt;&gt;"",$F418,IFERROR(IF(AND(INDEX(Clients!$F$5:$F$204,MATCH($B418,Clients!$A$5:$A$204,0))&amp;""&lt;&gt;"",OR($C418="",$C418=INDEX(Clients!$E$5:$E$204,MATCH($B418,Clients!$A$5:$A$204,0)))),INDEX(Clients!$F$5:$F$204,MATCH($B418,Clients!$A$5:$A$204,0)),INDEX(Settings!$E$5:$E$19,MATCH($J418,Settings!$D$5:$D$19,0))),0)))</f>
        <v/>
      </c>
      <c r="L418" s="15" t="str">
        <f aca="false">IF($B418="","",$K418*IF($D418="",1,$D418)+$E418)</f>
        <v/>
      </c>
      <c r="M418" s="15" t="str">
        <f aca="false">IF($B418="","",ROUND($L418*Settings!$B$9,2))</f>
        <v/>
      </c>
      <c r="N418" s="15" t="str">
        <f aca="false">IF($B418="","",$L418+$M418)</f>
        <v/>
      </c>
      <c r="O418" s="19" t="str">
        <f aca="false">IF($Q418="","",Settings!$B$13&amp;TEXT(ROWS($A$5:$A418),"0000"))</f>
        <v/>
      </c>
      <c r="P418" s="19" t="str">
        <f aca="false">IF($O418="","",IFERROR(INDEX(Invoices!$I$5:$I$504,MATCH($O418,Invoices!$A$5:$A$504,0)),""))</f>
        <v/>
      </c>
      <c r="Q418" s="2" t="str">
        <f aca="false">IF(AND($A418&lt;&gt;"",$B418&lt;&gt;"",$G418="Completed"),COUNTIFS($A$5:$A418,"&lt;&gt;",$B$5:$B418,"&lt;&gt;",$G$5:$G418,"Completed"),"")</f>
        <v/>
      </c>
    </row>
    <row r="419" customFormat="false" ht="15" hidden="false" customHeight="false" outlineLevel="0" collapsed="false">
      <c r="A419" s="16"/>
      <c r="B419" s="12"/>
      <c r="C419" s="17"/>
      <c r="D419" s="18"/>
      <c r="E419" s="13"/>
      <c r="F419" s="13"/>
      <c r="G419" s="12"/>
      <c r="H419" s="12"/>
      <c r="I419" s="19" t="str">
        <f aca="false">IF($B419="","",IFERROR(INDEX(Clients!$D$5:$D$204,MATCH($B419,Clients!$A$5:$A$204,0))&amp;"",""))</f>
        <v/>
      </c>
      <c r="J419" s="19" t="str">
        <f aca="false">IF($B419="","",IF($C419&lt;&gt;"",$C419,IFERROR(INDEX(Clients!$E$5:$E$204,MATCH($B419,Clients!$A$5:$A$204,0))&amp;"","")))</f>
        <v/>
      </c>
      <c r="K419" s="15" t="str">
        <f aca="false">IF($B419="","",IF($F419&lt;&gt;"",$F419,IFERROR(IF(AND(INDEX(Clients!$F$5:$F$204,MATCH($B419,Clients!$A$5:$A$204,0))&amp;""&lt;&gt;"",OR($C419="",$C419=INDEX(Clients!$E$5:$E$204,MATCH($B419,Clients!$A$5:$A$204,0)))),INDEX(Clients!$F$5:$F$204,MATCH($B419,Clients!$A$5:$A$204,0)),INDEX(Settings!$E$5:$E$19,MATCH($J419,Settings!$D$5:$D$19,0))),0)))</f>
        <v/>
      </c>
      <c r="L419" s="15" t="str">
        <f aca="false">IF($B419="","",$K419*IF($D419="",1,$D419)+$E419)</f>
        <v/>
      </c>
      <c r="M419" s="15" t="str">
        <f aca="false">IF($B419="","",ROUND($L419*Settings!$B$9,2))</f>
        <v/>
      </c>
      <c r="N419" s="15" t="str">
        <f aca="false">IF($B419="","",$L419+$M419)</f>
        <v/>
      </c>
      <c r="O419" s="19" t="str">
        <f aca="false">IF($Q419="","",Settings!$B$13&amp;TEXT(ROWS($A$5:$A419),"0000"))</f>
        <v/>
      </c>
      <c r="P419" s="19" t="str">
        <f aca="false">IF($O419="","",IFERROR(INDEX(Invoices!$I$5:$I$504,MATCH($O419,Invoices!$A$5:$A$504,0)),""))</f>
        <v/>
      </c>
      <c r="Q419" s="2" t="str">
        <f aca="false">IF(AND($A419&lt;&gt;"",$B419&lt;&gt;"",$G419="Completed"),COUNTIFS($A$5:$A419,"&lt;&gt;",$B$5:$B419,"&lt;&gt;",$G$5:$G419,"Completed"),"")</f>
        <v/>
      </c>
    </row>
    <row r="420" customFormat="false" ht="15" hidden="false" customHeight="false" outlineLevel="0" collapsed="false">
      <c r="A420" s="16"/>
      <c r="B420" s="12"/>
      <c r="C420" s="17"/>
      <c r="D420" s="18"/>
      <c r="E420" s="13"/>
      <c r="F420" s="13"/>
      <c r="G420" s="12"/>
      <c r="H420" s="12"/>
      <c r="I420" s="19" t="str">
        <f aca="false">IF($B420="","",IFERROR(INDEX(Clients!$D$5:$D$204,MATCH($B420,Clients!$A$5:$A$204,0))&amp;"",""))</f>
        <v/>
      </c>
      <c r="J420" s="19" t="str">
        <f aca="false">IF($B420="","",IF($C420&lt;&gt;"",$C420,IFERROR(INDEX(Clients!$E$5:$E$204,MATCH($B420,Clients!$A$5:$A$204,0))&amp;"","")))</f>
        <v/>
      </c>
      <c r="K420" s="15" t="str">
        <f aca="false">IF($B420="","",IF($F420&lt;&gt;"",$F420,IFERROR(IF(AND(INDEX(Clients!$F$5:$F$204,MATCH($B420,Clients!$A$5:$A$204,0))&amp;""&lt;&gt;"",OR($C420="",$C420=INDEX(Clients!$E$5:$E$204,MATCH($B420,Clients!$A$5:$A$204,0)))),INDEX(Clients!$F$5:$F$204,MATCH($B420,Clients!$A$5:$A$204,0)),INDEX(Settings!$E$5:$E$19,MATCH($J420,Settings!$D$5:$D$19,0))),0)))</f>
        <v/>
      </c>
      <c r="L420" s="15" t="str">
        <f aca="false">IF($B420="","",$K420*IF($D420="",1,$D420)+$E420)</f>
        <v/>
      </c>
      <c r="M420" s="15" t="str">
        <f aca="false">IF($B420="","",ROUND($L420*Settings!$B$9,2))</f>
        <v/>
      </c>
      <c r="N420" s="15" t="str">
        <f aca="false">IF($B420="","",$L420+$M420)</f>
        <v/>
      </c>
      <c r="O420" s="19" t="str">
        <f aca="false">IF($Q420="","",Settings!$B$13&amp;TEXT(ROWS($A$5:$A420),"0000"))</f>
        <v/>
      </c>
      <c r="P420" s="19" t="str">
        <f aca="false">IF($O420="","",IFERROR(INDEX(Invoices!$I$5:$I$504,MATCH($O420,Invoices!$A$5:$A$504,0)),""))</f>
        <v/>
      </c>
      <c r="Q420" s="2" t="str">
        <f aca="false">IF(AND($A420&lt;&gt;"",$B420&lt;&gt;"",$G420="Completed"),COUNTIFS($A$5:$A420,"&lt;&gt;",$B$5:$B420,"&lt;&gt;",$G$5:$G420,"Completed"),"")</f>
        <v/>
      </c>
    </row>
    <row r="421" customFormat="false" ht="15" hidden="false" customHeight="false" outlineLevel="0" collapsed="false">
      <c r="A421" s="16"/>
      <c r="B421" s="12"/>
      <c r="C421" s="17"/>
      <c r="D421" s="18"/>
      <c r="E421" s="13"/>
      <c r="F421" s="13"/>
      <c r="G421" s="12"/>
      <c r="H421" s="12"/>
      <c r="I421" s="19" t="str">
        <f aca="false">IF($B421="","",IFERROR(INDEX(Clients!$D$5:$D$204,MATCH($B421,Clients!$A$5:$A$204,0))&amp;"",""))</f>
        <v/>
      </c>
      <c r="J421" s="19" t="str">
        <f aca="false">IF($B421="","",IF($C421&lt;&gt;"",$C421,IFERROR(INDEX(Clients!$E$5:$E$204,MATCH($B421,Clients!$A$5:$A$204,0))&amp;"","")))</f>
        <v/>
      </c>
      <c r="K421" s="15" t="str">
        <f aca="false">IF($B421="","",IF($F421&lt;&gt;"",$F421,IFERROR(IF(AND(INDEX(Clients!$F$5:$F$204,MATCH($B421,Clients!$A$5:$A$204,0))&amp;""&lt;&gt;"",OR($C421="",$C421=INDEX(Clients!$E$5:$E$204,MATCH($B421,Clients!$A$5:$A$204,0)))),INDEX(Clients!$F$5:$F$204,MATCH($B421,Clients!$A$5:$A$204,0)),INDEX(Settings!$E$5:$E$19,MATCH($J421,Settings!$D$5:$D$19,0))),0)))</f>
        <v/>
      </c>
      <c r="L421" s="15" t="str">
        <f aca="false">IF($B421="","",$K421*IF($D421="",1,$D421)+$E421)</f>
        <v/>
      </c>
      <c r="M421" s="15" t="str">
        <f aca="false">IF($B421="","",ROUND($L421*Settings!$B$9,2))</f>
        <v/>
      </c>
      <c r="N421" s="15" t="str">
        <f aca="false">IF($B421="","",$L421+$M421)</f>
        <v/>
      </c>
      <c r="O421" s="19" t="str">
        <f aca="false">IF($Q421="","",Settings!$B$13&amp;TEXT(ROWS($A$5:$A421),"0000"))</f>
        <v/>
      </c>
      <c r="P421" s="19" t="str">
        <f aca="false">IF($O421="","",IFERROR(INDEX(Invoices!$I$5:$I$504,MATCH($O421,Invoices!$A$5:$A$504,0)),""))</f>
        <v/>
      </c>
      <c r="Q421" s="2" t="str">
        <f aca="false">IF(AND($A421&lt;&gt;"",$B421&lt;&gt;"",$G421="Completed"),COUNTIFS($A$5:$A421,"&lt;&gt;",$B$5:$B421,"&lt;&gt;",$G$5:$G421,"Completed"),"")</f>
        <v/>
      </c>
    </row>
    <row r="422" customFormat="false" ht="15" hidden="false" customHeight="false" outlineLevel="0" collapsed="false">
      <c r="A422" s="16"/>
      <c r="B422" s="12"/>
      <c r="C422" s="17"/>
      <c r="D422" s="18"/>
      <c r="E422" s="13"/>
      <c r="F422" s="13"/>
      <c r="G422" s="12"/>
      <c r="H422" s="12"/>
      <c r="I422" s="19" t="str">
        <f aca="false">IF($B422="","",IFERROR(INDEX(Clients!$D$5:$D$204,MATCH($B422,Clients!$A$5:$A$204,0))&amp;"",""))</f>
        <v/>
      </c>
      <c r="J422" s="19" t="str">
        <f aca="false">IF($B422="","",IF($C422&lt;&gt;"",$C422,IFERROR(INDEX(Clients!$E$5:$E$204,MATCH($B422,Clients!$A$5:$A$204,0))&amp;"","")))</f>
        <v/>
      </c>
      <c r="K422" s="15" t="str">
        <f aca="false">IF($B422="","",IF($F422&lt;&gt;"",$F422,IFERROR(IF(AND(INDEX(Clients!$F$5:$F$204,MATCH($B422,Clients!$A$5:$A$204,0))&amp;""&lt;&gt;"",OR($C422="",$C422=INDEX(Clients!$E$5:$E$204,MATCH($B422,Clients!$A$5:$A$204,0)))),INDEX(Clients!$F$5:$F$204,MATCH($B422,Clients!$A$5:$A$204,0)),INDEX(Settings!$E$5:$E$19,MATCH($J422,Settings!$D$5:$D$19,0))),0)))</f>
        <v/>
      </c>
      <c r="L422" s="15" t="str">
        <f aca="false">IF($B422="","",$K422*IF($D422="",1,$D422)+$E422)</f>
        <v/>
      </c>
      <c r="M422" s="15" t="str">
        <f aca="false">IF($B422="","",ROUND($L422*Settings!$B$9,2))</f>
        <v/>
      </c>
      <c r="N422" s="15" t="str">
        <f aca="false">IF($B422="","",$L422+$M422)</f>
        <v/>
      </c>
      <c r="O422" s="19" t="str">
        <f aca="false">IF($Q422="","",Settings!$B$13&amp;TEXT(ROWS($A$5:$A422),"0000"))</f>
        <v/>
      </c>
      <c r="P422" s="19" t="str">
        <f aca="false">IF($O422="","",IFERROR(INDEX(Invoices!$I$5:$I$504,MATCH($O422,Invoices!$A$5:$A$504,0)),""))</f>
        <v/>
      </c>
      <c r="Q422" s="2" t="str">
        <f aca="false">IF(AND($A422&lt;&gt;"",$B422&lt;&gt;"",$G422="Completed"),COUNTIFS($A$5:$A422,"&lt;&gt;",$B$5:$B422,"&lt;&gt;",$G$5:$G422,"Completed"),"")</f>
        <v/>
      </c>
    </row>
    <row r="423" customFormat="false" ht="15" hidden="false" customHeight="false" outlineLevel="0" collapsed="false">
      <c r="A423" s="16"/>
      <c r="B423" s="12"/>
      <c r="C423" s="17"/>
      <c r="D423" s="18"/>
      <c r="E423" s="13"/>
      <c r="F423" s="13"/>
      <c r="G423" s="12"/>
      <c r="H423" s="12"/>
      <c r="I423" s="19" t="str">
        <f aca="false">IF($B423="","",IFERROR(INDEX(Clients!$D$5:$D$204,MATCH($B423,Clients!$A$5:$A$204,0))&amp;"",""))</f>
        <v/>
      </c>
      <c r="J423" s="19" t="str">
        <f aca="false">IF($B423="","",IF($C423&lt;&gt;"",$C423,IFERROR(INDEX(Clients!$E$5:$E$204,MATCH($B423,Clients!$A$5:$A$204,0))&amp;"","")))</f>
        <v/>
      </c>
      <c r="K423" s="15" t="str">
        <f aca="false">IF($B423="","",IF($F423&lt;&gt;"",$F423,IFERROR(IF(AND(INDEX(Clients!$F$5:$F$204,MATCH($B423,Clients!$A$5:$A$204,0))&amp;""&lt;&gt;"",OR($C423="",$C423=INDEX(Clients!$E$5:$E$204,MATCH($B423,Clients!$A$5:$A$204,0)))),INDEX(Clients!$F$5:$F$204,MATCH($B423,Clients!$A$5:$A$204,0)),INDEX(Settings!$E$5:$E$19,MATCH($J423,Settings!$D$5:$D$19,0))),0)))</f>
        <v/>
      </c>
      <c r="L423" s="15" t="str">
        <f aca="false">IF($B423="","",$K423*IF($D423="",1,$D423)+$E423)</f>
        <v/>
      </c>
      <c r="M423" s="15" t="str">
        <f aca="false">IF($B423="","",ROUND($L423*Settings!$B$9,2))</f>
        <v/>
      </c>
      <c r="N423" s="15" t="str">
        <f aca="false">IF($B423="","",$L423+$M423)</f>
        <v/>
      </c>
      <c r="O423" s="19" t="str">
        <f aca="false">IF($Q423="","",Settings!$B$13&amp;TEXT(ROWS($A$5:$A423),"0000"))</f>
        <v/>
      </c>
      <c r="P423" s="19" t="str">
        <f aca="false">IF($O423="","",IFERROR(INDEX(Invoices!$I$5:$I$504,MATCH($O423,Invoices!$A$5:$A$504,0)),""))</f>
        <v/>
      </c>
      <c r="Q423" s="2" t="str">
        <f aca="false">IF(AND($A423&lt;&gt;"",$B423&lt;&gt;"",$G423="Completed"),COUNTIFS($A$5:$A423,"&lt;&gt;",$B$5:$B423,"&lt;&gt;",$G$5:$G423,"Completed"),"")</f>
        <v/>
      </c>
    </row>
    <row r="424" customFormat="false" ht="15" hidden="false" customHeight="false" outlineLevel="0" collapsed="false">
      <c r="A424" s="16"/>
      <c r="B424" s="12"/>
      <c r="C424" s="17"/>
      <c r="D424" s="18"/>
      <c r="E424" s="13"/>
      <c r="F424" s="13"/>
      <c r="G424" s="12"/>
      <c r="H424" s="12"/>
      <c r="I424" s="19" t="str">
        <f aca="false">IF($B424="","",IFERROR(INDEX(Clients!$D$5:$D$204,MATCH($B424,Clients!$A$5:$A$204,0))&amp;"",""))</f>
        <v/>
      </c>
      <c r="J424" s="19" t="str">
        <f aca="false">IF($B424="","",IF($C424&lt;&gt;"",$C424,IFERROR(INDEX(Clients!$E$5:$E$204,MATCH($B424,Clients!$A$5:$A$204,0))&amp;"","")))</f>
        <v/>
      </c>
      <c r="K424" s="15" t="str">
        <f aca="false">IF($B424="","",IF($F424&lt;&gt;"",$F424,IFERROR(IF(AND(INDEX(Clients!$F$5:$F$204,MATCH($B424,Clients!$A$5:$A$204,0))&amp;""&lt;&gt;"",OR($C424="",$C424=INDEX(Clients!$E$5:$E$204,MATCH($B424,Clients!$A$5:$A$204,0)))),INDEX(Clients!$F$5:$F$204,MATCH($B424,Clients!$A$5:$A$204,0)),INDEX(Settings!$E$5:$E$19,MATCH($J424,Settings!$D$5:$D$19,0))),0)))</f>
        <v/>
      </c>
      <c r="L424" s="15" t="str">
        <f aca="false">IF($B424="","",$K424*IF($D424="",1,$D424)+$E424)</f>
        <v/>
      </c>
      <c r="M424" s="15" t="str">
        <f aca="false">IF($B424="","",ROUND($L424*Settings!$B$9,2))</f>
        <v/>
      </c>
      <c r="N424" s="15" t="str">
        <f aca="false">IF($B424="","",$L424+$M424)</f>
        <v/>
      </c>
      <c r="O424" s="19" t="str">
        <f aca="false">IF($Q424="","",Settings!$B$13&amp;TEXT(ROWS($A$5:$A424),"0000"))</f>
        <v/>
      </c>
      <c r="P424" s="19" t="str">
        <f aca="false">IF($O424="","",IFERROR(INDEX(Invoices!$I$5:$I$504,MATCH($O424,Invoices!$A$5:$A$504,0)),""))</f>
        <v/>
      </c>
      <c r="Q424" s="2" t="str">
        <f aca="false">IF(AND($A424&lt;&gt;"",$B424&lt;&gt;"",$G424="Completed"),COUNTIFS($A$5:$A424,"&lt;&gt;",$B$5:$B424,"&lt;&gt;",$G$5:$G424,"Completed"),"")</f>
        <v/>
      </c>
    </row>
    <row r="425" customFormat="false" ht="15" hidden="false" customHeight="false" outlineLevel="0" collapsed="false">
      <c r="A425" s="16"/>
      <c r="B425" s="12"/>
      <c r="C425" s="17"/>
      <c r="D425" s="18"/>
      <c r="E425" s="13"/>
      <c r="F425" s="13"/>
      <c r="G425" s="12"/>
      <c r="H425" s="12"/>
      <c r="I425" s="19" t="str">
        <f aca="false">IF($B425="","",IFERROR(INDEX(Clients!$D$5:$D$204,MATCH($B425,Clients!$A$5:$A$204,0))&amp;"",""))</f>
        <v/>
      </c>
      <c r="J425" s="19" t="str">
        <f aca="false">IF($B425="","",IF($C425&lt;&gt;"",$C425,IFERROR(INDEX(Clients!$E$5:$E$204,MATCH($B425,Clients!$A$5:$A$204,0))&amp;"","")))</f>
        <v/>
      </c>
      <c r="K425" s="15" t="str">
        <f aca="false">IF($B425="","",IF($F425&lt;&gt;"",$F425,IFERROR(IF(AND(INDEX(Clients!$F$5:$F$204,MATCH($B425,Clients!$A$5:$A$204,0))&amp;""&lt;&gt;"",OR($C425="",$C425=INDEX(Clients!$E$5:$E$204,MATCH($B425,Clients!$A$5:$A$204,0)))),INDEX(Clients!$F$5:$F$204,MATCH($B425,Clients!$A$5:$A$204,0)),INDEX(Settings!$E$5:$E$19,MATCH($J425,Settings!$D$5:$D$19,0))),0)))</f>
        <v/>
      </c>
      <c r="L425" s="15" t="str">
        <f aca="false">IF($B425="","",$K425*IF($D425="",1,$D425)+$E425)</f>
        <v/>
      </c>
      <c r="M425" s="15" t="str">
        <f aca="false">IF($B425="","",ROUND($L425*Settings!$B$9,2))</f>
        <v/>
      </c>
      <c r="N425" s="15" t="str">
        <f aca="false">IF($B425="","",$L425+$M425)</f>
        <v/>
      </c>
      <c r="O425" s="19" t="str">
        <f aca="false">IF($Q425="","",Settings!$B$13&amp;TEXT(ROWS($A$5:$A425),"0000"))</f>
        <v/>
      </c>
      <c r="P425" s="19" t="str">
        <f aca="false">IF($O425="","",IFERROR(INDEX(Invoices!$I$5:$I$504,MATCH($O425,Invoices!$A$5:$A$504,0)),""))</f>
        <v/>
      </c>
      <c r="Q425" s="2" t="str">
        <f aca="false">IF(AND($A425&lt;&gt;"",$B425&lt;&gt;"",$G425="Completed"),COUNTIFS($A$5:$A425,"&lt;&gt;",$B$5:$B425,"&lt;&gt;",$G$5:$G425,"Completed"),"")</f>
        <v/>
      </c>
    </row>
    <row r="426" customFormat="false" ht="15" hidden="false" customHeight="false" outlineLevel="0" collapsed="false">
      <c r="A426" s="16"/>
      <c r="B426" s="12"/>
      <c r="C426" s="17"/>
      <c r="D426" s="18"/>
      <c r="E426" s="13"/>
      <c r="F426" s="13"/>
      <c r="G426" s="12"/>
      <c r="H426" s="12"/>
      <c r="I426" s="19" t="str">
        <f aca="false">IF($B426="","",IFERROR(INDEX(Clients!$D$5:$D$204,MATCH($B426,Clients!$A$5:$A$204,0))&amp;"",""))</f>
        <v/>
      </c>
      <c r="J426" s="19" t="str">
        <f aca="false">IF($B426="","",IF($C426&lt;&gt;"",$C426,IFERROR(INDEX(Clients!$E$5:$E$204,MATCH($B426,Clients!$A$5:$A$204,0))&amp;"","")))</f>
        <v/>
      </c>
      <c r="K426" s="15" t="str">
        <f aca="false">IF($B426="","",IF($F426&lt;&gt;"",$F426,IFERROR(IF(AND(INDEX(Clients!$F$5:$F$204,MATCH($B426,Clients!$A$5:$A$204,0))&amp;""&lt;&gt;"",OR($C426="",$C426=INDEX(Clients!$E$5:$E$204,MATCH($B426,Clients!$A$5:$A$204,0)))),INDEX(Clients!$F$5:$F$204,MATCH($B426,Clients!$A$5:$A$204,0)),INDEX(Settings!$E$5:$E$19,MATCH($J426,Settings!$D$5:$D$19,0))),0)))</f>
        <v/>
      </c>
      <c r="L426" s="15" t="str">
        <f aca="false">IF($B426="","",$K426*IF($D426="",1,$D426)+$E426)</f>
        <v/>
      </c>
      <c r="M426" s="15" t="str">
        <f aca="false">IF($B426="","",ROUND($L426*Settings!$B$9,2))</f>
        <v/>
      </c>
      <c r="N426" s="15" t="str">
        <f aca="false">IF($B426="","",$L426+$M426)</f>
        <v/>
      </c>
      <c r="O426" s="19" t="str">
        <f aca="false">IF($Q426="","",Settings!$B$13&amp;TEXT(ROWS($A$5:$A426),"0000"))</f>
        <v/>
      </c>
      <c r="P426" s="19" t="str">
        <f aca="false">IF($O426="","",IFERROR(INDEX(Invoices!$I$5:$I$504,MATCH($O426,Invoices!$A$5:$A$504,0)),""))</f>
        <v/>
      </c>
      <c r="Q426" s="2" t="str">
        <f aca="false">IF(AND($A426&lt;&gt;"",$B426&lt;&gt;"",$G426="Completed"),COUNTIFS($A$5:$A426,"&lt;&gt;",$B$5:$B426,"&lt;&gt;",$G$5:$G426,"Completed"),"")</f>
        <v/>
      </c>
    </row>
    <row r="427" customFormat="false" ht="15" hidden="false" customHeight="false" outlineLevel="0" collapsed="false">
      <c r="A427" s="16"/>
      <c r="B427" s="12"/>
      <c r="C427" s="17"/>
      <c r="D427" s="18"/>
      <c r="E427" s="13"/>
      <c r="F427" s="13"/>
      <c r="G427" s="12"/>
      <c r="H427" s="12"/>
      <c r="I427" s="19" t="str">
        <f aca="false">IF($B427="","",IFERROR(INDEX(Clients!$D$5:$D$204,MATCH($B427,Clients!$A$5:$A$204,0))&amp;"",""))</f>
        <v/>
      </c>
      <c r="J427" s="19" t="str">
        <f aca="false">IF($B427="","",IF($C427&lt;&gt;"",$C427,IFERROR(INDEX(Clients!$E$5:$E$204,MATCH($B427,Clients!$A$5:$A$204,0))&amp;"","")))</f>
        <v/>
      </c>
      <c r="K427" s="15" t="str">
        <f aca="false">IF($B427="","",IF($F427&lt;&gt;"",$F427,IFERROR(IF(AND(INDEX(Clients!$F$5:$F$204,MATCH($B427,Clients!$A$5:$A$204,0))&amp;""&lt;&gt;"",OR($C427="",$C427=INDEX(Clients!$E$5:$E$204,MATCH($B427,Clients!$A$5:$A$204,0)))),INDEX(Clients!$F$5:$F$204,MATCH($B427,Clients!$A$5:$A$204,0)),INDEX(Settings!$E$5:$E$19,MATCH($J427,Settings!$D$5:$D$19,0))),0)))</f>
        <v/>
      </c>
      <c r="L427" s="15" t="str">
        <f aca="false">IF($B427="","",$K427*IF($D427="",1,$D427)+$E427)</f>
        <v/>
      </c>
      <c r="M427" s="15" t="str">
        <f aca="false">IF($B427="","",ROUND($L427*Settings!$B$9,2))</f>
        <v/>
      </c>
      <c r="N427" s="15" t="str">
        <f aca="false">IF($B427="","",$L427+$M427)</f>
        <v/>
      </c>
      <c r="O427" s="19" t="str">
        <f aca="false">IF($Q427="","",Settings!$B$13&amp;TEXT(ROWS($A$5:$A427),"0000"))</f>
        <v/>
      </c>
      <c r="P427" s="19" t="str">
        <f aca="false">IF($O427="","",IFERROR(INDEX(Invoices!$I$5:$I$504,MATCH($O427,Invoices!$A$5:$A$504,0)),""))</f>
        <v/>
      </c>
      <c r="Q427" s="2" t="str">
        <f aca="false">IF(AND($A427&lt;&gt;"",$B427&lt;&gt;"",$G427="Completed"),COUNTIFS($A$5:$A427,"&lt;&gt;",$B$5:$B427,"&lt;&gt;",$G$5:$G427,"Completed"),"")</f>
        <v/>
      </c>
    </row>
    <row r="428" customFormat="false" ht="15" hidden="false" customHeight="false" outlineLevel="0" collapsed="false">
      <c r="A428" s="16"/>
      <c r="B428" s="12"/>
      <c r="C428" s="17"/>
      <c r="D428" s="18"/>
      <c r="E428" s="13"/>
      <c r="F428" s="13"/>
      <c r="G428" s="12"/>
      <c r="H428" s="12"/>
      <c r="I428" s="19" t="str">
        <f aca="false">IF($B428="","",IFERROR(INDEX(Clients!$D$5:$D$204,MATCH($B428,Clients!$A$5:$A$204,0))&amp;"",""))</f>
        <v/>
      </c>
      <c r="J428" s="19" t="str">
        <f aca="false">IF($B428="","",IF($C428&lt;&gt;"",$C428,IFERROR(INDEX(Clients!$E$5:$E$204,MATCH($B428,Clients!$A$5:$A$204,0))&amp;"","")))</f>
        <v/>
      </c>
      <c r="K428" s="15" t="str">
        <f aca="false">IF($B428="","",IF($F428&lt;&gt;"",$F428,IFERROR(IF(AND(INDEX(Clients!$F$5:$F$204,MATCH($B428,Clients!$A$5:$A$204,0))&amp;""&lt;&gt;"",OR($C428="",$C428=INDEX(Clients!$E$5:$E$204,MATCH($B428,Clients!$A$5:$A$204,0)))),INDEX(Clients!$F$5:$F$204,MATCH($B428,Clients!$A$5:$A$204,0)),INDEX(Settings!$E$5:$E$19,MATCH($J428,Settings!$D$5:$D$19,0))),0)))</f>
        <v/>
      </c>
      <c r="L428" s="15" t="str">
        <f aca="false">IF($B428="","",$K428*IF($D428="",1,$D428)+$E428)</f>
        <v/>
      </c>
      <c r="M428" s="15" t="str">
        <f aca="false">IF($B428="","",ROUND($L428*Settings!$B$9,2))</f>
        <v/>
      </c>
      <c r="N428" s="15" t="str">
        <f aca="false">IF($B428="","",$L428+$M428)</f>
        <v/>
      </c>
      <c r="O428" s="19" t="str">
        <f aca="false">IF($Q428="","",Settings!$B$13&amp;TEXT(ROWS($A$5:$A428),"0000"))</f>
        <v/>
      </c>
      <c r="P428" s="19" t="str">
        <f aca="false">IF($O428="","",IFERROR(INDEX(Invoices!$I$5:$I$504,MATCH($O428,Invoices!$A$5:$A$504,0)),""))</f>
        <v/>
      </c>
      <c r="Q428" s="2" t="str">
        <f aca="false">IF(AND($A428&lt;&gt;"",$B428&lt;&gt;"",$G428="Completed"),COUNTIFS($A$5:$A428,"&lt;&gt;",$B$5:$B428,"&lt;&gt;",$G$5:$G428,"Completed"),"")</f>
        <v/>
      </c>
    </row>
    <row r="429" customFormat="false" ht="15" hidden="false" customHeight="false" outlineLevel="0" collapsed="false">
      <c r="A429" s="16"/>
      <c r="B429" s="12"/>
      <c r="C429" s="17"/>
      <c r="D429" s="18"/>
      <c r="E429" s="13"/>
      <c r="F429" s="13"/>
      <c r="G429" s="12"/>
      <c r="H429" s="12"/>
      <c r="I429" s="19" t="str">
        <f aca="false">IF($B429="","",IFERROR(INDEX(Clients!$D$5:$D$204,MATCH($B429,Clients!$A$5:$A$204,0))&amp;"",""))</f>
        <v/>
      </c>
      <c r="J429" s="19" t="str">
        <f aca="false">IF($B429="","",IF($C429&lt;&gt;"",$C429,IFERROR(INDEX(Clients!$E$5:$E$204,MATCH($B429,Clients!$A$5:$A$204,0))&amp;"","")))</f>
        <v/>
      </c>
      <c r="K429" s="15" t="str">
        <f aca="false">IF($B429="","",IF($F429&lt;&gt;"",$F429,IFERROR(IF(AND(INDEX(Clients!$F$5:$F$204,MATCH($B429,Clients!$A$5:$A$204,0))&amp;""&lt;&gt;"",OR($C429="",$C429=INDEX(Clients!$E$5:$E$204,MATCH($B429,Clients!$A$5:$A$204,0)))),INDEX(Clients!$F$5:$F$204,MATCH($B429,Clients!$A$5:$A$204,0)),INDEX(Settings!$E$5:$E$19,MATCH($J429,Settings!$D$5:$D$19,0))),0)))</f>
        <v/>
      </c>
      <c r="L429" s="15" t="str">
        <f aca="false">IF($B429="","",$K429*IF($D429="",1,$D429)+$E429)</f>
        <v/>
      </c>
      <c r="M429" s="15" t="str">
        <f aca="false">IF($B429="","",ROUND($L429*Settings!$B$9,2))</f>
        <v/>
      </c>
      <c r="N429" s="15" t="str">
        <f aca="false">IF($B429="","",$L429+$M429)</f>
        <v/>
      </c>
      <c r="O429" s="19" t="str">
        <f aca="false">IF($Q429="","",Settings!$B$13&amp;TEXT(ROWS($A$5:$A429),"0000"))</f>
        <v/>
      </c>
      <c r="P429" s="19" t="str">
        <f aca="false">IF($O429="","",IFERROR(INDEX(Invoices!$I$5:$I$504,MATCH($O429,Invoices!$A$5:$A$504,0)),""))</f>
        <v/>
      </c>
      <c r="Q429" s="2" t="str">
        <f aca="false">IF(AND($A429&lt;&gt;"",$B429&lt;&gt;"",$G429="Completed"),COUNTIFS($A$5:$A429,"&lt;&gt;",$B$5:$B429,"&lt;&gt;",$G$5:$G429,"Completed"),"")</f>
        <v/>
      </c>
    </row>
    <row r="430" customFormat="false" ht="15" hidden="false" customHeight="false" outlineLevel="0" collapsed="false">
      <c r="A430" s="16"/>
      <c r="B430" s="12"/>
      <c r="C430" s="17"/>
      <c r="D430" s="18"/>
      <c r="E430" s="13"/>
      <c r="F430" s="13"/>
      <c r="G430" s="12"/>
      <c r="H430" s="12"/>
      <c r="I430" s="19" t="str">
        <f aca="false">IF($B430="","",IFERROR(INDEX(Clients!$D$5:$D$204,MATCH($B430,Clients!$A$5:$A$204,0))&amp;"",""))</f>
        <v/>
      </c>
      <c r="J430" s="19" t="str">
        <f aca="false">IF($B430="","",IF($C430&lt;&gt;"",$C430,IFERROR(INDEX(Clients!$E$5:$E$204,MATCH($B430,Clients!$A$5:$A$204,0))&amp;"","")))</f>
        <v/>
      </c>
      <c r="K430" s="15" t="str">
        <f aca="false">IF($B430="","",IF($F430&lt;&gt;"",$F430,IFERROR(IF(AND(INDEX(Clients!$F$5:$F$204,MATCH($B430,Clients!$A$5:$A$204,0))&amp;""&lt;&gt;"",OR($C430="",$C430=INDEX(Clients!$E$5:$E$204,MATCH($B430,Clients!$A$5:$A$204,0)))),INDEX(Clients!$F$5:$F$204,MATCH($B430,Clients!$A$5:$A$204,0)),INDEX(Settings!$E$5:$E$19,MATCH($J430,Settings!$D$5:$D$19,0))),0)))</f>
        <v/>
      </c>
      <c r="L430" s="15" t="str">
        <f aca="false">IF($B430="","",$K430*IF($D430="",1,$D430)+$E430)</f>
        <v/>
      </c>
      <c r="M430" s="15" t="str">
        <f aca="false">IF($B430="","",ROUND($L430*Settings!$B$9,2))</f>
        <v/>
      </c>
      <c r="N430" s="15" t="str">
        <f aca="false">IF($B430="","",$L430+$M430)</f>
        <v/>
      </c>
      <c r="O430" s="19" t="str">
        <f aca="false">IF($Q430="","",Settings!$B$13&amp;TEXT(ROWS($A$5:$A430),"0000"))</f>
        <v/>
      </c>
      <c r="P430" s="19" t="str">
        <f aca="false">IF($O430="","",IFERROR(INDEX(Invoices!$I$5:$I$504,MATCH($O430,Invoices!$A$5:$A$504,0)),""))</f>
        <v/>
      </c>
      <c r="Q430" s="2" t="str">
        <f aca="false">IF(AND($A430&lt;&gt;"",$B430&lt;&gt;"",$G430="Completed"),COUNTIFS($A$5:$A430,"&lt;&gt;",$B$5:$B430,"&lt;&gt;",$G$5:$G430,"Completed"),"")</f>
        <v/>
      </c>
    </row>
    <row r="431" customFormat="false" ht="15" hidden="false" customHeight="false" outlineLevel="0" collapsed="false">
      <c r="A431" s="16"/>
      <c r="B431" s="12"/>
      <c r="C431" s="17"/>
      <c r="D431" s="18"/>
      <c r="E431" s="13"/>
      <c r="F431" s="13"/>
      <c r="G431" s="12"/>
      <c r="H431" s="12"/>
      <c r="I431" s="19" t="str">
        <f aca="false">IF($B431="","",IFERROR(INDEX(Clients!$D$5:$D$204,MATCH($B431,Clients!$A$5:$A$204,0))&amp;"",""))</f>
        <v/>
      </c>
      <c r="J431" s="19" t="str">
        <f aca="false">IF($B431="","",IF($C431&lt;&gt;"",$C431,IFERROR(INDEX(Clients!$E$5:$E$204,MATCH($B431,Clients!$A$5:$A$204,0))&amp;"","")))</f>
        <v/>
      </c>
      <c r="K431" s="15" t="str">
        <f aca="false">IF($B431="","",IF($F431&lt;&gt;"",$F431,IFERROR(IF(AND(INDEX(Clients!$F$5:$F$204,MATCH($B431,Clients!$A$5:$A$204,0))&amp;""&lt;&gt;"",OR($C431="",$C431=INDEX(Clients!$E$5:$E$204,MATCH($B431,Clients!$A$5:$A$204,0)))),INDEX(Clients!$F$5:$F$204,MATCH($B431,Clients!$A$5:$A$204,0)),INDEX(Settings!$E$5:$E$19,MATCH($J431,Settings!$D$5:$D$19,0))),0)))</f>
        <v/>
      </c>
      <c r="L431" s="15" t="str">
        <f aca="false">IF($B431="","",$K431*IF($D431="",1,$D431)+$E431)</f>
        <v/>
      </c>
      <c r="M431" s="15" t="str">
        <f aca="false">IF($B431="","",ROUND($L431*Settings!$B$9,2))</f>
        <v/>
      </c>
      <c r="N431" s="15" t="str">
        <f aca="false">IF($B431="","",$L431+$M431)</f>
        <v/>
      </c>
      <c r="O431" s="19" t="str">
        <f aca="false">IF($Q431="","",Settings!$B$13&amp;TEXT(ROWS($A$5:$A431),"0000"))</f>
        <v/>
      </c>
      <c r="P431" s="19" t="str">
        <f aca="false">IF($O431="","",IFERROR(INDEX(Invoices!$I$5:$I$504,MATCH($O431,Invoices!$A$5:$A$504,0)),""))</f>
        <v/>
      </c>
      <c r="Q431" s="2" t="str">
        <f aca="false">IF(AND($A431&lt;&gt;"",$B431&lt;&gt;"",$G431="Completed"),COUNTIFS($A$5:$A431,"&lt;&gt;",$B$5:$B431,"&lt;&gt;",$G$5:$G431,"Completed"),"")</f>
        <v/>
      </c>
    </row>
    <row r="432" customFormat="false" ht="15" hidden="false" customHeight="false" outlineLevel="0" collapsed="false">
      <c r="A432" s="16"/>
      <c r="B432" s="12"/>
      <c r="C432" s="17"/>
      <c r="D432" s="18"/>
      <c r="E432" s="13"/>
      <c r="F432" s="13"/>
      <c r="G432" s="12"/>
      <c r="H432" s="12"/>
      <c r="I432" s="19" t="str">
        <f aca="false">IF($B432="","",IFERROR(INDEX(Clients!$D$5:$D$204,MATCH($B432,Clients!$A$5:$A$204,0))&amp;"",""))</f>
        <v/>
      </c>
      <c r="J432" s="19" t="str">
        <f aca="false">IF($B432="","",IF($C432&lt;&gt;"",$C432,IFERROR(INDEX(Clients!$E$5:$E$204,MATCH($B432,Clients!$A$5:$A$204,0))&amp;"","")))</f>
        <v/>
      </c>
      <c r="K432" s="15" t="str">
        <f aca="false">IF($B432="","",IF($F432&lt;&gt;"",$F432,IFERROR(IF(AND(INDEX(Clients!$F$5:$F$204,MATCH($B432,Clients!$A$5:$A$204,0))&amp;""&lt;&gt;"",OR($C432="",$C432=INDEX(Clients!$E$5:$E$204,MATCH($B432,Clients!$A$5:$A$204,0)))),INDEX(Clients!$F$5:$F$204,MATCH($B432,Clients!$A$5:$A$204,0)),INDEX(Settings!$E$5:$E$19,MATCH($J432,Settings!$D$5:$D$19,0))),0)))</f>
        <v/>
      </c>
      <c r="L432" s="15" t="str">
        <f aca="false">IF($B432="","",$K432*IF($D432="",1,$D432)+$E432)</f>
        <v/>
      </c>
      <c r="M432" s="15" t="str">
        <f aca="false">IF($B432="","",ROUND($L432*Settings!$B$9,2))</f>
        <v/>
      </c>
      <c r="N432" s="15" t="str">
        <f aca="false">IF($B432="","",$L432+$M432)</f>
        <v/>
      </c>
      <c r="O432" s="19" t="str">
        <f aca="false">IF($Q432="","",Settings!$B$13&amp;TEXT(ROWS($A$5:$A432),"0000"))</f>
        <v/>
      </c>
      <c r="P432" s="19" t="str">
        <f aca="false">IF($O432="","",IFERROR(INDEX(Invoices!$I$5:$I$504,MATCH($O432,Invoices!$A$5:$A$504,0)),""))</f>
        <v/>
      </c>
      <c r="Q432" s="2" t="str">
        <f aca="false">IF(AND($A432&lt;&gt;"",$B432&lt;&gt;"",$G432="Completed"),COUNTIFS($A$5:$A432,"&lt;&gt;",$B$5:$B432,"&lt;&gt;",$G$5:$G432,"Completed"),"")</f>
        <v/>
      </c>
    </row>
    <row r="433" customFormat="false" ht="15" hidden="false" customHeight="false" outlineLevel="0" collapsed="false">
      <c r="A433" s="16"/>
      <c r="B433" s="12"/>
      <c r="C433" s="17"/>
      <c r="D433" s="18"/>
      <c r="E433" s="13"/>
      <c r="F433" s="13"/>
      <c r="G433" s="12"/>
      <c r="H433" s="12"/>
      <c r="I433" s="19" t="str">
        <f aca="false">IF($B433="","",IFERROR(INDEX(Clients!$D$5:$D$204,MATCH($B433,Clients!$A$5:$A$204,0))&amp;"",""))</f>
        <v/>
      </c>
      <c r="J433" s="19" t="str">
        <f aca="false">IF($B433="","",IF($C433&lt;&gt;"",$C433,IFERROR(INDEX(Clients!$E$5:$E$204,MATCH($B433,Clients!$A$5:$A$204,0))&amp;"","")))</f>
        <v/>
      </c>
      <c r="K433" s="15" t="str">
        <f aca="false">IF($B433="","",IF($F433&lt;&gt;"",$F433,IFERROR(IF(AND(INDEX(Clients!$F$5:$F$204,MATCH($B433,Clients!$A$5:$A$204,0))&amp;""&lt;&gt;"",OR($C433="",$C433=INDEX(Clients!$E$5:$E$204,MATCH($B433,Clients!$A$5:$A$204,0)))),INDEX(Clients!$F$5:$F$204,MATCH($B433,Clients!$A$5:$A$204,0)),INDEX(Settings!$E$5:$E$19,MATCH($J433,Settings!$D$5:$D$19,0))),0)))</f>
        <v/>
      </c>
      <c r="L433" s="15" t="str">
        <f aca="false">IF($B433="","",$K433*IF($D433="",1,$D433)+$E433)</f>
        <v/>
      </c>
      <c r="M433" s="15" t="str">
        <f aca="false">IF($B433="","",ROUND($L433*Settings!$B$9,2))</f>
        <v/>
      </c>
      <c r="N433" s="15" t="str">
        <f aca="false">IF($B433="","",$L433+$M433)</f>
        <v/>
      </c>
      <c r="O433" s="19" t="str">
        <f aca="false">IF($Q433="","",Settings!$B$13&amp;TEXT(ROWS($A$5:$A433),"0000"))</f>
        <v/>
      </c>
      <c r="P433" s="19" t="str">
        <f aca="false">IF($O433="","",IFERROR(INDEX(Invoices!$I$5:$I$504,MATCH($O433,Invoices!$A$5:$A$504,0)),""))</f>
        <v/>
      </c>
      <c r="Q433" s="2" t="str">
        <f aca="false">IF(AND($A433&lt;&gt;"",$B433&lt;&gt;"",$G433="Completed"),COUNTIFS($A$5:$A433,"&lt;&gt;",$B$5:$B433,"&lt;&gt;",$G$5:$G433,"Completed"),"")</f>
        <v/>
      </c>
    </row>
    <row r="434" customFormat="false" ht="15" hidden="false" customHeight="false" outlineLevel="0" collapsed="false">
      <c r="A434" s="16"/>
      <c r="B434" s="12"/>
      <c r="C434" s="17"/>
      <c r="D434" s="18"/>
      <c r="E434" s="13"/>
      <c r="F434" s="13"/>
      <c r="G434" s="12"/>
      <c r="H434" s="12"/>
      <c r="I434" s="19" t="str">
        <f aca="false">IF($B434="","",IFERROR(INDEX(Clients!$D$5:$D$204,MATCH($B434,Clients!$A$5:$A$204,0))&amp;"",""))</f>
        <v/>
      </c>
      <c r="J434" s="19" t="str">
        <f aca="false">IF($B434="","",IF($C434&lt;&gt;"",$C434,IFERROR(INDEX(Clients!$E$5:$E$204,MATCH($B434,Clients!$A$5:$A$204,0))&amp;"","")))</f>
        <v/>
      </c>
      <c r="K434" s="15" t="str">
        <f aca="false">IF($B434="","",IF($F434&lt;&gt;"",$F434,IFERROR(IF(AND(INDEX(Clients!$F$5:$F$204,MATCH($B434,Clients!$A$5:$A$204,0))&amp;""&lt;&gt;"",OR($C434="",$C434=INDEX(Clients!$E$5:$E$204,MATCH($B434,Clients!$A$5:$A$204,0)))),INDEX(Clients!$F$5:$F$204,MATCH($B434,Clients!$A$5:$A$204,0)),INDEX(Settings!$E$5:$E$19,MATCH($J434,Settings!$D$5:$D$19,0))),0)))</f>
        <v/>
      </c>
      <c r="L434" s="15" t="str">
        <f aca="false">IF($B434="","",$K434*IF($D434="",1,$D434)+$E434)</f>
        <v/>
      </c>
      <c r="M434" s="15" t="str">
        <f aca="false">IF($B434="","",ROUND($L434*Settings!$B$9,2))</f>
        <v/>
      </c>
      <c r="N434" s="15" t="str">
        <f aca="false">IF($B434="","",$L434+$M434)</f>
        <v/>
      </c>
      <c r="O434" s="19" t="str">
        <f aca="false">IF($Q434="","",Settings!$B$13&amp;TEXT(ROWS($A$5:$A434),"0000"))</f>
        <v/>
      </c>
      <c r="P434" s="19" t="str">
        <f aca="false">IF($O434="","",IFERROR(INDEX(Invoices!$I$5:$I$504,MATCH($O434,Invoices!$A$5:$A$504,0)),""))</f>
        <v/>
      </c>
      <c r="Q434" s="2" t="str">
        <f aca="false">IF(AND($A434&lt;&gt;"",$B434&lt;&gt;"",$G434="Completed"),COUNTIFS($A$5:$A434,"&lt;&gt;",$B$5:$B434,"&lt;&gt;",$G$5:$G434,"Completed"),"")</f>
        <v/>
      </c>
    </row>
    <row r="435" customFormat="false" ht="15" hidden="false" customHeight="false" outlineLevel="0" collapsed="false">
      <c r="A435" s="16"/>
      <c r="B435" s="12"/>
      <c r="C435" s="17"/>
      <c r="D435" s="18"/>
      <c r="E435" s="13"/>
      <c r="F435" s="13"/>
      <c r="G435" s="12"/>
      <c r="H435" s="12"/>
      <c r="I435" s="19" t="str">
        <f aca="false">IF($B435="","",IFERROR(INDEX(Clients!$D$5:$D$204,MATCH($B435,Clients!$A$5:$A$204,0))&amp;"",""))</f>
        <v/>
      </c>
      <c r="J435" s="19" t="str">
        <f aca="false">IF($B435="","",IF($C435&lt;&gt;"",$C435,IFERROR(INDEX(Clients!$E$5:$E$204,MATCH($B435,Clients!$A$5:$A$204,0))&amp;"","")))</f>
        <v/>
      </c>
      <c r="K435" s="15" t="str">
        <f aca="false">IF($B435="","",IF($F435&lt;&gt;"",$F435,IFERROR(IF(AND(INDEX(Clients!$F$5:$F$204,MATCH($B435,Clients!$A$5:$A$204,0))&amp;""&lt;&gt;"",OR($C435="",$C435=INDEX(Clients!$E$5:$E$204,MATCH($B435,Clients!$A$5:$A$204,0)))),INDEX(Clients!$F$5:$F$204,MATCH($B435,Clients!$A$5:$A$204,0)),INDEX(Settings!$E$5:$E$19,MATCH($J435,Settings!$D$5:$D$19,0))),0)))</f>
        <v/>
      </c>
      <c r="L435" s="15" t="str">
        <f aca="false">IF($B435="","",$K435*IF($D435="",1,$D435)+$E435)</f>
        <v/>
      </c>
      <c r="M435" s="15" t="str">
        <f aca="false">IF($B435="","",ROUND($L435*Settings!$B$9,2))</f>
        <v/>
      </c>
      <c r="N435" s="15" t="str">
        <f aca="false">IF($B435="","",$L435+$M435)</f>
        <v/>
      </c>
      <c r="O435" s="19" t="str">
        <f aca="false">IF($Q435="","",Settings!$B$13&amp;TEXT(ROWS($A$5:$A435),"0000"))</f>
        <v/>
      </c>
      <c r="P435" s="19" t="str">
        <f aca="false">IF($O435="","",IFERROR(INDEX(Invoices!$I$5:$I$504,MATCH($O435,Invoices!$A$5:$A$504,0)),""))</f>
        <v/>
      </c>
      <c r="Q435" s="2" t="str">
        <f aca="false">IF(AND($A435&lt;&gt;"",$B435&lt;&gt;"",$G435="Completed"),COUNTIFS($A$5:$A435,"&lt;&gt;",$B$5:$B435,"&lt;&gt;",$G$5:$G435,"Completed"),"")</f>
        <v/>
      </c>
    </row>
    <row r="436" customFormat="false" ht="15" hidden="false" customHeight="false" outlineLevel="0" collapsed="false">
      <c r="A436" s="16"/>
      <c r="B436" s="12"/>
      <c r="C436" s="17"/>
      <c r="D436" s="18"/>
      <c r="E436" s="13"/>
      <c r="F436" s="13"/>
      <c r="G436" s="12"/>
      <c r="H436" s="12"/>
      <c r="I436" s="19" t="str">
        <f aca="false">IF($B436="","",IFERROR(INDEX(Clients!$D$5:$D$204,MATCH($B436,Clients!$A$5:$A$204,0))&amp;"",""))</f>
        <v/>
      </c>
      <c r="J436" s="19" t="str">
        <f aca="false">IF($B436="","",IF($C436&lt;&gt;"",$C436,IFERROR(INDEX(Clients!$E$5:$E$204,MATCH($B436,Clients!$A$5:$A$204,0))&amp;"","")))</f>
        <v/>
      </c>
      <c r="K436" s="15" t="str">
        <f aca="false">IF($B436="","",IF($F436&lt;&gt;"",$F436,IFERROR(IF(AND(INDEX(Clients!$F$5:$F$204,MATCH($B436,Clients!$A$5:$A$204,0))&amp;""&lt;&gt;"",OR($C436="",$C436=INDEX(Clients!$E$5:$E$204,MATCH($B436,Clients!$A$5:$A$204,0)))),INDEX(Clients!$F$5:$F$204,MATCH($B436,Clients!$A$5:$A$204,0)),INDEX(Settings!$E$5:$E$19,MATCH($J436,Settings!$D$5:$D$19,0))),0)))</f>
        <v/>
      </c>
      <c r="L436" s="15" t="str">
        <f aca="false">IF($B436="","",$K436*IF($D436="",1,$D436)+$E436)</f>
        <v/>
      </c>
      <c r="M436" s="15" t="str">
        <f aca="false">IF($B436="","",ROUND($L436*Settings!$B$9,2))</f>
        <v/>
      </c>
      <c r="N436" s="15" t="str">
        <f aca="false">IF($B436="","",$L436+$M436)</f>
        <v/>
      </c>
      <c r="O436" s="19" t="str">
        <f aca="false">IF($Q436="","",Settings!$B$13&amp;TEXT(ROWS($A$5:$A436),"0000"))</f>
        <v/>
      </c>
      <c r="P436" s="19" t="str">
        <f aca="false">IF($O436="","",IFERROR(INDEX(Invoices!$I$5:$I$504,MATCH($O436,Invoices!$A$5:$A$504,0)),""))</f>
        <v/>
      </c>
      <c r="Q436" s="2" t="str">
        <f aca="false">IF(AND($A436&lt;&gt;"",$B436&lt;&gt;"",$G436="Completed"),COUNTIFS($A$5:$A436,"&lt;&gt;",$B$5:$B436,"&lt;&gt;",$G$5:$G436,"Completed"),"")</f>
        <v/>
      </c>
    </row>
    <row r="437" customFormat="false" ht="15" hidden="false" customHeight="false" outlineLevel="0" collapsed="false">
      <c r="A437" s="16"/>
      <c r="B437" s="12"/>
      <c r="C437" s="17"/>
      <c r="D437" s="18"/>
      <c r="E437" s="13"/>
      <c r="F437" s="13"/>
      <c r="G437" s="12"/>
      <c r="H437" s="12"/>
      <c r="I437" s="19" t="str">
        <f aca="false">IF($B437="","",IFERROR(INDEX(Clients!$D$5:$D$204,MATCH($B437,Clients!$A$5:$A$204,0))&amp;"",""))</f>
        <v/>
      </c>
      <c r="J437" s="19" t="str">
        <f aca="false">IF($B437="","",IF($C437&lt;&gt;"",$C437,IFERROR(INDEX(Clients!$E$5:$E$204,MATCH($B437,Clients!$A$5:$A$204,0))&amp;"","")))</f>
        <v/>
      </c>
      <c r="K437" s="15" t="str">
        <f aca="false">IF($B437="","",IF($F437&lt;&gt;"",$F437,IFERROR(IF(AND(INDEX(Clients!$F$5:$F$204,MATCH($B437,Clients!$A$5:$A$204,0))&amp;""&lt;&gt;"",OR($C437="",$C437=INDEX(Clients!$E$5:$E$204,MATCH($B437,Clients!$A$5:$A$204,0)))),INDEX(Clients!$F$5:$F$204,MATCH($B437,Clients!$A$5:$A$204,0)),INDEX(Settings!$E$5:$E$19,MATCH($J437,Settings!$D$5:$D$19,0))),0)))</f>
        <v/>
      </c>
      <c r="L437" s="15" t="str">
        <f aca="false">IF($B437="","",$K437*IF($D437="",1,$D437)+$E437)</f>
        <v/>
      </c>
      <c r="M437" s="15" t="str">
        <f aca="false">IF($B437="","",ROUND($L437*Settings!$B$9,2))</f>
        <v/>
      </c>
      <c r="N437" s="15" t="str">
        <f aca="false">IF($B437="","",$L437+$M437)</f>
        <v/>
      </c>
      <c r="O437" s="19" t="str">
        <f aca="false">IF($Q437="","",Settings!$B$13&amp;TEXT(ROWS($A$5:$A437),"0000"))</f>
        <v/>
      </c>
      <c r="P437" s="19" t="str">
        <f aca="false">IF($O437="","",IFERROR(INDEX(Invoices!$I$5:$I$504,MATCH($O437,Invoices!$A$5:$A$504,0)),""))</f>
        <v/>
      </c>
      <c r="Q437" s="2" t="str">
        <f aca="false">IF(AND($A437&lt;&gt;"",$B437&lt;&gt;"",$G437="Completed"),COUNTIFS($A$5:$A437,"&lt;&gt;",$B$5:$B437,"&lt;&gt;",$G$5:$G437,"Completed"),"")</f>
        <v/>
      </c>
    </row>
    <row r="438" customFormat="false" ht="15" hidden="false" customHeight="false" outlineLevel="0" collapsed="false">
      <c r="A438" s="16"/>
      <c r="B438" s="12"/>
      <c r="C438" s="17"/>
      <c r="D438" s="18"/>
      <c r="E438" s="13"/>
      <c r="F438" s="13"/>
      <c r="G438" s="12"/>
      <c r="H438" s="12"/>
      <c r="I438" s="19" t="str">
        <f aca="false">IF($B438="","",IFERROR(INDEX(Clients!$D$5:$D$204,MATCH($B438,Clients!$A$5:$A$204,0))&amp;"",""))</f>
        <v/>
      </c>
      <c r="J438" s="19" t="str">
        <f aca="false">IF($B438="","",IF($C438&lt;&gt;"",$C438,IFERROR(INDEX(Clients!$E$5:$E$204,MATCH($B438,Clients!$A$5:$A$204,0))&amp;"","")))</f>
        <v/>
      </c>
      <c r="K438" s="15" t="str">
        <f aca="false">IF($B438="","",IF($F438&lt;&gt;"",$F438,IFERROR(IF(AND(INDEX(Clients!$F$5:$F$204,MATCH($B438,Clients!$A$5:$A$204,0))&amp;""&lt;&gt;"",OR($C438="",$C438=INDEX(Clients!$E$5:$E$204,MATCH($B438,Clients!$A$5:$A$204,0)))),INDEX(Clients!$F$5:$F$204,MATCH($B438,Clients!$A$5:$A$204,0)),INDEX(Settings!$E$5:$E$19,MATCH($J438,Settings!$D$5:$D$19,0))),0)))</f>
        <v/>
      </c>
      <c r="L438" s="15" t="str">
        <f aca="false">IF($B438="","",$K438*IF($D438="",1,$D438)+$E438)</f>
        <v/>
      </c>
      <c r="M438" s="15" t="str">
        <f aca="false">IF($B438="","",ROUND($L438*Settings!$B$9,2))</f>
        <v/>
      </c>
      <c r="N438" s="15" t="str">
        <f aca="false">IF($B438="","",$L438+$M438)</f>
        <v/>
      </c>
      <c r="O438" s="19" t="str">
        <f aca="false">IF($Q438="","",Settings!$B$13&amp;TEXT(ROWS($A$5:$A438),"0000"))</f>
        <v/>
      </c>
      <c r="P438" s="19" t="str">
        <f aca="false">IF($O438="","",IFERROR(INDEX(Invoices!$I$5:$I$504,MATCH($O438,Invoices!$A$5:$A$504,0)),""))</f>
        <v/>
      </c>
      <c r="Q438" s="2" t="str">
        <f aca="false">IF(AND($A438&lt;&gt;"",$B438&lt;&gt;"",$G438="Completed"),COUNTIFS($A$5:$A438,"&lt;&gt;",$B$5:$B438,"&lt;&gt;",$G$5:$G438,"Completed"),"")</f>
        <v/>
      </c>
    </row>
    <row r="439" customFormat="false" ht="15" hidden="false" customHeight="false" outlineLevel="0" collapsed="false">
      <c r="A439" s="16"/>
      <c r="B439" s="12"/>
      <c r="C439" s="17"/>
      <c r="D439" s="18"/>
      <c r="E439" s="13"/>
      <c r="F439" s="13"/>
      <c r="G439" s="12"/>
      <c r="H439" s="12"/>
      <c r="I439" s="19" t="str">
        <f aca="false">IF($B439="","",IFERROR(INDEX(Clients!$D$5:$D$204,MATCH($B439,Clients!$A$5:$A$204,0))&amp;"",""))</f>
        <v/>
      </c>
      <c r="J439" s="19" t="str">
        <f aca="false">IF($B439="","",IF($C439&lt;&gt;"",$C439,IFERROR(INDEX(Clients!$E$5:$E$204,MATCH($B439,Clients!$A$5:$A$204,0))&amp;"","")))</f>
        <v/>
      </c>
      <c r="K439" s="15" t="str">
        <f aca="false">IF($B439="","",IF($F439&lt;&gt;"",$F439,IFERROR(IF(AND(INDEX(Clients!$F$5:$F$204,MATCH($B439,Clients!$A$5:$A$204,0))&amp;""&lt;&gt;"",OR($C439="",$C439=INDEX(Clients!$E$5:$E$204,MATCH($B439,Clients!$A$5:$A$204,0)))),INDEX(Clients!$F$5:$F$204,MATCH($B439,Clients!$A$5:$A$204,0)),INDEX(Settings!$E$5:$E$19,MATCH($J439,Settings!$D$5:$D$19,0))),0)))</f>
        <v/>
      </c>
      <c r="L439" s="15" t="str">
        <f aca="false">IF($B439="","",$K439*IF($D439="",1,$D439)+$E439)</f>
        <v/>
      </c>
      <c r="M439" s="15" t="str">
        <f aca="false">IF($B439="","",ROUND($L439*Settings!$B$9,2))</f>
        <v/>
      </c>
      <c r="N439" s="15" t="str">
        <f aca="false">IF($B439="","",$L439+$M439)</f>
        <v/>
      </c>
      <c r="O439" s="19" t="str">
        <f aca="false">IF($Q439="","",Settings!$B$13&amp;TEXT(ROWS($A$5:$A439),"0000"))</f>
        <v/>
      </c>
      <c r="P439" s="19" t="str">
        <f aca="false">IF($O439="","",IFERROR(INDEX(Invoices!$I$5:$I$504,MATCH($O439,Invoices!$A$5:$A$504,0)),""))</f>
        <v/>
      </c>
      <c r="Q439" s="2" t="str">
        <f aca="false">IF(AND($A439&lt;&gt;"",$B439&lt;&gt;"",$G439="Completed"),COUNTIFS($A$5:$A439,"&lt;&gt;",$B$5:$B439,"&lt;&gt;",$G$5:$G439,"Completed"),"")</f>
        <v/>
      </c>
    </row>
    <row r="440" customFormat="false" ht="15" hidden="false" customHeight="false" outlineLevel="0" collapsed="false">
      <c r="A440" s="16"/>
      <c r="B440" s="12"/>
      <c r="C440" s="17"/>
      <c r="D440" s="18"/>
      <c r="E440" s="13"/>
      <c r="F440" s="13"/>
      <c r="G440" s="12"/>
      <c r="H440" s="12"/>
      <c r="I440" s="19" t="str">
        <f aca="false">IF($B440="","",IFERROR(INDEX(Clients!$D$5:$D$204,MATCH($B440,Clients!$A$5:$A$204,0))&amp;"",""))</f>
        <v/>
      </c>
      <c r="J440" s="19" t="str">
        <f aca="false">IF($B440="","",IF($C440&lt;&gt;"",$C440,IFERROR(INDEX(Clients!$E$5:$E$204,MATCH($B440,Clients!$A$5:$A$204,0))&amp;"","")))</f>
        <v/>
      </c>
      <c r="K440" s="15" t="str">
        <f aca="false">IF($B440="","",IF($F440&lt;&gt;"",$F440,IFERROR(IF(AND(INDEX(Clients!$F$5:$F$204,MATCH($B440,Clients!$A$5:$A$204,0))&amp;""&lt;&gt;"",OR($C440="",$C440=INDEX(Clients!$E$5:$E$204,MATCH($B440,Clients!$A$5:$A$204,0)))),INDEX(Clients!$F$5:$F$204,MATCH($B440,Clients!$A$5:$A$204,0)),INDEX(Settings!$E$5:$E$19,MATCH($J440,Settings!$D$5:$D$19,0))),0)))</f>
        <v/>
      </c>
      <c r="L440" s="15" t="str">
        <f aca="false">IF($B440="","",$K440*IF($D440="",1,$D440)+$E440)</f>
        <v/>
      </c>
      <c r="M440" s="15" t="str">
        <f aca="false">IF($B440="","",ROUND($L440*Settings!$B$9,2))</f>
        <v/>
      </c>
      <c r="N440" s="15" t="str">
        <f aca="false">IF($B440="","",$L440+$M440)</f>
        <v/>
      </c>
      <c r="O440" s="19" t="str">
        <f aca="false">IF($Q440="","",Settings!$B$13&amp;TEXT(ROWS($A$5:$A440),"0000"))</f>
        <v/>
      </c>
      <c r="P440" s="19" t="str">
        <f aca="false">IF($O440="","",IFERROR(INDEX(Invoices!$I$5:$I$504,MATCH($O440,Invoices!$A$5:$A$504,0)),""))</f>
        <v/>
      </c>
      <c r="Q440" s="2" t="str">
        <f aca="false">IF(AND($A440&lt;&gt;"",$B440&lt;&gt;"",$G440="Completed"),COUNTIFS($A$5:$A440,"&lt;&gt;",$B$5:$B440,"&lt;&gt;",$G$5:$G440,"Completed"),"")</f>
        <v/>
      </c>
    </row>
    <row r="441" customFormat="false" ht="15" hidden="false" customHeight="false" outlineLevel="0" collapsed="false">
      <c r="A441" s="16"/>
      <c r="B441" s="12"/>
      <c r="C441" s="17"/>
      <c r="D441" s="18"/>
      <c r="E441" s="13"/>
      <c r="F441" s="13"/>
      <c r="G441" s="12"/>
      <c r="H441" s="12"/>
      <c r="I441" s="19" t="str">
        <f aca="false">IF($B441="","",IFERROR(INDEX(Clients!$D$5:$D$204,MATCH($B441,Clients!$A$5:$A$204,0))&amp;"",""))</f>
        <v/>
      </c>
      <c r="J441" s="19" t="str">
        <f aca="false">IF($B441="","",IF($C441&lt;&gt;"",$C441,IFERROR(INDEX(Clients!$E$5:$E$204,MATCH($B441,Clients!$A$5:$A$204,0))&amp;"","")))</f>
        <v/>
      </c>
      <c r="K441" s="15" t="str">
        <f aca="false">IF($B441="","",IF($F441&lt;&gt;"",$F441,IFERROR(IF(AND(INDEX(Clients!$F$5:$F$204,MATCH($B441,Clients!$A$5:$A$204,0))&amp;""&lt;&gt;"",OR($C441="",$C441=INDEX(Clients!$E$5:$E$204,MATCH($B441,Clients!$A$5:$A$204,0)))),INDEX(Clients!$F$5:$F$204,MATCH($B441,Clients!$A$5:$A$204,0)),INDEX(Settings!$E$5:$E$19,MATCH($J441,Settings!$D$5:$D$19,0))),0)))</f>
        <v/>
      </c>
      <c r="L441" s="15" t="str">
        <f aca="false">IF($B441="","",$K441*IF($D441="",1,$D441)+$E441)</f>
        <v/>
      </c>
      <c r="M441" s="15" t="str">
        <f aca="false">IF($B441="","",ROUND($L441*Settings!$B$9,2))</f>
        <v/>
      </c>
      <c r="N441" s="15" t="str">
        <f aca="false">IF($B441="","",$L441+$M441)</f>
        <v/>
      </c>
      <c r="O441" s="19" t="str">
        <f aca="false">IF($Q441="","",Settings!$B$13&amp;TEXT(ROWS($A$5:$A441),"0000"))</f>
        <v/>
      </c>
      <c r="P441" s="19" t="str">
        <f aca="false">IF($O441="","",IFERROR(INDEX(Invoices!$I$5:$I$504,MATCH($O441,Invoices!$A$5:$A$504,0)),""))</f>
        <v/>
      </c>
      <c r="Q441" s="2" t="str">
        <f aca="false">IF(AND($A441&lt;&gt;"",$B441&lt;&gt;"",$G441="Completed"),COUNTIFS($A$5:$A441,"&lt;&gt;",$B$5:$B441,"&lt;&gt;",$G$5:$G441,"Completed"),"")</f>
        <v/>
      </c>
    </row>
    <row r="442" customFormat="false" ht="15" hidden="false" customHeight="false" outlineLevel="0" collapsed="false">
      <c r="A442" s="16"/>
      <c r="B442" s="12"/>
      <c r="C442" s="17"/>
      <c r="D442" s="18"/>
      <c r="E442" s="13"/>
      <c r="F442" s="13"/>
      <c r="G442" s="12"/>
      <c r="H442" s="12"/>
      <c r="I442" s="19" t="str">
        <f aca="false">IF($B442="","",IFERROR(INDEX(Clients!$D$5:$D$204,MATCH($B442,Clients!$A$5:$A$204,0))&amp;"",""))</f>
        <v/>
      </c>
      <c r="J442" s="19" t="str">
        <f aca="false">IF($B442="","",IF($C442&lt;&gt;"",$C442,IFERROR(INDEX(Clients!$E$5:$E$204,MATCH($B442,Clients!$A$5:$A$204,0))&amp;"","")))</f>
        <v/>
      </c>
      <c r="K442" s="15" t="str">
        <f aca="false">IF($B442="","",IF($F442&lt;&gt;"",$F442,IFERROR(IF(AND(INDEX(Clients!$F$5:$F$204,MATCH($B442,Clients!$A$5:$A$204,0))&amp;""&lt;&gt;"",OR($C442="",$C442=INDEX(Clients!$E$5:$E$204,MATCH($B442,Clients!$A$5:$A$204,0)))),INDEX(Clients!$F$5:$F$204,MATCH($B442,Clients!$A$5:$A$204,0)),INDEX(Settings!$E$5:$E$19,MATCH($J442,Settings!$D$5:$D$19,0))),0)))</f>
        <v/>
      </c>
      <c r="L442" s="15" t="str">
        <f aca="false">IF($B442="","",$K442*IF($D442="",1,$D442)+$E442)</f>
        <v/>
      </c>
      <c r="M442" s="15" t="str">
        <f aca="false">IF($B442="","",ROUND($L442*Settings!$B$9,2))</f>
        <v/>
      </c>
      <c r="N442" s="15" t="str">
        <f aca="false">IF($B442="","",$L442+$M442)</f>
        <v/>
      </c>
      <c r="O442" s="19" t="str">
        <f aca="false">IF($Q442="","",Settings!$B$13&amp;TEXT(ROWS($A$5:$A442),"0000"))</f>
        <v/>
      </c>
      <c r="P442" s="19" t="str">
        <f aca="false">IF($O442="","",IFERROR(INDEX(Invoices!$I$5:$I$504,MATCH($O442,Invoices!$A$5:$A$504,0)),""))</f>
        <v/>
      </c>
      <c r="Q442" s="2" t="str">
        <f aca="false">IF(AND($A442&lt;&gt;"",$B442&lt;&gt;"",$G442="Completed"),COUNTIFS($A$5:$A442,"&lt;&gt;",$B$5:$B442,"&lt;&gt;",$G$5:$G442,"Completed"),"")</f>
        <v/>
      </c>
    </row>
    <row r="443" customFormat="false" ht="15" hidden="false" customHeight="false" outlineLevel="0" collapsed="false">
      <c r="A443" s="16"/>
      <c r="B443" s="12"/>
      <c r="C443" s="17"/>
      <c r="D443" s="18"/>
      <c r="E443" s="13"/>
      <c r="F443" s="13"/>
      <c r="G443" s="12"/>
      <c r="H443" s="12"/>
      <c r="I443" s="19" t="str">
        <f aca="false">IF($B443="","",IFERROR(INDEX(Clients!$D$5:$D$204,MATCH($B443,Clients!$A$5:$A$204,0))&amp;"",""))</f>
        <v/>
      </c>
      <c r="J443" s="19" t="str">
        <f aca="false">IF($B443="","",IF($C443&lt;&gt;"",$C443,IFERROR(INDEX(Clients!$E$5:$E$204,MATCH($B443,Clients!$A$5:$A$204,0))&amp;"","")))</f>
        <v/>
      </c>
      <c r="K443" s="15" t="str">
        <f aca="false">IF($B443="","",IF($F443&lt;&gt;"",$F443,IFERROR(IF(AND(INDEX(Clients!$F$5:$F$204,MATCH($B443,Clients!$A$5:$A$204,0))&amp;""&lt;&gt;"",OR($C443="",$C443=INDEX(Clients!$E$5:$E$204,MATCH($B443,Clients!$A$5:$A$204,0)))),INDEX(Clients!$F$5:$F$204,MATCH($B443,Clients!$A$5:$A$204,0)),INDEX(Settings!$E$5:$E$19,MATCH($J443,Settings!$D$5:$D$19,0))),0)))</f>
        <v/>
      </c>
      <c r="L443" s="15" t="str">
        <f aca="false">IF($B443="","",$K443*IF($D443="",1,$D443)+$E443)</f>
        <v/>
      </c>
      <c r="M443" s="15" t="str">
        <f aca="false">IF($B443="","",ROUND($L443*Settings!$B$9,2))</f>
        <v/>
      </c>
      <c r="N443" s="15" t="str">
        <f aca="false">IF($B443="","",$L443+$M443)</f>
        <v/>
      </c>
      <c r="O443" s="19" t="str">
        <f aca="false">IF($Q443="","",Settings!$B$13&amp;TEXT(ROWS($A$5:$A443),"0000"))</f>
        <v/>
      </c>
      <c r="P443" s="19" t="str">
        <f aca="false">IF($O443="","",IFERROR(INDEX(Invoices!$I$5:$I$504,MATCH($O443,Invoices!$A$5:$A$504,0)),""))</f>
        <v/>
      </c>
      <c r="Q443" s="2" t="str">
        <f aca="false">IF(AND($A443&lt;&gt;"",$B443&lt;&gt;"",$G443="Completed"),COUNTIFS($A$5:$A443,"&lt;&gt;",$B$5:$B443,"&lt;&gt;",$G$5:$G443,"Completed"),"")</f>
        <v/>
      </c>
    </row>
    <row r="444" customFormat="false" ht="15" hidden="false" customHeight="false" outlineLevel="0" collapsed="false">
      <c r="A444" s="16"/>
      <c r="B444" s="12"/>
      <c r="C444" s="17"/>
      <c r="D444" s="18"/>
      <c r="E444" s="13"/>
      <c r="F444" s="13"/>
      <c r="G444" s="12"/>
      <c r="H444" s="12"/>
      <c r="I444" s="19" t="str">
        <f aca="false">IF($B444="","",IFERROR(INDEX(Clients!$D$5:$D$204,MATCH($B444,Clients!$A$5:$A$204,0))&amp;"",""))</f>
        <v/>
      </c>
      <c r="J444" s="19" t="str">
        <f aca="false">IF($B444="","",IF($C444&lt;&gt;"",$C444,IFERROR(INDEX(Clients!$E$5:$E$204,MATCH($B444,Clients!$A$5:$A$204,0))&amp;"","")))</f>
        <v/>
      </c>
      <c r="K444" s="15" t="str">
        <f aca="false">IF($B444="","",IF($F444&lt;&gt;"",$F444,IFERROR(IF(AND(INDEX(Clients!$F$5:$F$204,MATCH($B444,Clients!$A$5:$A$204,0))&amp;""&lt;&gt;"",OR($C444="",$C444=INDEX(Clients!$E$5:$E$204,MATCH($B444,Clients!$A$5:$A$204,0)))),INDEX(Clients!$F$5:$F$204,MATCH($B444,Clients!$A$5:$A$204,0)),INDEX(Settings!$E$5:$E$19,MATCH($J444,Settings!$D$5:$D$19,0))),0)))</f>
        <v/>
      </c>
      <c r="L444" s="15" t="str">
        <f aca="false">IF($B444="","",$K444*IF($D444="",1,$D444)+$E444)</f>
        <v/>
      </c>
      <c r="M444" s="15" t="str">
        <f aca="false">IF($B444="","",ROUND($L444*Settings!$B$9,2))</f>
        <v/>
      </c>
      <c r="N444" s="15" t="str">
        <f aca="false">IF($B444="","",$L444+$M444)</f>
        <v/>
      </c>
      <c r="O444" s="19" t="str">
        <f aca="false">IF($Q444="","",Settings!$B$13&amp;TEXT(ROWS($A$5:$A444),"0000"))</f>
        <v/>
      </c>
      <c r="P444" s="19" t="str">
        <f aca="false">IF($O444="","",IFERROR(INDEX(Invoices!$I$5:$I$504,MATCH($O444,Invoices!$A$5:$A$504,0)),""))</f>
        <v/>
      </c>
      <c r="Q444" s="2" t="str">
        <f aca="false">IF(AND($A444&lt;&gt;"",$B444&lt;&gt;"",$G444="Completed"),COUNTIFS($A$5:$A444,"&lt;&gt;",$B$5:$B444,"&lt;&gt;",$G$5:$G444,"Completed"),"")</f>
        <v/>
      </c>
    </row>
    <row r="445" customFormat="false" ht="15" hidden="false" customHeight="false" outlineLevel="0" collapsed="false">
      <c r="A445" s="16"/>
      <c r="B445" s="12"/>
      <c r="C445" s="17"/>
      <c r="D445" s="18"/>
      <c r="E445" s="13"/>
      <c r="F445" s="13"/>
      <c r="G445" s="12"/>
      <c r="H445" s="12"/>
      <c r="I445" s="19" t="str">
        <f aca="false">IF($B445="","",IFERROR(INDEX(Clients!$D$5:$D$204,MATCH($B445,Clients!$A$5:$A$204,0))&amp;"",""))</f>
        <v/>
      </c>
      <c r="J445" s="19" t="str">
        <f aca="false">IF($B445="","",IF($C445&lt;&gt;"",$C445,IFERROR(INDEX(Clients!$E$5:$E$204,MATCH($B445,Clients!$A$5:$A$204,0))&amp;"","")))</f>
        <v/>
      </c>
      <c r="K445" s="15" t="str">
        <f aca="false">IF($B445="","",IF($F445&lt;&gt;"",$F445,IFERROR(IF(AND(INDEX(Clients!$F$5:$F$204,MATCH($B445,Clients!$A$5:$A$204,0))&amp;""&lt;&gt;"",OR($C445="",$C445=INDEX(Clients!$E$5:$E$204,MATCH($B445,Clients!$A$5:$A$204,0)))),INDEX(Clients!$F$5:$F$204,MATCH($B445,Clients!$A$5:$A$204,0)),INDEX(Settings!$E$5:$E$19,MATCH($J445,Settings!$D$5:$D$19,0))),0)))</f>
        <v/>
      </c>
      <c r="L445" s="15" t="str">
        <f aca="false">IF($B445="","",$K445*IF($D445="",1,$D445)+$E445)</f>
        <v/>
      </c>
      <c r="M445" s="15" t="str">
        <f aca="false">IF($B445="","",ROUND($L445*Settings!$B$9,2))</f>
        <v/>
      </c>
      <c r="N445" s="15" t="str">
        <f aca="false">IF($B445="","",$L445+$M445)</f>
        <v/>
      </c>
      <c r="O445" s="19" t="str">
        <f aca="false">IF($Q445="","",Settings!$B$13&amp;TEXT(ROWS($A$5:$A445),"0000"))</f>
        <v/>
      </c>
      <c r="P445" s="19" t="str">
        <f aca="false">IF($O445="","",IFERROR(INDEX(Invoices!$I$5:$I$504,MATCH($O445,Invoices!$A$5:$A$504,0)),""))</f>
        <v/>
      </c>
      <c r="Q445" s="2" t="str">
        <f aca="false">IF(AND($A445&lt;&gt;"",$B445&lt;&gt;"",$G445="Completed"),COUNTIFS($A$5:$A445,"&lt;&gt;",$B$5:$B445,"&lt;&gt;",$G$5:$G445,"Completed"),"")</f>
        <v/>
      </c>
    </row>
    <row r="446" customFormat="false" ht="15" hidden="false" customHeight="false" outlineLevel="0" collapsed="false">
      <c r="A446" s="16"/>
      <c r="B446" s="12"/>
      <c r="C446" s="17"/>
      <c r="D446" s="18"/>
      <c r="E446" s="13"/>
      <c r="F446" s="13"/>
      <c r="G446" s="12"/>
      <c r="H446" s="12"/>
      <c r="I446" s="19" t="str">
        <f aca="false">IF($B446="","",IFERROR(INDEX(Clients!$D$5:$D$204,MATCH($B446,Clients!$A$5:$A$204,0))&amp;"",""))</f>
        <v/>
      </c>
      <c r="J446" s="19" t="str">
        <f aca="false">IF($B446="","",IF($C446&lt;&gt;"",$C446,IFERROR(INDEX(Clients!$E$5:$E$204,MATCH($B446,Clients!$A$5:$A$204,0))&amp;"","")))</f>
        <v/>
      </c>
      <c r="K446" s="15" t="str">
        <f aca="false">IF($B446="","",IF($F446&lt;&gt;"",$F446,IFERROR(IF(AND(INDEX(Clients!$F$5:$F$204,MATCH($B446,Clients!$A$5:$A$204,0))&amp;""&lt;&gt;"",OR($C446="",$C446=INDEX(Clients!$E$5:$E$204,MATCH($B446,Clients!$A$5:$A$204,0)))),INDEX(Clients!$F$5:$F$204,MATCH($B446,Clients!$A$5:$A$204,0)),INDEX(Settings!$E$5:$E$19,MATCH($J446,Settings!$D$5:$D$19,0))),0)))</f>
        <v/>
      </c>
      <c r="L446" s="15" t="str">
        <f aca="false">IF($B446="","",$K446*IF($D446="",1,$D446)+$E446)</f>
        <v/>
      </c>
      <c r="M446" s="15" t="str">
        <f aca="false">IF($B446="","",ROUND($L446*Settings!$B$9,2))</f>
        <v/>
      </c>
      <c r="N446" s="15" t="str">
        <f aca="false">IF($B446="","",$L446+$M446)</f>
        <v/>
      </c>
      <c r="O446" s="19" t="str">
        <f aca="false">IF($Q446="","",Settings!$B$13&amp;TEXT(ROWS($A$5:$A446),"0000"))</f>
        <v/>
      </c>
      <c r="P446" s="19" t="str">
        <f aca="false">IF($O446="","",IFERROR(INDEX(Invoices!$I$5:$I$504,MATCH($O446,Invoices!$A$5:$A$504,0)),""))</f>
        <v/>
      </c>
      <c r="Q446" s="2" t="str">
        <f aca="false">IF(AND($A446&lt;&gt;"",$B446&lt;&gt;"",$G446="Completed"),COUNTIFS($A$5:$A446,"&lt;&gt;",$B$5:$B446,"&lt;&gt;",$G$5:$G446,"Completed"),"")</f>
        <v/>
      </c>
    </row>
    <row r="447" customFormat="false" ht="15" hidden="false" customHeight="false" outlineLevel="0" collapsed="false">
      <c r="A447" s="16"/>
      <c r="B447" s="12"/>
      <c r="C447" s="17"/>
      <c r="D447" s="18"/>
      <c r="E447" s="13"/>
      <c r="F447" s="13"/>
      <c r="G447" s="12"/>
      <c r="H447" s="12"/>
      <c r="I447" s="19" t="str">
        <f aca="false">IF($B447="","",IFERROR(INDEX(Clients!$D$5:$D$204,MATCH($B447,Clients!$A$5:$A$204,0))&amp;"",""))</f>
        <v/>
      </c>
      <c r="J447" s="19" t="str">
        <f aca="false">IF($B447="","",IF($C447&lt;&gt;"",$C447,IFERROR(INDEX(Clients!$E$5:$E$204,MATCH($B447,Clients!$A$5:$A$204,0))&amp;"","")))</f>
        <v/>
      </c>
      <c r="K447" s="15" t="str">
        <f aca="false">IF($B447="","",IF($F447&lt;&gt;"",$F447,IFERROR(IF(AND(INDEX(Clients!$F$5:$F$204,MATCH($B447,Clients!$A$5:$A$204,0))&amp;""&lt;&gt;"",OR($C447="",$C447=INDEX(Clients!$E$5:$E$204,MATCH($B447,Clients!$A$5:$A$204,0)))),INDEX(Clients!$F$5:$F$204,MATCH($B447,Clients!$A$5:$A$204,0)),INDEX(Settings!$E$5:$E$19,MATCH($J447,Settings!$D$5:$D$19,0))),0)))</f>
        <v/>
      </c>
      <c r="L447" s="15" t="str">
        <f aca="false">IF($B447="","",$K447*IF($D447="",1,$D447)+$E447)</f>
        <v/>
      </c>
      <c r="M447" s="15" t="str">
        <f aca="false">IF($B447="","",ROUND($L447*Settings!$B$9,2))</f>
        <v/>
      </c>
      <c r="N447" s="15" t="str">
        <f aca="false">IF($B447="","",$L447+$M447)</f>
        <v/>
      </c>
      <c r="O447" s="19" t="str">
        <f aca="false">IF($Q447="","",Settings!$B$13&amp;TEXT(ROWS($A$5:$A447),"0000"))</f>
        <v/>
      </c>
      <c r="P447" s="19" t="str">
        <f aca="false">IF($O447="","",IFERROR(INDEX(Invoices!$I$5:$I$504,MATCH($O447,Invoices!$A$5:$A$504,0)),""))</f>
        <v/>
      </c>
      <c r="Q447" s="2" t="str">
        <f aca="false">IF(AND($A447&lt;&gt;"",$B447&lt;&gt;"",$G447="Completed"),COUNTIFS($A$5:$A447,"&lt;&gt;",$B$5:$B447,"&lt;&gt;",$G$5:$G447,"Completed"),"")</f>
        <v/>
      </c>
    </row>
    <row r="448" customFormat="false" ht="15" hidden="false" customHeight="false" outlineLevel="0" collapsed="false">
      <c r="A448" s="16"/>
      <c r="B448" s="12"/>
      <c r="C448" s="17"/>
      <c r="D448" s="18"/>
      <c r="E448" s="13"/>
      <c r="F448" s="13"/>
      <c r="G448" s="12"/>
      <c r="H448" s="12"/>
      <c r="I448" s="19" t="str">
        <f aca="false">IF($B448="","",IFERROR(INDEX(Clients!$D$5:$D$204,MATCH($B448,Clients!$A$5:$A$204,0))&amp;"",""))</f>
        <v/>
      </c>
      <c r="J448" s="19" t="str">
        <f aca="false">IF($B448="","",IF($C448&lt;&gt;"",$C448,IFERROR(INDEX(Clients!$E$5:$E$204,MATCH($B448,Clients!$A$5:$A$204,0))&amp;"","")))</f>
        <v/>
      </c>
      <c r="K448" s="15" t="str">
        <f aca="false">IF($B448="","",IF($F448&lt;&gt;"",$F448,IFERROR(IF(AND(INDEX(Clients!$F$5:$F$204,MATCH($B448,Clients!$A$5:$A$204,0))&amp;""&lt;&gt;"",OR($C448="",$C448=INDEX(Clients!$E$5:$E$204,MATCH($B448,Clients!$A$5:$A$204,0)))),INDEX(Clients!$F$5:$F$204,MATCH($B448,Clients!$A$5:$A$204,0)),INDEX(Settings!$E$5:$E$19,MATCH($J448,Settings!$D$5:$D$19,0))),0)))</f>
        <v/>
      </c>
      <c r="L448" s="15" t="str">
        <f aca="false">IF($B448="","",$K448*IF($D448="",1,$D448)+$E448)</f>
        <v/>
      </c>
      <c r="M448" s="15" t="str">
        <f aca="false">IF($B448="","",ROUND($L448*Settings!$B$9,2))</f>
        <v/>
      </c>
      <c r="N448" s="15" t="str">
        <f aca="false">IF($B448="","",$L448+$M448)</f>
        <v/>
      </c>
      <c r="O448" s="19" t="str">
        <f aca="false">IF($Q448="","",Settings!$B$13&amp;TEXT(ROWS($A$5:$A448),"0000"))</f>
        <v/>
      </c>
      <c r="P448" s="19" t="str">
        <f aca="false">IF($O448="","",IFERROR(INDEX(Invoices!$I$5:$I$504,MATCH($O448,Invoices!$A$5:$A$504,0)),""))</f>
        <v/>
      </c>
      <c r="Q448" s="2" t="str">
        <f aca="false">IF(AND($A448&lt;&gt;"",$B448&lt;&gt;"",$G448="Completed"),COUNTIFS($A$5:$A448,"&lt;&gt;",$B$5:$B448,"&lt;&gt;",$G$5:$G448,"Completed"),"")</f>
        <v/>
      </c>
    </row>
    <row r="449" customFormat="false" ht="15" hidden="false" customHeight="false" outlineLevel="0" collapsed="false">
      <c r="A449" s="16"/>
      <c r="B449" s="12"/>
      <c r="C449" s="17"/>
      <c r="D449" s="18"/>
      <c r="E449" s="13"/>
      <c r="F449" s="13"/>
      <c r="G449" s="12"/>
      <c r="H449" s="12"/>
      <c r="I449" s="19" t="str">
        <f aca="false">IF($B449="","",IFERROR(INDEX(Clients!$D$5:$D$204,MATCH($B449,Clients!$A$5:$A$204,0))&amp;"",""))</f>
        <v/>
      </c>
      <c r="J449" s="19" t="str">
        <f aca="false">IF($B449="","",IF($C449&lt;&gt;"",$C449,IFERROR(INDEX(Clients!$E$5:$E$204,MATCH($B449,Clients!$A$5:$A$204,0))&amp;"","")))</f>
        <v/>
      </c>
      <c r="K449" s="15" t="str">
        <f aca="false">IF($B449="","",IF($F449&lt;&gt;"",$F449,IFERROR(IF(AND(INDEX(Clients!$F$5:$F$204,MATCH($B449,Clients!$A$5:$A$204,0))&amp;""&lt;&gt;"",OR($C449="",$C449=INDEX(Clients!$E$5:$E$204,MATCH($B449,Clients!$A$5:$A$204,0)))),INDEX(Clients!$F$5:$F$204,MATCH($B449,Clients!$A$5:$A$204,0)),INDEX(Settings!$E$5:$E$19,MATCH($J449,Settings!$D$5:$D$19,0))),0)))</f>
        <v/>
      </c>
      <c r="L449" s="15" t="str">
        <f aca="false">IF($B449="","",$K449*IF($D449="",1,$D449)+$E449)</f>
        <v/>
      </c>
      <c r="M449" s="15" t="str">
        <f aca="false">IF($B449="","",ROUND($L449*Settings!$B$9,2))</f>
        <v/>
      </c>
      <c r="N449" s="15" t="str">
        <f aca="false">IF($B449="","",$L449+$M449)</f>
        <v/>
      </c>
      <c r="O449" s="19" t="str">
        <f aca="false">IF($Q449="","",Settings!$B$13&amp;TEXT(ROWS($A$5:$A449),"0000"))</f>
        <v/>
      </c>
      <c r="P449" s="19" t="str">
        <f aca="false">IF($O449="","",IFERROR(INDEX(Invoices!$I$5:$I$504,MATCH($O449,Invoices!$A$5:$A$504,0)),""))</f>
        <v/>
      </c>
      <c r="Q449" s="2" t="str">
        <f aca="false">IF(AND($A449&lt;&gt;"",$B449&lt;&gt;"",$G449="Completed"),COUNTIFS($A$5:$A449,"&lt;&gt;",$B$5:$B449,"&lt;&gt;",$G$5:$G449,"Completed"),"")</f>
        <v/>
      </c>
    </row>
    <row r="450" customFormat="false" ht="15" hidden="false" customHeight="false" outlineLevel="0" collapsed="false">
      <c r="A450" s="16"/>
      <c r="B450" s="12"/>
      <c r="C450" s="17"/>
      <c r="D450" s="18"/>
      <c r="E450" s="13"/>
      <c r="F450" s="13"/>
      <c r="G450" s="12"/>
      <c r="H450" s="12"/>
      <c r="I450" s="19" t="str">
        <f aca="false">IF($B450="","",IFERROR(INDEX(Clients!$D$5:$D$204,MATCH($B450,Clients!$A$5:$A$204,0))&amp;"",""))</f>
        <v/>
      </c>
      <c r="J450" s="19" t="str">
        <f aca="false">IF($B450="","",IF($C450&lt;&gt;"",$C450,IFERROR(INDEX(Clients!$E$5:$E$204,MATCH($B450,Clients!$A$5:$A$204,0))&amp;"","")))</f>
        <v/>
      </c>
      <c r="K450" s="15" t="str">
        <f aca="false">IF($B450="","",IF($F450&lt;&gt;"",$F450,IFERROR(IF(AND(INDEX(Clients!$F$5:$F$204,MATCH($B450,Clients!$A$5:$A$204,0))&amp;""&lt;&gt;"",OR($C450="",$C450=INDEX(Clients!$E$5:$E$204,MATCH($B450,Clients!$A$5:$A$204,0)))),INDEX(Clients!$F$5:$F$204,MATCH($B450,Clients!$A$5:$A$204,0)),INDEX(Settings!$E$5:$E$19,MATCH($J450,Settings!$D$5:$D$19,0))),0)))</f>
        <v/>
      </c>
      <c r="L450" s="15" t="str">
        <f aca="false">IF($B450="","",$K450*IF($D450="",1,$D450)+$E450)</f>
        <v/>
      </c>
      <c r="M450" s="15" t="str">
        <f aca="false">IF($B450="","",ROUND($L450*Settings!$B$9,2))</f>
        <v/>
      </c>
      <c r="N450" s="15" t="str">
        <f aca="false">IF($B450="","",$L450+$M450)</f>
        <v/>
      </c>
      <c r="O450" s="19" t="str">
        <f aca="false">IF($Q450="","",Settings!$B$13&amp;TEXT(ROWS($A$5:$A450),"0000"))</f>
        <v/>
      </c>
      <c r="P450" s="19" t="str">
        <f aca="false">IF($O450="","",IFERROR(INDEX(Invoices!$I$5:$I$504,MATCH($O450,Invoices!$A$5:$A$504,0)),""))</f>
        <v/>
      </c>
      <c r="Q450" s="2" t="str">
        <f aca="false">IF(AND($A450&lt;&gt;"",$B450&lt;&gt;"",$G450="Completed"),COUNTIFS($A$5:$A450,"&lt;&gt;",$B$5:$B450,"&lt;&gt;",$G$5:$G450,"Completed"),"")</f>
        <v/>
      </c>
    </row>
    <row r="451" customFormat="false" ht="15" hidden="false" customHeight="false" outlineLevel="0" collapsed="false">
      <c r="A451" s="16"/>
      <c r="B451" s="12"/>
      <c r="C451" s="17"/>
      <c r="D451" s="18"/>
      <c r="E451" s="13"/>
      <c r="F451" s="13"/>
      <c r="G451" s="12"/>
      <c r="H451" s="12"/>
      <c r="I451" s="19" t="str">
        <f aca="false">IF($B451="","",IFERROR(INDEX(Clients!$D$5:$D$204,MATCH($B451,Clients!$A$5:$A$204,0))&amp;"",""))</f>
        <v/>
      </c>
      <c r="J451" s="19" t="str">
        <f aca="false">IF($B451="","",IF($C451&lt;&gt;"",$C451,IFERROR(INDEX(Clients!$E$5:$E$204,MATCH($B451,Clients!$A$5:$A$204,0))&amp;"","")))</f>
        <v/>
      </c>
      <c r="K451" s="15" t="str">
        <f aca="false">IF($B451="","",IF($F451&lt;&gt;"",$F451,IFERROR(IF(AND(INDEX(Clients!$F$5:$F$204,MATCH($B451,Clients!$A$5:$A$204,0))&amp;""&lt;&gt;"",OR($C451="",$C451=INDEX(Clients!$E$5:$E$204,MATCH($B451,Clients!$A$5:$A$204,0)))),INDEX(Clients!$F$5:$F$204,MATCH($B451,Clients!$A$5:$A$204,0)),INDEX(Settings!$E$5:$E$19,MATCH($J451,Settings!$D$5:$D$19,0))),0)))</f>
        <v/>
      </c>
      <c r="L451" s="15" t="str">
        <f aca="false">IF($B451="","",$K451*IF($D451="",1,$D451)+$E451)</f>
        <v/>
      </c>
      <c r="M451" s="15" t="str">
        <f aca="false">IF($B451="","",ROUND($L451*Settings!$B$9,2))</f>
        <v/>
      </c>
      <c r="N451" s="15" t="str">
        <f aca="false">IF($B451="","",$L451+$M451)</f>
        <v/>
      </c>
      <c r="O451" s="19" t="str">
        <f aca="false">IF($Q451="","",Settings!$B$13&amp;TEXT(ROWS($A$5:$A451),"0000"))</f>
        <v/>
      </c>
      <c r="P451" s="19" t="str">
        <f aca="false">IF($O451="","",IFERROR(INDEX(Invoices!$I$5:$I$504,MATCH($O451,Invoices!$A$5:$A$504,0)),""))</f>
        <v/>
      </c>
      <c r="Q451" s="2" t="str">
        <f aca="false">IF(AND($A451&lt;&gt;"",$B451&lt;&gt;"",$G451="Completed"),COUNTIFS($A$5:$A451,"&lt;&gt;",$B$5:$B451,"&lt;&gt;",$G$5:$G451,"Completed"),"")</f>
        <v/>
      </c>
    </row>
    <row r="452" customFormat="false" ht="15" hidden="false" customHeight="false" outlineLevel="0" collapsed="false">
      <c r="A452" s="16"/>
      <c r="B452" s="12"/>
      <c r="C452" s="17"/>
      <c r="D452" s="18"/>
      <c r="E452" s="13"/>
      <c r="F452" s="13"/>
      <c r="G452" s="12"/>
      <c r="H452" s="12"/>
      <c r="I452" s="19" t="str">
        <f aca="false">IF($B452="","",IFERROR(INDEX(Clients!$D$5:$D$204,MATCH($B452,Clients!$A$5:$A$204,0))&amp;"",""))</f>
        <v/>
      </c>
      <c r="J452" s="19" t="str">
        <f aca="false">IF($B452="","",IF($C452&lt;&gt;"",$C452,IFERROR(INDEX(Clients!$E$5:$E$204,MATCH($B452,Clients!$A$5:$A$204,0))&amp;"","")))</f>
        <v/>
      </c>
      <c r="K452" s="15" t="str">
        <f aca="false">IF($B452="","",IF($F452&lt;&gt;"",$F452,IFERROR(IF(AND(INDEX(Clients!$F$5:$F$204,MATCH($B452,Clients!$A$5:$A$204,0))&amp;""&lt;&gt;"",OR($C452="",$C452=INDEX(Clients!$E$5:$E$204,MATCH($B452,Clients!$A$5:$A$204,0)))),INDEX(Clients!$F$5:$F$204,MATCH($B452,Clients!$A$5:$A$204,0)),INDEX(Settings!$E$5:$E$19,MATCH($J452,Settings!$D$5:$D$19,0))),0)))</f>
        <v/>
      </c>
      <c r="L452" s="15" t="str">
        <f aca="false">IF($B452="","",$K452*IF($D452="",1,$D452)+$E452)</f>
        <v/>
      </c>
      <c r="M452" s="15" t="str">
        <f aca="false">IF($B452="","",ROUND($L452*Settings!$B$9,2))</f>
        <v/>
      </c>
      <c r="N452" s="15" t="str">
        <f aca="false">IF($B452="","",$L452+$M452)</f>
        <v/>
      </c>
      <c r="O452" s="19" t="str">
        <f aca="false">IF($Q452="","",Settings!$B$13&amp;TEXT(ROWS($A$5:$A452),"0000"))</f>
        <v/>
      </c>
      <c r="P452" s="19" t="str">
        <f aca="false">IF($O452="","",IFERROR(INDEX(Invoices!$I$5:$I$504,MATCH($O452,Invoices!$A$5:$A$504,0)),""))</f>
        <v/>
      </c>
      <c r="Q452" s="2" t="str">
        <f aca="false">IF(AND($A452&lt;&gt;"",$B452&lt;&gt;"",$G452="Completed"),COUNTIFS($A$5:$A452,"&lt;&gt;",$B$5:$B452,"&lt;&gt;",$G$5:$G452,"Completed"),"")</f>
        <v/>
      </c>
    </row>
    <row r="453" customFormat="false" ht="15" hidden="false" customHeight="false" outlineLevel="0" collapsed="false">
      <c r="A453" s="16"/>
      <c r="B453" s="12"/>
      <c r="C453" s="17"/>
      <c r="D453" s="18"/>
      <c r="E453" s="13"/>
      <c r="F453" s="13"/>
      <c r="G453" s="12"/>
      <c r="H453" s="12"/>
      <c r="I453" s="19" t="str">
        <f aca="false">IF($B453="","",IFERROR(INDEX(Clients!$D$5:$D$204,MATCH($B453,Clients!$A$5:$A$204,0))&amp;"",""))</f>
        <v/>
      </c>
      <c r="J453" s="19" t="str">
        <f aca="false">IF($B453="","",IF($C453&lt;&gt;"",$C453,IFERROR(INDEX(Clients!$E$5:$E$204,MATCH($B453,Clients!$A$5:$A$204,0))&amp;"","")))</f>
        <v/>
      </c>
      <c r="K453" s="15" t="str">
        <f aca="false">IF($B453="","",IF($F453&lt;&gt;"",$F453,IFERROR(IF(AND(INDEX(Clients!$F$5:$F$204,MATCH($B453,Clients!$A$5:$A$204,0))&amp;""&lt;&gt;"",OR($C453="",$C453=INDEX(Clients!$E$5:$E$204,MATCH($B453,Clients!$A$5:$A$204,0)))),INDEX(Clients!$F$5:$F$204,MATCH($B453,Clients!$A$5:$A$204,0)),INDEX(Settings!$E$5:$E$19,MATCH($J453,Settings!$D$5:$D$19,0))),0)))</f>
        <v/>
      </c>
      <c r="L453" s="15" t="str">
        <f aca="false">IF($B453="","",$K453*IF($D453="",1,$D453)+$E453)</f>
        <v/>
      </c>
      <c r="M453" s="15" t="str">
        <f aca="false">IF($B453="","",ROUND($L453*Settings!$B$9,2))</f>
        <v/>
      </c>
      <c r="N453" s="15" t="str">
        <f aca="false">IF($B453="","",$L453+$M453)</f>
        <v/>
      </c>
      <c r="O453" s="19" t="str">
        <f aca="false">IF($Q453="","",Settings!$B$13&amp;TEXT(ROWS($A$5:$A453),"0000"))</f>
        <v/>
      </c>
      <c r="P453" s="19" t="str">
        <f aca="false">IF($O453="","",IFERROR(INDEX(Invoices!$I$5:$I$504,MATCH($O453,Invoices!$A$5:$A$504,0)),""))</f>
        <v/>
      </c>
      <c r="Q453" s="2" t="str">
        <f aca="false">IF(AND($A453&lt;&gt;"",$B453&lt;&gt;"",$G453="Completed"),COUNTIFS($A$5:$A453,"&lt;&gt;",$B$5:$B453,"&lt;&gt;",$G$5:$G453,"Completed"),"")</f>
        <v/>
      </c>
    </row>
    <row r="454" customFormat="false" ht="15" hidden="false" customHeight="false" outlineLevel="0" collapsed="false">
      <c r="A454" s="16"/>
      <c r="B454" s="12"/>
      <c r="C454" s="17"/>
      <c r="D454" s="18"/>
      <c r="E454" s="13"/>
      <c r="F454" s="13"/>
      <c r="G454" s="12"/>
      <c r="H454" s="12"/>
      <c r="I454" s="19" t="str">
        <f aca="false">IF($B454="","",IFERROR(INDEX(Clients!$D$5:$D$204,MATCH($B454,Clients!$A$5:$A$204,0))&amp;"",""))</f>
        <v/>
      </c>
      <c r="J454" s="19" t="str">
        <f aca="false">IF($B454="","",IF($C454&lt;&gt;"",$C454,IFERROR(INDEX(Clients!$E$5:$E$204,MATCH($B454,Clients!$A$5:$A$204,0))&amp;"","")))</f>
        <v/>
      </c>
      <c r="K454" s="15" t="str">
        <f aca="false">IF($B454="","",IF($F454&lt;&gt;"",$F454,IFERROR(IF(AND(INDEX(Clients!$F$5:$F$204,MATCH($B454,Clients!$A$5:$A$204,0))&amp;""&lt;&gt;"",OR($C454="",$C454=INDEX(Clients!$E$5:$E$204,MATCH($B454,Clients!$A$5:$A$204,0)))),INDEX(Clients!$F$5:$F$204,MATCH($B454,Clients!$A$5:$A$204,0)),INDEX(Settings!$E$5:$E$19,MATCH($J454,Settings!$D$5:$D$19,0))),0)))</f>
        <v/>
      </c>
      <c r="L454" s="15" t="str">
        <f aca="false">IF($B454="","",$K454*IF($D454="",1,$D454)+$E454)</f>
        <v/>
      </c>
      <c r="M454" s="15" t="str">
        <f aca="false">IF($B454="","",ROUND($L454*Settings!$B$9,2))</f>
        <v/>
      </c>
      <c r="N454" s="15" t="str">
        <f aca="false">IF($B454="","",$L454+$M454)</f>
        <v/>
      </c>
      <c r="O454" s="19" t="str">
        <f aca="false">IF($Q454="","",Settings!$B$13&amp;TEXT(ROWS($A$5:$A454),"0000"))</f>
        <v/>
      </c>
      <c r="P454" s="19" t="str">
        <f aca="false">IF($O454="","",IFERROR(INDEX(Invoices!$I$5:$I$504,MATCH($O454,Invoices!$A$5:$A$504,0)),""))</f>
        <v/>
      </c>
      <c r="Q454" s="2" t="str">
        <f aca="false">IF(AND($A454&lt;&gt;"",$B454&lt;&gt;"",$G454="Completed"),COUNTIFS($A$5:$A454,"&lt;&gt;",$B$5:$B454,"&lt;&gt;",$G$5:$G454,"Completed"),"")</f>
        <v/>
      </c>
    </row>
    <row r="455" customFormat="false" ht="15" hidden="false" customHeight="false" outlineLevel="0" collapsed="false">
      <c r="A455" s="16"/>
      <c r="B455" s="12"/>
      <c r="C455" s="17"/>
      <c r="D455" s="18"/>
      <c r="E455" s="13"/>
      <c r="F455" s="13"/>
      <c r="G455" s="12"/>
      <c r="H455" s="12"/>
      <c r="I455" s="19" t="str">
        <f aca="false">IF($B455="","",IFERROR(INDEX(Clients!$D$5:$D$204,MATCH($B455,Clients!$A$5:$A$204,0))&amp;"",""))</f>
        <v/>
      </c>
      <c r="J455" s="19" t="str">
        <f aca="false">IF($B455="","",IF($C455&lt;&gt;"",$C455,IFERROR(INDEX(Clients!$E$5:$E$204,MATCH($B455,Clients!$A$5:$A$204,0))&amp;"","")))</f>
        <v/>
      </c>
      <c r="K455" s="15" t="str">
        <f aca="false">IF($B455="","",IF($F455&lt;&gt;"",$F455,IFERROR(IF(AND(INDEX(Clients!$F$5:$F$204,MATCH($B455,Clients!$A$5:$A$204,0))&amp;""&lt;&gt;"",OR($C455="",$C455=INDEX(Clients!$E$5:$E$204,MATCH($B455,Clients!$A$5:$A$204,0)))),INDEX(Clients!$F$5:$F$204,MATCH($B455,Clients!$A$5:$A$204,0)),INDEX(Settings!$E$5:$E$19,MATCH($J455,Settings!$D$5:$D$19,0))),0)))</f>
        <v/>
      </c>
      <c r="L455" s="15" t="str">
        <f aca="false">IF($B455="","",$K455*IF($D455="",1,$D455)+$E455)</f>
        <v/>
      </c>
      <c r="M455" s="15" t="str">
        <f aca="false">IF($B455="","",ROUND($L455*Settings!$B$9,2))</f>
        <v/>
      </c>
      <c r="N455" s="15" t="str">
        <f aca="false">IF($B455="","",$L455+$M455)</f>
        <v/>
      </c>
      <c r="O455" s="19" t="str">
        <f aca="false">IF($Q455="","",Settings!$B$13&amp;TEXT(ROWS($A$5:$A455),"0000"))</f>
        <v/>
      </c>
      <c r="P455" s="19" t="str">
        <f aca="false">IF($O455="","",IFERROR(INDEX(Invoices!$I$5:$I$504,MATCH($O455,Invoices!$A$5:$A$504,0)),""))</f>
        <v/>
      </c>
      <c r="Q455" s="2" t="str">
        <f aca="false">IF(AND($A455&lt;&gt;"",$B455&lt;&gt;"",$G455="Completed"),COUNTIFS($A$5:$A455,"&lt;&gt;",$B$5:$B455,"&lt;&gt;",$G$5:$G455,"Completed"),"")</f>
        <v/>
      </c>
    </row>
    <row r="456" customFormat="false" ht="15" hidden="false" customHeight="false" outlineLevel="0" collapsed="false">
      <c r="A456" s="16"/>
      <c r="B456" s="12"/>
      <c r="C456" s="17"/>
      <c r="D456" s="18"/>
      <c r="E456" s="13"/>
      <c r="F456" s="13"/>
      <c r="G456" s="12"/>
      <c r="H456" s="12"/>
      <c r="I456" s="19" t="str">
        <f aca="false">IF($B456="","",IFERROR(INDEX(Clients!$D$5:$D$204,MATCH($B456,Clients!$A$5:$A$204,0))&amp;"",""))</f>
        <v/>
      </c>
      <c r="J456" s="19" t="str">
        <f aca="false">IF($B456="","",IF($C456&lt;&gt;"",$C456,IFERROR(INDEX(Clients!$E$5:$E$204,MATCH($B456,Clients!$A$5:$A$204,0))&amp;"","")))</f>
        <v/>
      </c>
      <c r="K456" s="15" t="str">
        <f aca="false">IF($B456="","",IF($F456&lt;&gt;"",$F456,IFERROR(IF(AND(INDEX(Clients!$F$5:$F$204,MATCH($B456,Clients!$A$5:$A$204,0))&amp;""&lt;&gt;"",OR($C456="",$C456=INDEX(Clients!$E$5:$E$204,MATCH($B456,Clients!$A$5:$A$204,0)))),INDEX(Clients!$F$5:$F$204,MATCH($B456,Clients!$A$5:$A$204,0)),INDEX(Settings!$E$5:$E$19,MATCH($J456,Settings!$D$5:$D$19,0))),0)))</f>
        <v/>
      </c>
      <c r="L456" s="15" t="str">
        <f aca="false">IF($B456="","",$K456*IF($D456="",1,$D456)+$E456)</f>
        <v/>
      </c>
      <c r="M456" s="15" t="str">
        <f aca="false">IF($B456="","",ROUND($L456*Settings!$B$9,2))</f>
        <v/>
      </c>
      <c r="N456" s="15" t="str">
        <f aca="false">IF($B456="","",$L456+$M456)</f>
        <v/>
      </c>
      <c r="O456" s="19" t="str">
        <f aca="false">IF($Q456="","",Settings!$B$13&amp;TEXT(ROWS($A$5:$A456),"0000"))</f>
        <v/>
      </c>
      <c r="P456" s="19" t="str">
        <f aca="false">IF($O456="","",IFERROR(INDEX(Invoices!$I$5:$I$504,MATCH($O456,Invoices!$A$5:$A$504,0)),""))</f>
        <v/>
      </c>
      <c r="Q456" s="2" t="str">
        <f aca="false">IF(AND($A456&lt;&gt;"",$B456&lt;&gt;"",$G456="Completed"),COUNTIFS($A$5:$A456,"&lt;&gt;",$B$5:$B456,"&lt;&gt;",$G$5:$G456,"Completed"),"")</f>
        <v/>
      </c>
    </row>
    <row r="457" customFormat="false" ht="15" hidden="false" customHeight="false" outlineLevel="0" collapsed="false">
      <c r="A457" s="16"/>
      <c r="B457" s="12"/>
      <c r="C457" s="17"/>
      <c r="D457" s="18"/>
      <c r="E457" s="13"/>
      <c r="F457" s="13"/>
      <c r="G457" s="12"/>
      <c r="H457" s="12"/>
      <c r="I457" s="19" t="str">
        <f aca="false">IF($B457="","",IFERROR(INDEX(Clients!$D$5:$D$204,MATCH($B457,Clients!$A$5:$A$204,0))&amp;"",""))</f>
        <v/>
      </c>
      <c r="J457" s="19" t="str">
        <f aca="false">IF($B457="","",IF($C457&lt;&gt;"",$C457,IFERROR(INDEX(Clients!$E$5:$E$204,MATCH($B457,Clients!$A$5:$A$204,0))&amp;"","")))</f>
        <v/>
      </c>
      <c r="K457" s="15" t="str">
        <f aca="false">IF($B457="","",IF($F457&lt;&gt;"",$F457,IFERROR(IF(AND(INDEX(Clients!$F$5:$F$204,MATCH($B457,Clients!$A$5:$A$204,0))&amp;""&lt;&gt;"",OR($C457="",$C457=INDEX(Clients!$E$5:$E$204,MATCH($B457,Clients!$A$5:$A$204,0)))),INDEX(Clients!$F$5:$F$204,MATCH($B457,Clients!$A$5:$A$204,0)),INDEX(Settings!$E$5:$E$19,MATCH($J457,Settings!$D$5:$D$19,0))),0)))</f>
        <v/>
      </c>
      <c r="L457" s="15" t="str">
        <f aca="false">IF($B457="","",$K457*IF($D457="",1,$D457)+$E457)</f>
        <v/>
      </c>
      <c r="M457" s="15" t="str">
        <f aca="false">IF($B457="","",ROUND($L457*Settings!$B$9,2))</f>
        <v/>
      </c>
      <c r="N457" s="15" t="str">
        <f aca="false">IF($B457="","",$L457+$M457)</f>
        <v/>
      </c>
      <c r="O457" s="19" t="str">
        <f aca="false">IF($Q457="","",Settings!$B$13&amp;TEXT(ROWS($A$5:$A457),"0000"))</f>
        <v/>
      </c>
      <c r="P457" s="19" t="str">
        <f aca="false">IF($O457="","",IFERROR(INDEX(Invoices!$I$5:$I$504,MATCH($O457,Invoices!$A$5:$A$504,0)),""))</f>
        <v/>
      </c>
      <c r="Q457" s="2" t="str">
        <f aca="false">IF(AND($A457&lt;&gt;"",$B457&lt;&gt;"",$G457="Completed"),COUNTIFS($A$5:$A457,"&lt;&gt;",$B$5:$B457,"&lt;&gt;",$G$5:$G457,"Completed"),"")</f>
        <v/>
      </c>
    </row>
    <row r="458" customFormat="false" ht="15" hidden="false" customHeight="false" outlineLevel="0" collapsed="false">
      <c r="A458" s="16"/>
      <c r="B458" s="12"/>
      <c r="C458" s="17"/>
      <c r="D458" s="18"/>
      <c r="E458" s="13"/>
      <c r="F458" s="13"/>
      <c r="G458" s="12"/>
      <c r="H458" s="12"/>
      <c r="I458" s="19" t="str">
        <f aca="false">IF($B458="","",IFERROR(INDEX(Clients!$D$5:$D$204,MATCH($B458,Clients!$A$5:$A$204,0))&amp;"",""))</f>
        <v/>
      </c>
      <c r="J458" s="19" t="str">
        <f aca="false">IF($B458="","",IF($C458&lt;&gt;"",$C458,IFERROR(INDEX(Clients!$E$5:$E$204,MATCH($B458,Clients!$A$5:$A$204,0))&amp;"","")))</f>
        <v/>
      </c>
      <c r="K458" s="15" t="str">
        <f aca="false">IF($B458="","",IF($F458&lt;&gt;"",$F458,IFERROR(IF(AND(INDEX(Clients!$F$5:$F$204,MATCH($B458,Clients!$A$5:$A$204,0))&amp;""&lt;&gt;"",OR($C458="",$C458=INDEX(Clients!$E$5:$E$204,MATCH($B458,Clients!$A$5:$A$204,0)))),INDEX(Clients!$F$5:$F$204,MATCH($B458,Clients!$A$5:$A$204,0)),INDEX(Settings!$E$5:$E$19,MATCH($J458,Settings!$D$5:$D$19,0))),0)))</f>
        <v/>
      </c>
      <c r="L458" s="15" t="str">
        <f aca="false">IF($B458="","",$K458*IF($D458="",1,$D458)+$E458)</f>
        <v/>
      </c>
      <c r="M458" s="15" t="str">
        <f aca="false">IF($B458="","",ROUND($L458*Settings!$B$9,2))</f>
        <v/>
      </c>
      <c r="N458" s="15" t="str">
        <f aca="false">IF($B458="","",$L458+$M458)</f>
        <v/>
      </c>
      <c r="O458" s="19" t="str">
        <f aca="false">IF($Q458="","",Settings!$B$13&amp;TEXT(ROWS($A$5:$A458),"0000"))</f>
        <v/>
      </c>
      <c r="P458" s="19" t="str">
        <f aca="false">IF($O458="","",IFERROR(INDEX(Invoices!$I$5:$I$504,MATCH($O458,Invoices!$A$5:$A$504,0)),""))</f>
        <v/>
      </c>
      <c r="Q458" s="2" t="str">
        <f aca="false">IF(AND($A458&lt;&gt;"",$B458&lt;&gt;"",$G458="Completed"),COUNTIFS($A$5:$A458,"&lt;&gt;",$B$5:$B458,"&lt;&gt;",$G$5:$G458,"Completed"),"")</f>
        <v/>
      </c>
    </row>
    <row r="459" customFormat="false" ht="15" hidden="false" customHeight="false" outlineLevel="0" collapsed="false">
      <c r="A459" s="16"/>
      <c r="B459" s="12"/>
      <c r="C459" s="17"/>
      <c r="D459" s="18"/>
      <c r="E459" s="13"/>
      <c r="F459" s="13"/>
      <c r="G459" s="12"/>
      <c r="H459" s="12"/>
      <c r="I459" s="19" t="str">
        <f aca="false">IF($B459="","",IFERROR(INDEX(Clients!$D$5:$D$204,MATCH($B459,Clients!$A$5:$A$204,0))&amp;"",""))</f>
        <v/>
      </c>
      <c r="J459" s="19" t="str">
        <f aca="false">IF($B459="","",IF($C459&lt;&gt;"",$C459,IFERROR(INDEX(Clients!$E$5:$E$204,MATCH($B459,Clients!$A$5:$A$204,0))&amp;"","")))</f>
        <v/>
      </c>
      <c r="K459" s="15" t="str">
        <f aca="false">IF($B459="","",IF($F459&lt;&gt;"",$F459,IFERROR(IF(AND(INDEX(Clients!$F$5:$F$204,MATCH($B459,Clients!$A$5:$A$204,0))&amp;""&lt;&gt;"",OR($C459="",$C459=INDEX(Clients!$E$5:$E$204,MATCH($B459,Clients!$A$5:$A$204,0)))),INDEX(Clients!$F$5:$F$204,MATCH($B459,Clients!$A$5:$A$204,0)),INDEX(Settings!$E$5:$E$19,MATCH($J459,Settings!$D$5:$D$19,0))),0)))</f>
        <v/>
      </c>
      <c r="L459" s="15" t="str">
        <f aca="false">IF($B459="","",$K459*IF($D459="",1,$D459)+$E459)</f>
        <v/>
      </c>
      <c r="M459" s="15" t="str">
        <f aca="false">IF($B459="","",ROUND($L459*Settings!$B$9,2))</f>
        <v/>
      </c>
      <c r="N459" s="15" t="str">
        <f aca="false">IF($B459="","",$L459+$M459)</f>
        <v/>
      </c>
      <c r="O459" s="19" t="str">
        <f aca="false">IF($Q459="","",Settings!$B$13&amp;TEXT(ROWS($A$5:$A459),"0000"))</f>
        <v/>
      </c>
      <c r="P459" s="19" t="str">
        <f aca="false">IF($O459="","",IFERROR(INDEX(Invoices!$I$5:$I$504,MATCH($O459,Invoices!$A$5:$A$504,0)),""))</f>
        <v/>
      </c>
      <c r="Q459" s="2" t="str">
        <f aca="false">IF(AND($A459&lt;&gt;"",$B459&lt;&gt;"",$G459="Completed"),COUNTIFS($A$5:$A459,"&lt;&gt;",$B$5:$B459,"&lt;&gt;",$G$5:$G459,"Completed"),"")</f>
        <v/>
      </c>
    </row>
    <row r="460" customFormat="false" ht="15" hidden="false" customHeight="false" outlineLevel="0" collapsed="false">
      <c r="A460" s="16"/>
      <c r="B460" s="12"/>
      <c r="C460" s="17"/>
      <c r="D460" s="18"/>
      <c r="E460" s="13"/>
      <c r="F460" s="13"/>
      <c r="G460" s="12"/>
      <c r="H460" s="12"/>
      <c r="I460" s="19" t="str">
        <f aca="false">IF($B460="","",IFERROR(INDEX(Clients!$D$5:$D$204,MATCH($B460,Clients!$A$5:$A$204,0))&amp;"",""))</f>
        <v/>
      </c>
      <c r="J460" s="19" t="str">
        <f aca="false">IF($B460="","",IF($C460&lt;&gt;"",$C460,IFERROR(INDEX(Clients!$E$5:$E$204,MATCH($B460,Clients!$A$5:$A$204,0))&amp;"","")))</f>
        <v/>
      </c>
      <c r="K460" s="15" t="str">
        <f aca="false">IF($B460="","",IF($F460&lt;&gt;"",$F460,IFERROR(IF(AND(INDEX(Clients!$F$5:$F$204,MATCH($B460,Clients!$A$5:$A$204,0))&amp;""&lt;&gt;"",OR($C460="",$C460=INDEX(Clients!$E$5:$E$204,MATCH($B460,Clients!$A$5:$A$204,0)))),INDEX(Clients!$F$5:$F$204,MATCH($B460,Clients!$A$5:$A$204,0)),INDEX(Settings!$E$5:$E$19,MATCH($J460,Settings!$D$5:$D$19,0))),0)))</f>
        <v/>
      </c>
      <c r="L460" s="15" t="str">
        <f aca="false">IF($B460="","",$K460*IF($D460="",1,$D460)+$E460)</f>
        <v/>
      </c>
      <c r="M460" s="15" t="str">
        <f aca="false">IF($B460="","",ROUND($L460*Settings!$B$9,2))</f>
        <v/>
      </c>
      <c r="N460" s="15" t="str">
        <f aca="false">IF($B460="","",$L460+$M460)</f>
        <v/>
      </c>
      <c r="O460" s="19" t="str">
        <f aca="false">IF($Q460="","",Settings!$B$13&amp;TEXT(ROWS($A$5:$A460),"0000"))</f>
        <v/>
      </c>
      <c r="P460" s="19" t="str">
        <f aca="false">IF($O460="","",IFERROR(INDEX(Invoices!$I$5:$I$504,MATCH($O460,Invoices!$A$5:$A$504,0)),""))</f>
        <v/>
      </c>
      <c r="Q460" s="2" t="str">
        <f aca="false">IF(AND($A460&lt;&gt;"",$B460&lt;&gt;"",$G460="Completed"),COUNTIFS($A$5:$A460,"&lt;&gt;",$B$5:$B460,"&lt;&gt;",$G$5:$G460,"Completed"),"")</f>
        <v/>
      </c>
    </row>
    <row r="461" customFormat="false" ht="15" hidden="false" customHeight="false" outlineLevel="0" collapsed="false">
      <c r="A461" s="16"/>
      <c r="B461" s="12"/>
      <c r="C461" s="17"/>
      <c r="D461" s="18"/>
      <c r="E461" s="13"/>
      <c r="F461" s="13"/>
      <c r="G461" s="12"/>
      <c r="H461" s="12"/>
      <c r="I461" s="19" t="str">
        <f aca="false">IF($B461="","",IFERROR(INDEX(Clients!$D$5:$D$204,MATCH($B461,Clients!$A$5:$A$204,0))&amp;"",""))</f>
        <v/>
      </c>
      <c r="J461" s="19" t="str">
        <f aca="false">IF($B461="","",IF($C461&lt;&gt;"",$C461,IFERROR(INDEX(Clients!$E$5:$E$204,MATCH($B461,Clients!$A$5:$A$204,0))&amp;"","")))</f>
        <v/>
      </c>
      <c r="K461" s="15" t="str">
        <f aca="false">IF($B461="","",IF($F461&lt;&gt;"",$F461,IFERROR(IF(AND(INDEX(Clients!$F$5:$F$204,MATCH($B461,Clients!$A$5:$A$204,0))&amp;""&lt;&gt;"",OR($C461="",$C461=INDEX(Clients!$E$5:$E$204,MATCH($B461,Clients!$A$5:$A$204,0)))),INDEX(Clients!$F$5:$F$204,MATCH($B461,Clients!$A$5:$A$204,0)),INDEX(Settings!$E$5:$E$19,MATCH($J461,Settings!$D$5:$D$19,0))),0)))</f>
        <v/>
      </c>
      <c r="L461" s="15" t="str">
        <f aca="false">IF($B461="","",$K461*IF($D461="",1,$D461)+$E461)</f>
        <v/>
      </c>
      <c r="M461" s="15" t="str">
        <f aca="false">IF($B461="","",ROUND($L461*Settings!$B$9,2))</f>
        <v/>
      </c>
      <c r="N461" s="15" t="str">
        <f aca="false">IF($B461="","",$L461+$M461)</f>
        <v/>
      </c>
      <c r="O461" s="19" t="str">
        <f aca="false">IF($Q461="","",Settings!$B$13&amp;TEXT(ROWS($A$5:$A461),"0000"))</f>
        <v/>
      </c>
      <c r="P461" s="19" t="str">
        <f aca="false">IF($O461="","",IFERROR(INDEX(Invoices!$I$5:$I$504,MATCH($O461,Invoices!$A$5:$A$504,0)),""))</f>
        <v/>
      </c>
      <c r="Q461" s="2" t="str">
        <f aca="false">IF(AND($A461&lt;&gt;"",$B461&lt;&gt;"",$G461="Completed"),COUNTIFS($A$5:$A461,"&lt;&gt;",$B$5:$B461,"&lt;&gt;",$G$5:$G461,"Completed"),"")</f>
        <v/>
      </c>
    </row>
    <row r="462" customFormat="false" ht="15" hidden="false" customHeight="false" outlineLevel="0" collapsed="false">
      <c r="A462" s="16"/>
      <c r="B462" s="12"/>
      <c r="C462" s="17"/>
      <c r="D462" s="18"/>
      <c r="E462" s="13"/>
      <c r="F462" s="13"/>
      <c r="G462" s="12"/>
      <c r="H462" s="12"/>
      <c r="I462" s="19" t="str">
        <f aca="false">IF($B462="","",IFERROR(INDEX(Clients!$D$5:$D$204,MATCH($B462,Clients!$A$5:$A$204,0))&amp;"",""))</f>
        <v/>
      </c>
      <c r="J462" s="19" t="str">
        <f aca="false">IF($B462="","",IF($C462&lt;&gt;"",$C462,IFERROR(INDEX(Clients!$E$5:$E$204,MATCH($B462,Clients!$A$5:$A$204,0))&amp;"","")))</f>
        <v/>
      </c>
      <c r="K462" s="15" t="str">
        <f aca="false">IF($B462="","",IF($F462&lt;&gt;"",$F462,IFERROR(IF(AND(INDEX(Clients!$F$5:$F$204,MATCH($B462,Clients!$A$5:$A$204,0))&amp;""&lt;&gt;"",OR($C462="",$C462=INDEX(Clients!$E$5:$E$204,MATCH($B462,Clients!$A$5:$A$204,0)))),INDEX(Clients!$F$5:$F$204,MATCH($B462,Clients!$A$5:$A$204,0)),INDEX(Settings!$E$5:$E$19,MATCH($J462,Settings!$D$5:$D$19,0))),0)))</f>
        <v/>
      </c>
      <c r="L462" s="15" t="str">
        <f aca="false">IF($B462="","",$K462*IF($D462="",1,$D462)+$E462)</f>
        <v/>
      </c>
      <c r="M462" s="15" t="str">
        <f aca="false">IF($B462="","",ROUND($L462*Settings!$B$9,2))</f>
        <v/>
      </c>
      <c r="N462" s="15" t="str">
        <f aca="false">IF($B462="","",$L462+$M462)</f>
        <v/>
      </c>
      <c r="O462" s="19" t="str">
        <f aca="false">IF($Q462="","",Settings!$B$13&amp;TEXT(ROWS($A$5:$A462),"0000"))</f>
        <v/>
      </c>
      <c r="P462" s="19" t="str">
        <f aca="false">IF($O462="","",IFERROR(INDEX(Invoices!$I$5:$I$504,MATCH($O462,Invoices!$A$5:$A$504,0)),""))</f>
        <v/>
      </c>
      <c r="Q462" s="2" t="str">
        <f aca="false">IF(AND($A462&lt;&gt;"",$B462&lt;&gt;"",$G462="Completed"),COUNTIFS($A$5:$A462,"&lt;&gt;",$B$5:$B462,"&lt;&gt;",$G$5:$G462,"Completed"),"")</f>
        <v/>
      </c>
    </row>
    <row r="463" customFormat="false" ht="15" hidden="false" customHeight="false" outlineLevel="0" collapsed="false">
      <c r="A463" s="16"/>
      <c r="B463" s="12"/>
      <c r="C463" s="17"/>
      <c r="D463" s="18"/>
      <c r="E463" s="13"/>
      <c r="F463" s="13"/>
      <c r="G463" s="12"/>
      <c r="H463" s="12"/>
      <c r="I463" s="19" t="str">
        <f aca="false">IF($B463="","",IFERROR(INDEX(Clients!$D$5:$D$204,MATCH($B463,Clients!$A$5:$A$204,0))&amp;"",""))</f>
        <v/>
      </c>
      <c r="J463" s="19" t="str">
        <f aca="false">IF($B463="","",IF($C463&lt;&gt;"",$C463,IFERROR(INDEX(Clients!$E$5:$E$204,MATCH($B463,Clients!$A$5:$A$204,0))&amp;"","")))</f>
        <v/>
      </c>
      <c r="K463" s="15" t="str">
        <f aca="false">IF($B463="","",IF($F463&lt;&gt;"",$F463,IFERROR(IF(AND(INDEX(Clients!$F$5:$F$204,MATCH($B463,Clients!$A$5:$A$204,0))&amp;""&lt;&gt;"",OR($C463="",$C463=INDEX(Clients!$E$5:$E$204,MATCH($B463,Clients!$A$5:$A$204,0)))),INDEX(Clients!$F$5:$F$204,MATCH($B463,Clients!$A$5:$A$204,0)),INDEX(Settings!$E$5:$E$19,MATCH($J463,Settings!$D$5:$D$19,0))),0)))</f>
        <v/>
      </c>
      <c r="L463" s="15" t="str">
        <f aca="false">IF($B463="","",$K463*IF($D463="",1,$D463)+$E463)</f>
        <v/>
      </c>
      <c r="M463" s="15" t="str">
        <f aca="false">IF($B463="","",ROUND($L463*Settings!$B$9,2))</f>
        <v/>
      </c>
      <c r="N463" s="15" t="str">
        <f aca="false">IF($B463="","",$L463+$M463)</f>
        <v/>
      </c>
      <c r="O463" s="19" t="str">
        <f aca="false">IF($Q463="","",Settings!$B$13&amp;TEXT(ROWS($A$5:$A463),"0000"))</f>
        <v/>
      </c>
      <c r="P463" s="19" t="str">
        <f aca="false">IF($O463="","",IFERROR(INDEX(Invoices!$I$5:$I$504,MATCH($O463,Invoices!$A$5:$A$504,0)),""))</f>
        <v/>
      </c>
      <c r="Q463" s="2" t="str">
        <f aca="false">IF(AND($A463&lt;&gt;"",$B463&lt;&gt;"",$G463="Completed"),COUNTIFS($A$5:$A463,"&lt;&gt;",$B$5:$B463,"&lt;&gt;",$G$5:$G463,"Completed"),"")</f>
        <v/>
      </c>
    </row>
    <row r="464" customFormat="false" ht="15" hidden="false" customHeight="false" outlineLevel="0" collapsed="false">
      <c r="A464" s="16"/>
      <c r="B464" s="12"/>
      <c r="C464" s="17"/>
      <c r="D464" s="18"/>
      <c r="E464" s="13"/>
      <c r="F464" s="13"/>
      <c r="G464" s="12"/>
      <c r="H464" s="12"/>
      <c r="I464" s="19" t="str">
        <f aca="false">IF($B464="","",IFERROR(INDEX(Clients!$D$5:$D$204,MATCH($B464,Clients!$A$5:$A$204,0))&amp;"",""))</f>
        <v/>
      </c>
      <c r="J464" s="19" t="str">
        <f aca="false">IF($B464="","",IF($C464&lt;&gt;"",$C464,IFERROR(INDEX(Clients!$E$5:$E$204,MATCH($B464,Clients!$A$5:$A$204,0))&amp;"","")))</f>
        <v/>
      </c>
      <c r="K464" s="15" t="str">
        <f aca="false">IF($B464="","",IF($F464&lt;&gt;"",$F464,IFERROR(IF(AND(INDEX(Clients!$F$5:$F$204,MATCH($B464,Clients!$A$5:$A$204,0))&amp;""&lt;&gt;"",OR($C464="",$C464=INDEX(Clients!$E$5:$E$204,MATCH($B464,Clients!$A$5:$A$204,0)))),INDEX(Clients!$F$5:$F$204,MATCH($B464,Clients!$A$5:$A$204,0)),INDEX(Settings!$E$5:$E$19,MATCH($J464,Settings!$D$5:$D$19,0))),0)))</f>
        <v/>
      </c>
      <c r="L464" s="15" t="str">
        <f aca="false">IF($B464="","",$K464*IF($D464="",1,$D464)+$E464)</f>
        <v/>
      </c>
      <c r="M464" s="15" t="str">
        <f aca="false">IF($B464="","",ROUND($L464*Settings!$B$9,2))</f>
        <v/>
      </c>
      <c r="N464" s="15" t="str">
        <f aca="false">IF($B464="","",$L464+$M464)</f>
        <v/>
      </c>
      <c r="O464" s="19" t="str">
        <f aca="false">IF($Q464="","",Settings!$B$13&amp;TEXT(ROWS($A$5:$A464),"0000"))</f>
        <v/>
      </c>
      <c r="P464" s="19" t="str">
        <f aca="false">IF($O464="","",IFERROR(INDEX(Invoices!$I$5:$I$504,MATCH($O464,Invoices!$A$5:$A$504,0)),""))</f>
        <v/>
      </c>
      <c r="Q464" s="2" t="str">
        <f aca="false">IF(AND($A464&lt;&gt;"",$B464&lt;&gt;"",$G464="Completed"),COUNTIFS($A$5:$A464,"&lt;&gt;",$B$5:$B464,"&lt;&gt;",$G$5:$G464,"Completed"),"")</f>
        <v/>
      </c>
    </row>
    <row r="465" customFormat="false" ht="15" hidden="false" customHeight="false" outlineLevel="0" collapsed="false">
      <c r="A465" s="16"/>
      <c r="B465" s="12"/>
      <c r="C465" s="17"/>
      <c r="D465" s="18"/>
      <c r="E465" s="13"/>
      <c r="F465" s="13"/>
      <c r="G465" s="12"/>
      <c r="H465" s="12"/>
      <c r="I465" s="19" t="str">
        <f aca="false">IF($B465="","",IFERROR(INDEX(Clients!$D$5:$D$204,MATCH($B465,Clients!$A$5:$A$204,0))&amp;"",""))</f>
        <v/>
      </c>
      <c r="J465" s="19" t="str">
        <f aca="false">IF($B465="","",IF($C465&lt;&gt;"",$C465,IFERROR(INDEX(Clients!$E$5:$E$204,MATCH($B465,Clients!$A$5:$A$204,0))&amp;"","")))</f>
        <v/>
      </c>
      <c r="K465" s="15" t="str">
        <f aca="false">IF($B465="","",IF($F465&lt;&gt;"",$F465,IFERROR(IF(AND(INDEX(Clients!$F$5:$F$204,MATCH($B465,Clients!$A$5:$A$204,0))&amp;""&lt;&gt;"",OR($C465="",$C465=INDEX(Clients!$E$5:$E$204,MATCH($B465,Clients!$A$5:$A$204,0)))),INDEX(Clients!$F$5:$F$204,MATCH($B465,Clients!$A$5:$A$204,0)),INDEX(Settings!$E$5:$E$19,MATCH($J465,Settings!$D$5:$D$19,0))),0)))</f>
        <v/>
      </c>
      <c r="L465" s="15" t="str">
        <f aca="false">IF($B465="","",$K465*IF($D465="",1,$D465)+$E465)</f>
        <v/>
      </c>
      <c r="M465" s="15" t="str">
        <f aca="false">IF($B465="","",ROUND($L465*Settings!$B$9,2))</f>
        <v/>
      </c>
      <c r="N465" s="15" t="str">
        <f aca="false">IF($B465="","",$L465+$M465)</f>
        <v/>
      </c>
      <c r="O465" s="19" t="str">
        <f aca="false">IF($Q465="","",Settings!$B$13&amp;TEXT(ROWS($A$5:$A465),"0000"))</f>
        <v/>
      </c>
      <c r="P465" s="19" t="str">
        <f aca="false">IF($O465="","",IFERROR(INDEX(Invoices!$I$5:$I$504,MATCH($O465,Invoices!$A$5:$A$504,0)),""))</f>
        <v/>
      </c>
      <c r="Q465" s="2" t="str">
        <f aca="false">IF(AND($A465&lt;&gt;"",$B465&lt;&gt;"",$G465="Completed"),COUNTIFS($A$5:$A465,"&lt;&gt;",$B$5:$B465,"&lt;&gt;",$G$5:$G465,"Completed"),"")</f>
        <v/>
      </c>
    </row>
    <row r="466" customFormat="false" ht="15" hidden="false" customHeight="false" outlineLevel="0" collapsed="false">
      <c r="A466" s="16"/>
      <c r="B466" s="12"/>
      <c r="C466" s="17"/>
      <c r="D466" s="18"/>
      <c r="E466" s="13"/>
      <c r="F466" s="13"/>
      <c r="G466" s="12"/>
      <c r="H466" s="12"/>
      <c r="I466" s="19" t="str">
        <f aca="false">IF($B466="","",IFERROR(INDEX(Clients!$D$5:$D$204,MATCH($B466,Clients!$A$5:$A$204,0))&amp;"",""))</f>
        <v/>
      </c>
      <c r="J466" s="19" t="str">
        <f aca="false">IF($B466="","",IF($C466&lt;&gt;"",$C466,IFERROR(INDEX(Clients!$E$5:$E$204,MATCH($B466,Clients!$A$5:$A$204,0))&amp;"","")))</f>
        <v/>
      </c>
      <c r="K466" s="15" t="str">
        <f aca="false">IF($B466="","",IF($F466&lt;&gt;"",$F466,IFERROR(IF(AND(INDEX(Clients!$F$5:$F$204,MATCH($B466,Clients!$A$5:$A$204,0))&amp;""&lt;&gt;"",OR($C466="",$C466=INDEX(Clients!$E$5:$E$204,MATCH($B466,Clients!$A$5:$A$204,0)))),INDEX(Clients!$F$5:$F$204,MATCH($B466,Clients!$A$5:$A$204,0)),INDEX(Settings!$E$5:$E$19,MATCH($J466,Settings!$D$5:$D$19,0))),0)))</f>
        <v/>
      </c>
      <c r="L466" s="15" t="str">
        <f aca="false">IF($B466="","",$K466*IF($D466="",1,$D466)+$E466)</f>
        <v/>
      </c>
      <c r="M466" s="15" t="str">
        <f aca="false">IF($B466="","",ROUND($L466*Settings!$B$9,2))</f>
        <v/>
      </c>
      <c r="N466" s="15" t="str">
        <f aca="false">IF($B466="","",$L466+$M466)</f>
        <v/>
      </c>
      <c r="O466" s="19" t="str">
        <f aca="false">IF($Q466="","",Settings!$B$13&amp;TEXT(ROWS($A$5:$A466),"0000"))</f>
        <v/>
      </c>
      <c r="P466" s="19" t="str">
        <f aca="false">IF($O466="","",IFERROR(INDEX(Invoices!$I$5:$I$504,MATCH($O466,Invoices!$A$5:$A$504,0)),""))</f>
        <v/>
      </c>
      <c r="Q466" s="2" t="str">
        <f aca="false">IF(AND($A466&lt;&gt;"",$B466&lt;&gt;"",$G466="Completed"),COUNTIFS($A$5:$A466,"&lt;&gt;",$B$5:$B466,"&lt;&gt;",$G$5:$G466,"Completed"),"")</f>
        <v/>
      </c>
    </row>
    <row r="467" customFormat="false" ht="15" hidden="false" customHeight="false" outlineLevel="0" collapsed="false">
      <c r="A467" s="16"/>
      <c r="B467" s="12"/>
      <c r="C467" s="17"/>
      <c r="D467" s="18"/>
      <c r="E467" s="13"/>
      <c r="F467" s="13"/>
      <c r="G467" s="12"/>
      <c r="H467" s="12"/>
      <c r="I467" s="19" t="str">
        <f aca="false">IF($B467="","",IFERROR(INDEX(Clients!$D$5:$D$204,MATCH($B467,Clients!$A$5:$A$204,0))&amp;"",""))</f>
        <v/>
      </c>
      <c r="J467" s="19" t="str">
        <f aca="false">IF($B467="","",IF($C467&lt;&gt;"",$C467,IFERROR(INDEX(Clients!$E$5:$E$204,MATCH($B467,Clients!$A$5:$A$204,0))&amp;"","")))</f>
        <v/>
      </c>
      <c r="K467" s="15" t="str">
        <f aca="false">IF($B467="","",IF($F467&lt;&gt;"",$F467,IFERROR(IF(AND(INDEX(Clients!$F$5:$F$204,MATCH($B467,Clients!$A$5:$A$204,0))&amp;""&lt;&gt;"",OR($C467="",$C467=INDEX(Clients!$E$5:$E$204,MATCH($B467,Clients!$A$5:$A$204,0)))),INDEX(Clients!$F$5:$F$204,MATCH($B467,Clients!$A$5:$A$204,0)),INDEX(Settings!$E$5:$E$19,MATCH($J467,Settings!$D$5:$D$19,0))),0)))</f>
        <v/>
      </c>
      <c r="L467" s="15" t="str">
        <f aca="false">IF($B467="","",$K467*IF($D467="",1,$D467)+$E467)</f>
        <v/>
      </c>
      <c r="M467" s="15" t="str">
        <f aca="false">IF($B467="","",ROUND($L467*Settings!$B$9,2))</f>
        <v/>
      </c>
      <c r="N467" s="15" t="str">
        <f aca="false">IF($B467="","",$L467+$M467)</f>
        <v/>
      </c>
      <c r="O467" s="19" t="str">
        <f aca="false">IF($Q467="","",Settings!$B$13&amp;TEXT(ROWS($A$5:$A467),"0000"))</f>
        <v/>
      </c>
      <c r="P467" s="19" t="str">
        <f aca="false">IF($O467="","",IFERROR(INDEX(Invoices!$I$5:$I$504,MATCH($O467,Invoices!$A$5:$A$504,0)),""))</f>
        <v/>
      </c>
      <c r="Q467" s="2" t="str">
        <f aca="false">IF(AND($A467&lt;&gt;"",$B467&lt;&gt;"",$G467="Completed"),COUNTIFS($A$5:$A467,"&lt;&gt;",$B$5:$B467,"&lt;&gt;",$G$5:$G467,"Completed"),"")</f>
        <v/>
      </c>
    </row>
    <row r="468" customFormat="false" ht="15" hidden="false" customHeight="false" outlineLevel="0" collapsed="false">
      <c r="A468" s="16"/>
      <c r="B468" s="12"/>
      <c r="C468" s="17"/>
      <c r="D468" s="18"/>
      <c r="E468" s="13"/>
      <c r="F468" s="13"/>
      <c r="G468" s="12"/>
      <c r="H468" s="12"/>
      <c r="I468" s="19" t="str">
        <f aca="false">IF($B468="","",IFERROR(INDEX(Clients!$D$5:$D$204,MATCH($B468,Clients!$A$5:$A$204,0))&amp;"",""))</f>
        <v/>
      </c>
      <c r="J468" s="19" t="str">
        <f aca="false">IF($B468="","",IF($C468&lt;&gt;"",$C468,IFERROR(INDEX(Clients!$E$5:$E$204,MATCH($B468,Clients!$A$5:$A$204,0))&amp;"","")))</f>
        <v/>
      </c>
      <c r="K468" s="15" t="str">
        <f aca="false">IF($B468="","",IF($F468&lt;&gt;"",$F468,IFERROR(IF(AND(INDEX(Clients!$F$5:$F$204,MATCH($B468,Clients!$A$5:$A$204,0))&amp;""&lt;&gt;"",OR($C468="",$C468=INDEX(Clients!$E$5:$E$204,MATCH($B468,Clients!$A$5:$A$204,0)))),INDEX(Clients!$F$5:$F$204,MATCH($B468,Clients!$A$5:$A$204,0)),INDEX(Settings!$E$5:$E$19,MATCH($J468,Settings!$D$5:$D$19,0))),0)))</f>
        <v/>
      </c>
      <c r="L468" s="15" t="str">
        <f aca="false">IF($B468="","",$K468*IF($D468="",1,$D468)+$E468)</f>
        <v/>
      </c>
      <c r="M468" s="15" t="str">
        <f aca="false">IF($B468="","",ROUND($L468*Settings!$B$9,2))</f>
        <v/>
      </c>
      <c r="N468" s="15" t="str">
        <f aca="false">IF($B468="","",$L468+$M468)</f>
        <v/>
      </c>
      <c r="O468" s="19" t="str">
        <f aca="false">IF($Q468="","",Settings!$B$13&amp;TEXT(ROWS($A$5:$A468),"0000"))</f>
        <v/>
      </c>
      <c r="P468" s="19" t="str">
        <f aca="false">IF($O468="","",IFERROR(INDEX(Invoices!$I$5:$I$504,MATCH($O468,Invoices!$A$5:$A$504,0)),""))</f>
        <v/>
      </c>
      <c r="Q468" s="2" t="str">
        <f aca="false">IF(AND($A468&lt;&gt;"",$B468&lt;&gt;"",$G468="Completed"),COUNTIFS($A$5:$A468,"&lt;&gt;",$B$5:$B468,"&lt;&gt;",$G$5:$G468,"Completed"),"")</f>
        <v/>
      </c>
    </row>
    <row r="469" customFormat="false" ht="15" hidden="false" customHeight="false" outlineLevel="0" collapsed="false">
      <c r="A469" s="16"/>
      <c r="B469" s="12"/>
      <c r="C469" s="17"/>
      <c r="D469" s="18"/>
      <c r="E469" s="13"/>
      <c r="F469" s="13"/>
      <c r="G469" s="12"/>
      <c r="H469" s="12"/>
      <c r="I469" s="19" t="str">
        <f aca="false">IF($B469="","",IFERROR(INDEX(Clients!$D$5:$D$204,MATCH($B469,Clients!$A$5:$A$204,0))&amp;"",""))</f>
        <v/>
      </c>
      <c r="J469" s="19" t="str">
        <f aca="false">IF($B469="","",IF($C469&lt;&gt;"",$C469,IFERROR(INDEX(Clients!$E$5:$E$204,MATCH($B469,Clients!$A$5:$A$204,0))&amp;"","")))</f>
        <v/>
      </c>
      <c r="K469" s="15" t="str">
        <f aca="false">IF($B469="","",IF($F469&lt;&gt;"",$F469,IFERROR(IF(AND(INDEX(Clients!$F$5:$F$204,MATCH($B469,Clients!$A$5:$A$204,0))&amp;""&lt;&gt;"",OR($C469="",$C469=INDEX(Clients!$E$5:$E$204,MATCH($B469,Clients!$A$5:$A$204,0)))),INDEX(Clients!$F$5:$F$204,MATCH($B469,Clients!$A$5:$A$204,0)),INDEX(Settings!$E$5:$E$19,MATCH($J469,Settings!$D$5:$D$19,0))),0)))</f>
        <v/>
      </c>
      <c r="L469" s="15" t="str">
        <f aca="false">IF($B469="","",$K469*IF($D469="",1,$D469)+$E469)</f>
        <v/>
      </c>
      <c r="M469" s="15" t="str">
        <f aca="false">IF($B469="","",ROUND($L469*Settings!$B$9,2))</f>
        <v/>
      </c>
      <c r="N469" s="15" t="str">
        <f aca="false">IF($B469="","",$L469+$M469)</f>
        <v/>
      </c>
      <c r="O469" s="19" t="str">
        <f aca="false">IF($Q469="","",Settings!$B$13&amp;TEXT(ROWS($A$5:$A469),"0000"))</f>
        <v/>
      </c>
      <c r="P469" s="19" t="str">
        <f aca="false">IF($O469="","",IFERROR(INDEX(Invoices!$I$5:$I$504,MATCH($O469,Invoices!$A$5:$A$504,0)),""))</f>
        <v/>
      </c>
      <c r="Q469" s="2" t="str">
        <f aca="false">IF(AND($A469&lt;&gt;"",$B469&lt;&gt;"",$G469="Completed"),COUNTIFS($A$5:$A469,"&lt;&gt;",$B$5:$B469,"&lt;&gt;",$G$5:$G469,"Completed"),"")</f>
        <v/>
      </c>
    </row>
    <row r="470" customFormat="false" ht="15" hidden="false" customHeight="false" outlineLevel="0" collapsed="false">
      <c r="A470" s="16"/>
      <c r="B470" s="12"/>
      <c r="C470" s="17"/>
      <c r="D470" s="18"/>
      <c r="E470" s="13"/>
      <c r="F470" s="13"/>
      <c r="G470" s="12"/>
      <c r="H470" s="12"/>
      <c r="I470" s="19" t="str">
        <f aca="false">IF($B470="","",IFERROR(INDEX(Clients!$D$5:$D$204,MATCH($B470,Clients!$A$5:$A$204,0))&amp;"",""))</f>
        <v/>
      </c>
      <c r="J470" s="19" t="str">
        <f aca="false">IF($B470="","",IF($C470&lt;&gt;"",$C470,IFERROR(INDEX(Clients!$E$5:$E$204,MATCH($B470,Clients!$A$5:$A$204,0))&amp;"","")))</f>
        <v/>
      </c>
      <c r="K470" s="15" t="str">
        <f aca="false">IF($B470="","",IF($F470&lt;&gt;"",$F470,IFERROR(IF(AND(INDEX(Clients!$F$5:$F$204,MATCH($B470,Clients!$A$5:$A$204,0))&amp;""&lt;&gt;"",OR($C470="",$C470=INDEX(Clients!$E$5:$E$204,MATCH($B470,Clients!$A$5:$A$204,0)))),INDEX(Clients!$F$5:$F$204,MATCH($B470,Clients!$A$5:$A$204,0)),INDEX(Settings!$E$5:$E$19,MATCH($J470,Settings!$D$5:$D$19,0))),0)))</f>
        <v/>
      </c>
      <c r="L470" s="15" t="str">
        <f aca="false">IF($B470="","",$K470*IF($D470="",1,$D470)+$E470)</f>
        <v/>
      </c>
      <c r="M470" s="15" t="str">
        <f aca="false">IF($B470="","",ROUND($L470*Settings!$B$9,2))</f>
        <v/>
      </c>
      <c r="N470" s="15" t="str">
        <f aca="false">IF($B470="","",$L470+$M470)</f>
        <v/>
      </c>
      <c r="O470" s="19" t="str">
        <f aca="false">IF($Q470="","",Settings!$B$13&amp;TEXT(ROWS($A$5:$A470),"0000"))</f>
        <v/>
      </c>
      <c r="P470" s="19" t="str">
        <f aca="false">IF($O470="","",IFERROR(INDEX(Invoices!$I$5:$I$504,MATCH($O470,Invoices!$A$5:$A$504,0)),""))</f>
        <v/>
      </c>
      <c r="Q470" s="2" t="str">
        <f aca="false">IF(AND($A470&lt;&gt;"",$B470&lt;&gt;"",$G470="Completed"),COUNTIFS($A$5:$A470,"&lt;&gt;",$B$5:$B470,"&lt;&gt;",$G$5:$G470,"Completed"),"")</f>
        <v/>
      </c>
    </row>
    <row r="471" customFormat="false" ht="15" hidden="false" customHeight="false" outlineLevel="0" collapsed="false">
      <c r="A471" s="16"/>
      <c r="B471" s="12"/>
      <c r="C471" s="17"/>
      <c r="D471" s="18"/>
      <c r="E471" s="13"/>
      <c r="F471" s="13"/>
      <c r="G471" s="12"/>
      <c r="H471" s="12"/>
      <c r="I471" s="19" t="str">
        <f aca="false">IF($B471="","",IFERROR(INDEX(Clients!$D$5:$D$204,MATCH($B471,Clients!$A$5:$A$204,0))&amp;"",""))</f>
        <v/>
      </c>
      <c r="J471" s="19" t="str">
        <f aca="false">IF($B471="","",IF($C471&lt;&gt;"",$C471,IFERROR(INDEX(Clients!$E$5:$E$204,MATCH($B471,Clients!$A$5:$A$204,0))&amp;"","")))</f>
        <v/>
      </c>
      <c r="K471" s="15" t="str">
        <f aca="false">IF($B471="","",IF($F471&lt;&gt;"",$F471,IFERROR(IF(AND(INDEX(Clients!$F$5:$F$204,MATCH($B471,Clients!$A$5:$A$204,0))&amp;""&lt;&gt;"",OR($C471="",$C471=INDEX(Clients!$E$5:$E$204,MATCH($B471,Clients!$A$5:$A$204,0)))),INDEX(Clients!$F$5:$F$204,MATCH($B471,Clients!$A$5:$A$204,0)),INDEX(Settings!$E$5:$E$19,MATCH($J471,Settings!$D$5:$D$19,0))),0)))</f>
        <v/>
      </c>
      <c r="L471" s="15" t="str">
        <f aca="false">IF($B471="","",$K471*IF($D471="",1,$D471)+$E471)</f>
        <v/>
      </c>
      <c r="M471" s="15" t="str">
        <f aca="false">IF($B471="","",ROUND($L471*Settings!$B$9,2))</f>
        <v/>
      </c>
      <c r="N471" s="15" t="str">
        <f aca="false">IF($B471="","",$L471+$M471)</f>
        <v/>
      </c>
      <c r="O471" s="19" t="str">
        <f aca="false">IF($Q471="","",Settings!$B$13&amp;TEXT(ROWS($A$5:$A471),"0000"))</f>
        <v/>
      </c>
      <c r="P471" s="19" t="str">
        <f aca="false">IF($O471="","",IFERROR(INDEX(Invoices!$I$5:$I$504,MATCH($O471,Invoices!$A$5:$A$504,0)),""))</f>
        <v/>
      </c>
      <c r="Q471" s="2" t="str">
        <f aca="false">IF(AND($A471&lt;&gt;"",$B471&lt;&gt;"",$G471="Completed"),COUNTIFS($A$5:$A471,"&lt;&gt;",$B$5:$B471,"&lt;&gt;",$G$5:$G471,"Completed"),"")</f>
        <v/>
      </c>
    </row>
    <row r="472" customFormat="false" ht="15" hidden="false" customHeight="false" outlineLevel="0" collapsed="false">
      <c r="A472" s="16"/>
      <c r="B472" s="12"/>
      <c r="C472" s="17"/>
      <c r="D472" s="18"/>
      <c r="E472" s="13"/>
      <c r="F472" s="13"/>
      <c r="G472" s="12"/>
      <c r="H472" s="12"/>
      <c r="I472" s="19" t="str">
        <f aca="false">IF($B472="","",IFERROR(INDEX(Clients!$D$5:$D$204,MATCH($B472,Clients!$A$5:$A$204,0))&amp;"",""))</f>
        <v/>
      </c>
      <c r="J472" s="19" t="str">
        <f aca="false">IF($B472="","",IF($C472&lt;&gt;"",$C472,IFERROR(INDEX(Clients!$E$5:$E$204,MATCH($B472,Clients!$A$5:$A$204,0))&amp;"","")))</f>
        <v/>
      </c>
      <c r="K472" s="15" t="str">
        <f aca="false">IF($B472="","",IF($F472&lt;&gt;"",$F472,IFERROR(IF(AND(INDEX(Clients!$F$5:$F$204,MATCH($B472,Clients!$A$5:$A$204,0))&amp;""&lt;&gt;"",OR($C472="",$C472=INDEX(Clients!$E$5:$E$204,MATCH($B472,Clients!$A$5:$A$204,0)))),INDEX(Clients!$F$5:$F$204,MATCH($B472,Clients!$A$5:$A$204,0)),INDEX(Settings!$E$5:$E$19,MATCH($J472,Settings!$D$5:$D$19,0))),0)))</f>
        <v/>
      </c>
      <c r="L472" s="15" t="str">
        <f aca="false">IF($B472="","",$K472*IF($D472="",1,$D472)+$E472)</f>
        <v/>
      </c>
      <c r="M472" s="15" t="str">
        <f aca="false">IF($B472="","",ROUND($L472*Settings!$B$9,2))</f>
        <v/>
      </c>
      <c r="N472" s="15" t="str">
        <f aca="false">IF($B472="","",$L472+$M472)</f>
        <v/>
      </c>
      <c r="O472" s="19" t="str">
        <f aca="false">IF($Q472="","",Settings!$B$13&amp;TEXT(ROWS($A$5:$A472),"0000"))</f>
        <v/>
      </c>
      <c r="P472" s="19" t="str">
        <f aca="false">IF($O472="","",IFERROR(INDEX(Invoices!$I$5:$I$504,MATCH($O472,Invoices!$A$5:$A$504,0)),""))</f>
        <v/>
      </c>
      <c r="Q472" s="2" t="str">
        <f aca="false">IF(AND($A472&lt;&gt;"",$B472&lt;&gt;"",$G472="Completed"),COUNTIFS($A$5:$A472,"&lt;&gt;",$B$5:$B472,"&lt;&gt;",$G$5:$G472,"Completed"),"")</f>
        <v/>
      </c>
    </row>
    <row r="473" customFormat="false" ht="15" hidden="false" customHeight="false" outlineLevel="0" collapsed="false">
      <c r="A473" s="16"/>
      <c r="B473" s="12"/>
      <c r="C473" s="17"/>
      <c r="D473" s="18"/>
      <c r="E473" s="13"/>
      <c r="F473" s="13"/>
      <c r="G473" s="12"/>
      <c r="H473" s="12"/>
      <c r="I473" s="19" t="str">
        <f aca="false">IF($B473="","",IFERROR(INDEX(Clients!$D$5:$D$204,MATCH($B473,Clients!$A$5:$A$204,0))&amp;"",""))</f>
        <v/>
      </c>
      <c r="J473" s="19" t="str">
        <f aca="false">IF($B473="","",IF($C473&lt;&gt;"",$C473,IFERROR(INDEX(Clients!$E$5:$E$204,MATCH($B473,Clients!$A$5:$A$204,0))&amp;"","")))</f>
        <v/>
      </c>
      <c r="K473" s="15" t="str">
        <f aca="false">IF($B473="","",IF($F473&lt;&gt;"",$F473,IFERROR(IF(AND(INDEX(Clients!$F$5:$F$204,MATCH($B473,Clients!$A$5:$A$204,0))&amp;""&lt;&gt;"",OR($C473="",$C473=INDEX(Clients!$E$5:$E$204,MATCH($B473,Clients!$A$5:$A$204,0)))),INDEX(Clients!$F$5:$F$204,MATCH($B473,Clients!$A$5:$A$204,0)),INDEX(Settings!$E$5:$E$19,MATCH($J473,Settings!$D$5:$D$19,0))),0)))</f>
        <v/>
      </c>
      <c r="L473" s="15" t="str">
        <f aca="false">IF($B473="","",$K473*IF($D473="",1,$D473)+$E473)</f>
        <v/>
      </c>
      <c r="M473" s="15" t="str">
        <f aca="false">IF($B473="","",ROUND($L473*Settings!$B$9,2))</f>
        <v/>
      </c>
      <c r="N473" s="15" t="str">
        <f aca="false">IF($B473="","",$L473+$M473)</f>
        <v/>
      </c>
      <c r="O473" s="19" t="str">
        <f aca="false">IF($Q473="","",Settings!$B$13&amp;TEXT(ROWS($A$5:$A473),"0000"))</f>
        <v/>
      </c>
      <c r="P473" s="19" t="str">
        <f aca="false">IF($O473="","",IFERROR(INDEX(Invoices!$I$5:$I$504,MATCH($O473,Invoices!$A$5:$A$504,0)),""))</f>
        <v/>
      </c>
      <c r="Q473" s="2" t="str">
        <f aca="false">IF(AND($A473&lt;&gt;"",$B473&lt;&gt;"",$G473="Completed"),COUNTIFS($A$5:$A473,"&lt;&gt;",$B$5:$B473,"&lt;&gt;",$G$5:$G473,"Completed"),"")</f>
        <v/>
      </c>
    </row>
    <row r="474" customFormat="false" ht="15" hidden="false" customHeight="false" outlineLevel="0" collapsed="false">
      <c r="A474" s="16"/>
      <c r="B474" s="12"/>
      <c r="C474" s="17"/>
      <c r="D474" s="18"/>
      <c r="E474" s="13"/>
      <c r="F474" s="13"/>
      <c r="G474" s="12"/>
      <c r="H474" s="12"/>
      <c r="I474" s="19" t="str">
        <f aca="false">IF($B474="","",IFERROR(INDEX(Clients!$D$5:$D$204,MATCH($B474,Clients!$A$5:$A$204,0))&amp;"",""))</f>
        <v/>
      </c>
      <c r="J474" s="19" t="str">
        <f aca="false">IF($B474="","",IF($C474&lt;&gt;"",$C474,IFERROR(INDEX(Clients!$E$5:$E$204,MATCH($B474,Clients!$A$5:$A$204,0))&amp;"","")))</f>
        <v/>
      </c>
      <c r="K474" s="15" t="str">
        <f aca="false">IF($B474="","",IF($F474&lt;&gt;"",$F474,IFERROR(IF(AND(INDEX(Clients!$F$5:$F$204,MATCH($B474,Clients!$A$5:$A$204,0))&amp;""&lt;&gt;"",OR($C474="",$C474=INDEX(Clients!$E$5:$E$204,MATCH($B474,Clients!$A$5:$A$204,0)))),INDEX(Clients!$F$5:$F$204,MATCH($B474,Clients!$A$5:$A$204,0)),INDEX(Settings!$E$5:$E$19,MATCH($J474,Settings!$D$5:$D$19,0))),0)))</f>
        <v/>
      </c>
      <c r="L474" s="15" t="str">
        <f aca="false">IF($B474="","",$K474*IF($D474="",1,$D474)+$E474)</f>
        <v/>
      </c>
      <c r="M474" s="15" t="str">
        <f aca="false">IF($B474="","",ROUND($L474*Settings!$B$9,2))</f>
        <v/>
      </c>
      <c r="N474" s="15" t="str">
        <f aca="false">IF($B474="","",$L474+$M474)</f>
        <v/>
      </c>
      <c r="O474" s="19" t="str">
        <f aca="false">IF($Q474="","",Settings!$B$13&amp;TEXT(ROWS($A$5:$A474),"0000"))</f>
        <v/>
      </c>
      <c r="P474" s="19" t="str">
        <f aca="false">IF($O474="","",IFERROR(INDEX(Invoices!$I$5:$I$504,MATCH($O474,Invoices!$A$5:$A$504,0)),""))</f>
        <v/>
      </c>
      <c r="Q474" s="2" t="str">
        <f aca="false">IF(AND($A474&lt;&gt;"",$B474&lt;&gt;"",$G474="Completed"),COUNTIFS($A$5:$A474,"&lt;&gt;",$B$5:$B474,"&lt;&gt;",$G$5:$G474,"Completed"),"")</f>
        <v/>
      </c>
    </row>
    <row r="475" customFormat="false" ht="15" hidden="false" customHeight="false" outlineLevel="0" collapsed="false">
      <c r="A475" s="16"/>
      <c r="B475" s="12"/>
      <c r="C475" s="17"/>
      <c r="D475" s="18"/>
      <c r="E475" s="13"/>
      <c r="F475" s="13"/>
      <c r="G475" s="12"/>
      <c r="H475" s="12"/>
      <c r="I475" s="19" t="str">
        <f aca="false">IF($B475="","",IFERROR(INDEX(Clients!$D$5:$D$204,MATCH($B475,Clients!$A$5:$A$204,0))&amp;"",""))</f>
        <v/>
      </c>
      <c r="J475" s="19" t="str">
        <f aca="false">IF($B475="","",IF($C475&lt;&gt;"",$C475,IFERROR(INDEX(Clients!$E$5:$E$204,MATCH($B475,Clients!$A$5:$A$204,0))&amp;"","")))</f>
        <v/>
      </c>
      <c r="K475" s="15" t="str">
        <f aca="false">IF($B475="","",IF($F475&lt;&gt;"",$F475,IFERROR(IF(AND(INDEX(Clients!$F$5:$F$204,MATCH($B475,Clients!$A$5:$A$204,0))&amp;""&lt;&gt;"",OR($C475="",$C475=INDEX(Clients!$E$5:$E$204,MATCH($B475,Clients!$A$5:$A$204,0)))),INDEX(Clients!$F$5:$F$204,MATCH($B475,Clients!$A$5:$A$204,0)),INDEX(Settings!$E$5:$E$19,MATCH($J475,Settings!$D$5:$D$19,0))),0)))</f>
        <v/>
      </c>
      <c r="L475" s="15" t="str">
        <f aca="false">IF($B475="","",$K475*IF($D475="",1,$D475)+$E475)</f>
        <v/>
      </c>
      <c r="M475" s="15" t="str">
        <f aca="false">IF($B475="","",ROUND($L475*Settings!$B$9,2))</f>
        <v/>
      </c>
      <c r="N475" s="15" t="str">
        <f aca="false">IF($B475="","",$L475+$M475)</f>
        <v/>
      </c>
      <c r="O475" s="19" t="str">
        <f aca="false">IF($Q475="","",Settings!$B$13&amp;TEXT(ROWS($A$5:$A475),"0000"))</f>
        <v/>
      </c>
      <c r="P475" s="19" t="str">
        <f aca="false">IF($O475="","",IFERROR(INDEX(Invoices!$I$5:$I$504,MATCH($O475,Invoices!$A$5:$A$504,0)),""))</f>
        <v/>
      </c>
      <c r="Q475" s="2" t="str">
        <f aca="false">IF(AND($A475&lt;&gt;"",$B475&lt;&gt;"",$G475="Completed"),COUNTIFS($A$5:$A475,"&lt;&gt;",$B$5:$B475,"&lt;&gt;",$G$5:$G475,"Completed"),"")</f>
        <v/>
      </c>
    </row>
    <row r="476" customFormat="false" ht="15" hidden="false" customHeight="false" outlineLevel="0" collapsed="false">
      <c r="A476" s="16"/>
      <c r="B476" s="12"/>
      <c r="C476" s="17"/>
      <c r="D476" s="18"/>
      <c r="E476" s="13"/>
      <c r="F476" s="13"/>
      <c r="G476" s="12"/>
      <c r="H476" s="12"/>
      <c r="I476" s="19" t="str">
        <f aca="false">IF($B476="","",IFERROR(INDEX(Clients!$D$5:$D$204,MATCH($B476,Clients!$A$5:$A$204,0))&amp;"",""))</f>
        <v/>
      </c>
      <c r="J476" s="19" t="str">
        <f aca="false">IF($B476="","",IF($C476&lt;&gt;"",$C476,IFERROR(INDEX(Clients!$E$5:$E$204,MATCH($B476,Clients!$A$5:$A$204,0))&amp;"","")))</f>
        <v/>
      </c>
      <c r="K476" s="15" t="str">
        <f aca="false">IF($B476="","",IF($F476&lt;&gt;"",$F476,IFERROR(IF(AND(INDEX(Clients!$F$5:$F$204,MATCH($B476,Clients!$A$5:$A$204,0))&amp;""&lt;&gt;"",OR($C476="",$C476=INDEX(Clients!$E$5:$E$204,MATCH($B476,Clients!$A$5:$A$204,0)))),INDEX(Clients!$F$5:$F$204,MATCH($B476,Clients!$A$5:$A$204,0)),INDEX(Settings!$E$5:$E$19,MATCH($J476,Settings!$D$5:$D$19,0))),0)))</f>
        <v/>
      </c>
      <c r="L476" s="15" t="str">
        <f aca="false">IF($B476="","",$K476*IF($D476="",1,$D476)+$E476)</f>
        <v/>
      </c>
      <c r="M476" s="15" t="str">
        <f aca="false">IF($B476="","",ROUND($L476*Settings!$B$9,2))</f>
        <v/>
      </c>
      <c r="N476" s="15" t="str">
        <f aca="false">IF($B476="","",$L476+$M476)</f>
        <v/>
      </c>
      <c r="O476" s="19" t="str">
        <f aca="false">IF($Q476="","",Settings!$B$13&amp;TEXT(ROWS($A$5:$A476),"0000"))</f>
        <v/>
      </c>
      <c r="P476" s="19" t="str">
        <f aca="false">IF($O476="","",IFERROR(INDEX(Invoices!$I$5:$I$504,MATCH($O476,Invoices!$A$5:$A$504,0)),""))</f>
        <v/>
      </c>
      <c r="Q476" s="2" t="str">
        <f aca="false">IF(AND($A476&lt;&gt;"",$B476&lt;&gt;"",$G476="Completed"),COUNTIFS($A$5:$A476,"&lt;&gt;",$B$5:$B476,"&lt;&gt;",$G$5:$G476,"Completed"),"")</f>
        <v/>
      </c>
    </row>
    <row r="477" customFormat="false" ht="15" hidden="false" customHeight="false" outlineLevel="0" collapsed="false">
      <c r="A477" s="16"/>
      <c r="B477" s="12"/>
      <c r="C477" s="17"/>
      <c r="D477" s="18"/>
      <c r="E477" s="13"/>
      <c r="F477" s="13"/>
      <c r="G477" s="12"/>
      <c r="H477" s="12"/>
      <c r="I477" s="19" t="str">
        <f aca="false">IF($B477="","",IFERROR(INDEX(Clients!$D$5:$D$204,MATCH($B477,Clients!$A$5:$A$204,0))&amp;"",""))</f>
        <v/>
      </c>
      <c r="J477" s="19" t="str">
        <f aca="false">IF($B477="","",IF($C477&lt;&gt;"",$C477,IFERROR(INDEX(Clients!$E$5:$E$204,MATCH($B477,Clients!$A$5:$A$204,0))&amp;"","")))</f>
        <v/>
      </c>
      <c r="K477" s="15" t="str">
        <f aca="false">IF($B477="","",IF($F477&lt;&gt;"",$F477,IFERROR(IF(AND(INDEX(Clients!$F$5:$F$204,MATCH($B477,Clients!$A$5:$A$204,0))&amp;""&lt;&gt;"",OR($C477="",$C477=INDEX(Clients!$E$5:$E$204,MATCH($B477,Clients!$A$5:$A$204,0)))),INDEX(Clients!$F$5:$F$204,MATCH($B477,Clients!$A$5:$A$204,0)),INDEX(Settings!$E$5:$E$19,MATCH($J477,Settings!$D$5:$D$19,0))),0)))</f>
        <v/>
      </c>
      <c r="L477" s="15" t="str">
        <f aca="false">IF($B477="","",$K477*IF($D477="",1,$D477)+$E477)</f>
        <v/>
      </c>
      <c r="M477" s="15" t="str">
        <f aca="false">IF($B477="","",ROUND($L477*Settings!$B$9,2))</f>
        <v/>
      </c>
      <c r="N477" s="15" t="str">
        <f aca="false">IF($B477="","",$L477+$M477)</f>
        <v/>
      </c>
      <c r="O477" s="19" t="str">
        <f aca="false">IF($Q477="","",Settings!$B$13&amp;TEXT(ROWS($A$5:$A477),"0000"))</f>
        <v/>
      </c>
      <c r="P477" s="19" t="str">
        <f aca="false">IF($O477="","",IFERROR(INDEX(Invoices!$I$5:$I$504,MATCH($O477,Invoices!$A$5:$A$504,0)),""))</f>
        <v/>
      </c>
      <c r="Q477" s="2" t="str">
        <f aca="false">IF(AND($A477&lt;&gt;"",$B477&lt;&gt;"",$G477="Completed"),COUNTIFS($A$5:$A477,"&lt;&gt;",$B$5:$B477,"&lt;&gt;",$G$5:$G477,"Completed"),"")</f>
        <v/>
      </c>
    </row>
    <row r="478" customFormat="false" ht="15" hidden="false" customHeight="false" outlineLevel="0" collapsed="false">
      <c r="A478" s="16"/>
      <c r="B478" s="12"/>
      <c r="C478" s="17"/>
      <c r="D478" s="18"/>
      <c r="E478" s="13"/>
      <c r="F478" s="13"/>
      <c r="G478" s="12"/>
      <c r="H478" s="12"/>
      <c r="I478" s="19" t="str">
        <f aca="false">IF($B478="","",IFERROR(INDEX(Clients!$D$5:$D$204,MATCH($B478,Clients!$A$5:$A$204,0))&amp;"",""))</f>
        <v/>
      </c>
      <c r="J478" s="19" t="str">
        <f aca="false">IF($B478="","",IF($C478&lt;&gt;"",$C478,IFERROR(INDEX(Clients!$E$5:$E$204,MATCH($B478,Clients!$A$5:$A$204,0))&amp;"","")))</f>
        <v/>
      </c>
      <c r="K478" s="15" t="str">
        <f aca="false">IF($B478="","",IF($F478&lt;&gt;"",$F478,IFERROR(IF(AND(INDEX(Clients!$F$5:$F$204,MATCH($B478,Clients!$A$5:$A$204,0))&amp;""&lt;&gt;"",OR($C478="",$C478=INDEX(Clients!$E$5:$E$204,MATCH($B478,Clients!$A$5:$A$204,0)))),INDEX(Clients!$F$5:$F$204,MATCH($B478,Clients!$A$5:$A$204,0)),INDEX(Settings!$E$5:$E$19,MATCH($J478,Settings!$D$5:$D$19,0))),0)))</f>
        <v/>
      </c>
      <c r="L478" s="15" t="str">
        <f aca="false">IF($B478="","",$K478*IF($D478="",1,$D478)+$E478)</f>
        <v/>
      </c>
      <c r="M478" s="15" t="str">
        <f aca="false">IF($B478="","",ROUND($L478*Settings!$B$9,2))</f>
        <v/>
      </c>
      <c r="N478" s="15" t="str">
        <f aca="false">IF($B478="","",$L478+$M478)</f>
        <v/>
      </c>
      <c r="O478" s="19" t="str">
        <f aca="false">IF($Q478="","",Settings!$B$13&amp;TEXT(ROWS($A$5:$A478),"0000"))</f>
        <v/>
      </c>
      <c r="P478" s="19" t="str">
        <f aca="false">IF($O478="","",IFERROR(INDEX(Invoices!$I$5:$I$504,MATCH($O478,Invoices!$A$5:$A$504,0)),""))</f>
        <v/>
      </c>
      <c r="Q478" s="2" t="str">
        <f aca="false">IF(AND($A478&lt;&gt;"",$B478&lt;&gt;"",$G478="Completed"),COUNTIFS($A$5:$A478,"&lt;&gt;",$B$5:$B478,"&lt;&gt;",$G$5:$G478,"Completed"),"")</f>
        <v/>
      </c>
    </row>
    <row r="479" customFormat="false" ht="15" hidden="false" customHeight="false" outlineLevel="0" collapsed="false">
      <c r="A479" s="16"/>
      <c r="B479" s="12"/>
      <c r="C479" s="17"/>
      <c r="D479" s="18"/>
      <c r="E479" s="13"/>
      <c r="F479" s="13"/>
      <c r="G479" s="12"/>
      <c r="H479" s="12"/>
      <c r="I479" s="19" t="str">
        <f aca="false">IF($B479="","",IFERROR(INDEX(Clients!$D$5:$D$204,MATCH($B479,Clients!$A$5:$A$204,0))&amp;"",""))</f>
        <v/>
      </c>
      <c r="J479" s="19" t="str">
        <f aca="false">IF($B479="","",IF($C479&lt;&gt;"",$C479,IFERROR(INDEX(Clients!$E$5:$E$204,MATCH($B479,Clients!$A$5:$A$204,0))&amp;"","")))</f>
        <v/>
      </c>
      <c r="K479" s="15" t="str">
        <f aca="false">IF($B479="","",IF($F479&lt;&gt;"",$F479,IFERROR(IF(AND(INDEX(Clients!$F$5:$F$204,MATCH($B479,Clients!$A$5:$A$204,0))&amp;""&lt;&gt;"",OR($C479="",$C479=INDEX(Clients!$E$5:$E$204,MATCH($B479,Clients!$A$5:$A$204,0)))),INDEX(Clients!$F$5:$F$204,MATCH($B479,Clients!$A$5:$A$204,0)),INDEX(Settings!$E$5:$E$19,MATCH($J479,Settings!$D$5:$D$19,0))),0)))</f>
        <v/>
      </c>
      <c r="L479" s="15" t="str">
        <f aca="false">IF($B479="","",$K479*IF($D479="",1,$D479)+$E479)</f>
        <v/>
      </c>
      <c r="M479" s="15" t="str">
        <f aca="false">IF($B479="","",ROUND($L479*Settings!$B$9,2))</f>
        <v/>
      </c>
      <c r="N479" s="15" t="str">
        <f aca="false">IF($B479="","",$L479+$M479)</f>
        <v/>
      </c>
      <c r="O479" s="19" t="str">
        <f aca="false">IF($Q479="","",Settings!$B$13&amp;TEXT(ROWS($A$5:$A479),"0000"))</f>
        <v/>
      </c>
      <c r="P479" s="19" t="str">
        <f aca="false">IF($O479="","",IFERROR(INDEX(Invoices!$I$5:$I$504,MATCH($O479,Invoices!$A$5:$A$504,0)),""))</f>
        <v/>
      </c>
      <c r="Q479" s="2" t="str">
        <f aca="false">IF(AND($A479&lt;&gt;"",$B479&lt;&gt;"",$G479="Completed"),COUNTIFS($A$5:$A479,"&lt;&gt;",$B$5:$B479,"&lt;&gt;",$G$5:$G479,"Completed"),"")</f>
        <v/>
      </c>
    </row>
    <row r="480" customFormat="false" ht="15" hidden="false" customHeight="false" outlineLevel="0" collapsed="false">
      <c r="A480" s="16"/>
      <c r="B480" s="12"/>
      <c r="C480" s="17"/>
      <c r="D480" s="18"/>
      <c r="E480" s="13"/>
      <c r="F480" s="13"/>
      <c r="G480" s="12"/>
      <c r="H480" s="12"/>
      <c r="I480" s="19" t="str">
        <f aca="false">IF($B480="","",IFERROR(INDEX(Clients!$D$5:$D$204,MATCH($B480,Clients!$A$5:$A$204,0))&amp;"",""))</f>
        <v/>
      </c>
      <c r="J480" s="19" t="str">
        <f aca="false">IF($B480="","",IF($C480&lt;&gt;"",$C480,IFERROR(INDEX(Clients!$E$5:$E$204,MATCH($B480,Clients!$A$5:$A$204,0))&amp;"","")))</f>
        <v/>
      </c>
      <c r="K480" s="15" t="str">
        <f aca="false">IF($B480="","",IF($F480&lt;&gt;"",$F480,IFERROR(IF(AND(INDEX(Clients!$F$5:$F$204,MATCH($B480,Clients!$A$5:$A$204,0))&amp;""&lt;&gt;"",OR($C480="",$C480=INDEX(Clients!$E$5:$E$204,MATCH($B480,Clients!$A$5:$A$204,0)))),INDEX(Clients!$F$5:$F$204,MATCH($B480,Clients!$A$5:$A$204,0)),INDEX(Settings!$E$5:$E$19,MATCH($J480,Settings!$D$5:$D$19,0))),0)))</f>
        <v/>
      </c>
      <c r="L480" s="15" t="str">
        <f aca="false">IF($B480="","",$K480*IF($D480="",1,$D480)+$E480)</f>
        <v/>
      </c>
      <c r="M480" s="15" t="str">
        <f aca="false">IF($B480="","",ROUND($L480*Settings!$B$9,2))</f>
        <v/>
      </c>
      <c r="N480" s="15" t="str">
        <f aca="false">IF($B480="","",$L480+$M480)</f>
        <v/>
      </c>
      <c r="O480" s="19" t="str">
        <f aca="false">IF($Q480="","",Settings!$B$13&amp;TEXT(ROWS($A$5:$A480),"0000"))</f>
        <v/>
      </c>
      <c r="P480" s="19" t="str">
        <f aca="false">IF($O480="","",IFERROR(INDEX(Invoices!$I$5:$I$504,MATCH($O480,Invoices!$A$5:$A$504,0)),""))</f>
        <v/>
      </c>
      <c r="Q480" s="2" t="str">
        <f aca="false">IF(AND($A480&lt;&gt;"",$B480&lt;&gt;"",$G480="Completed"),COUNTIFS($A$5:$A480,"&lt;&gt;",$B$5:$B480,"&lt;&gt;",$G$5:$G480,"Completed"),"")</f>
        <v/>
      </c>
    </row>
    <row r="481" customFormat="false" ht="15" hidden="false" customHeight="false" outlineLevel="0" collapsed="false">
      <c r="A481" s="16"/>
      <c r="B481" s="12"/>
      <c r="C481" s="17"/>
      <c r="D481" s="18"/>
      <c r="E481" s="13"/>
      <c r="F481" s="13"/>
      <c r="G481" s="12"/>
      <c r="H481" s="12"/>
      <c r="I481" s="19" t="str">
        <f aca="false">IF($B481="","",IFERROR(INDEX(Clients!$D$5:$D$204,MATCH($B481,Clients!$A$5:$A$204,0))&amp;"",""))</f>
        <v/>
      </c>
      <c r="J481" s="19" t="str">
        <f aca="false">IF($B481="","",IF($C481&lt;&gt;"",$C481,IFERROR(INDEX(Clients!$E$5:$E$204,MATCH($B481,Clients!$A$5:$A$204,0))&amp;"","")))</f>
        <v/>
      </c>
      <c r="K481" s="15" t="str">
        <f aca="false">IF($B481="","",IF($F481&lt;&gt;"",$F481,IFERROR(IF(AND(INDEX(Clients!$F$5:$F$204,MATCH($B481,Clients!$A$5:$A$204,0))&amp;""&lt;&gt;"",OR($C481="",$C481=INDEX(Clients!$E$5:$E$204,MATCH($B481,Clients!$A$5:$A$204,0)))),INDEX(Clients!$F$5:$F$204,MATCH($B481,Clients!$A$5:$A$204,0)),INDEX(Settings!$E$5:$E$19,MATCH($J481,Settings!$D$5:$D$19,0))),0)))</f>
        <v/>
      </c>
      <c r="L481" s="15" t="str">
        <f aca="false">IF($B481="","",$K481*IF($D481="",1,$D481)+$E481)</f>
        <v/>
      </c>
      <c r="M481" s="15" t="str">
        <f aca="false">IF($B481="","",ROUND($L481*Settings!$B$9,2))</f>
        <v/>
      </c>
      <c r="N481" s="15" t="str">
        <f aca="false">IF($B481="","",$L481+$M481)</f>
        <v/>
      </c>
      <c r="O481" s="19" t="str">
        <f aca="false">IF($Q481="","",Settings!$B$13&amp;TEXT(ROWS($A$5:$A481),"0000"))</f>
        <v/>
      </c>
      <c r="P481" s="19" t="str">
        <f aca="false">IF($O481="","",IFERROR(INDEX(Invoices!$I$5:$I$504,MATCH($O481,Invoices!$A$5:$A$504,0)),""))</f>
        <v/>
      </c>
      <c r="Q481" s="2" t="str">
        <f aca="false">IF(AND($A481&lt;&gt;"",$B481&lt;&gt;"",$G481="Completed"),COUNTIFS($A$5:$A481,"&lt;&gt;",$B$5:$B481,"&lt;&gt;",$G$5:$G481,"Completed"),"")</f>
        <v/>
      </c>
    </row>
    <row r="482" customFormat="false" ht="15" hidden="false" customHeight="false" outlineLevel="0" collapsed="false">
      <c r="A482" s="16"/>
      <c r="B482" s="12"/>
      <c r="C482" s="17"/>
      <c r="D482" s="18"/>
      <c r="E482" s="13"/>
      <c r="F482" s="13"/>
      <c r="G482" s="12"/>
      <c r="H482" s="12"/>
      <c r="I482" s="19" t="str">
        <f aca="false">IF($B482="","",IFERROR(INDEX(Clients!$D$5:$D$204,MATCH($B482,Clients!$A$5:$A$204,0))&amp;"",""))</f>
        <v/>
      </c>
      <c r="J482" s="19" t="str">
        <f aca="false">IF($B482="","",IF($C482&lt;&gt;"",$C482,IFERROR(INDEX(Clients!$E$5:$E$204,MATCH($B482,Clients!$A$5:$A$204,0))&amp;"","")))</f>
        <v/>
      </c>
      <c r="K482" s="15" t="str">
        <f aca="false">IF($B482="","",IF($F482&lt;&gt;"",$F482,IFERROR(IF(AND(INDEX(Clients!$F$5:$F$204,MATCH($B482,Clients!$A$5:$A$204,0))&amp;""&lt;&gt;"",OR($C482="",$C482=INDEX(Clients!$E$5:$E$204,MATCH($B482,Clients!$A$5:$A$204,0)))),INDEX(Clients!$F$5:$F$204,MATCH($B482,Clients!$A$5:$A$204,0)),INDEX(Settings!$E$5:$E$19,MATCH($J482,Settings!$D$5:$D$19,0))),0)))</f>
        <v/>
      </c>
      <c r="L482" s="15" t="str">
        <f aca="false">IF($B482="","",$K482*IF($D482="",1,$D482)+$E482)</f>
        <v/>
      </c>
      <c r="M482" s="15" t="str">
        <f aca="false">IF($B482="","",ROUND($L482*Settings!$B$9,2))</f>
        <v/>
      </c>
      <c r="N482" s="15" t="str">
        <f aca="false">IF($B482="","",$L482+$M482)</f>
        <v/>
      </c>
      <c r="O482" s="19" t="str">
        <f aca="false">IF($Q482="","",Settings!$B$13&amp;TEXT(ROWS($A$5:$A482),"0000"))</f>
        <v/>
      </c>
      <c r="P482" s="19" t="str">
        <f aca="false">IF($O482="","",IFERROR(INDEX(Invoices!$I$5:$I$504,MATCH($O482,Invoices!$A$5:$A$504,0)),""))</f>
        <v/>
      </c>
      <c r="Q482" s="2" t="str">
        <f aca="false">IF(AND($A482&lt;&gt;"",$B482&lt;&gt;"",$G482="Completed"),COUNTIFS($A$5:$A482,"&lt;&gt;",$B$5:$B482,"&lt;&gt;",$G$5:$G482,"Completed"),"")</f>
        <v/>
      </c>
    </row>
    <row r="483" customFormat="false" ht="15" hidden="false" customHeight="false" outlineLevel="0" collapsed="false">
      <c r="A483" s="16"/>
      <c r="B483" s="12"/>
      <c r="C483" s="17"/>
      <c r="D483" s="18"/>
      <c r="E483" s="13"/>
      <c r="F483" s="13"/>
      <c r="G483" s="12"/>
      <c r="H483" s="12"/>
      <c r="I483" s="19" t="str">
        <f aca="false">IF($B483="","",IFERROR(INDEX(Clients!$D$5:$D$204,MATCH($B483,Clients!$A$5:$A$204,0))&amp;"",""))</f>
        <v/>
      </c>
      <c r="J483" s="19" t="str">
        <f aca="false">IF($B483="","",IF($C483&lt;&gt;"",$C483,IFERROR(INDEX(Clients!$E$5:$E$204,MATCH($B483,Clients!$A$5:$A$204,0))&amp;"","")))</f>
        <v/>
      </c>
      <c r="K483" s="15" t="str">
        <f aca="false">IF($B483="","",IF($F483&lt;&gt;"",$F483,IFERROR(IF(AND(INDEX(Clients!$F$5:$F$204,MATCH($B483,Clients!$A$5:$A$204,0))&amp;""&lt;&gt;"",OR($C483="",$C483=INDEX(Clients!$E$5:$E$204,MATCH($B483,Clients!$A$5:$A$204,0)))),INDEX(Clients!$F$5:$F$204,MATCH($B483,Clients!$A$5:$A$204,0)),INDEX(Settings!$E$5:$E$19,MATCH($J483,Settings!$D$5:$D$19,0))),0)))</f>
        <v/>
      </c>
      <c r="L483" s="15" t="str">
        <f aca="false">IF($B483="","",$K483*IF($D483="",1,$D483)+$E483)</f>
        <v/>
      </c>
      <c r="M483" s="15" t="str">
        <f aca="false">IF($B483="","",ROUND($L483*Settings!$B$9,2))</f>
        <v/>
      </c>
      <c r="N483" s="15" t="str">
        <f aca="false">IF($B483="","",$L483+$M483)</f>
        <v/>
      </c>
      <c r="O483" s="19" t="str">
        <f aca="false">IF($Q483="","",Settings!$B$13&amp;TEXT(ROWS($A$5:$A483),"0000"))</f>
        <v/>
      </c>
      <c r="P483" s="19" t="str">
        <f aca="false">IF($O483="","",IFERROR(INDEX(Invoices!$I$5:$I$504,MATCH($O483,Invoices!$A$5:$A$504,0)),""))</f>
        <v/>
      </c>
      <c r="Q483" s="2" t="str">
        <f aca="false">IF(AND($A483&lt;&gt;"",$B483&lt;&gt;"",$G483="Completed"),COUNTIFS($A$5:$A483,"&lt;&gt;",$B$5:$B483,"&lt;&gt;",$G$5:$G483,"Completed"),"")</f>
        <v/>
      </c>
    </row>
    <row r="484" customFormat="false" ht="15" hidden="false" customHeight="false" outlineLevel="0" collapsed="false">
      <c r="A484" s="16"/>
      <c r="B484" s="12"/>
      <c r="C484" s="17"/>
      <c r="D484" s="18"/>
      <c r="E484" s="13"/>
      <c r="F484" s="13"/>
      <c r="G484" s="12"/>
      <c r="H484" s="12"/>
      <c r="I484" s="19" t="str">
        <f aca="false">IF($B484="","",IFERROR(INDEX(Clients!$D$5:$D$204,MATCH($B484,Clients!$A$5:$A$204,0))&amp;"",""))</f>
        <v/>
      </c>
      <c r="J484" s="19" t="str">
        <f aca="false">IF($B484="","",IF($C484&lt;&gt;"",$C484,IFERROR(INDEX(Clients!$E$5:$E$204,MATCH($B484,Clients!$A$5:$A$204,0))&amp;"","")))</f>
        <v/>
      </c>
      <c r="K484" s="15" t="str">
        <f aca="false">IF($B484="","",IF($F484&lt;&gt;"",$F484,IFERROR(IF(AND(INDEX(Clients!$F$5:$F$204,MATCH($B484,Clients!$A$5:$A$204,0))&amp;""&lt;&gt;"",OR($C484="",$C484=INDEX(Clients!$E$5:$E$204,MATCH($B484,Clients!$A$5:$A$204,0)))),INDEX(Clients!$F$5:$F$204,MATCH($B484,Clients!$A$5:$A$204,0)),INDEX(Settings!$E$5:$E$19,MATCH($J484,Settings!$D$5:$D$19,0))),0)))</f>
        <v/>
      </c>
      <c r="L484" s="15" t="str">
        <f aca="false">IF($B484="","",$K484*IF($D484="",1,$D484)+$E484)</f>
        <v/>
      </c>
      <c r="M484" s="15" t="str">
        <f aca="false">IF($B484="","",ROUND($L484*Settings!$B$9,2))</f>
        <v/>
      </c>
      <c r="N484" s="15" t="str">
        <f aca="false">IF($B484="","",$L484+$M484)</f>
        <v/>
      </c>
      <c r="O484" s="19" t="str">
        <f aca="false">IF($Q484="","",Settings!$B$13&amp;TEXT(ROWS($A$5:$A484),"0000"))</f>
        <v/>
      </c>
      <c r="P484" s="19" t="str">
        <f aca="false">IF($O484="","",IFERROR(INDEX(Invoices!$I$5:$I$504,MATCH($O484,Invoices!$A$5:$A$504,0)),""))</f>
        <v/>
      </c>
      <c r="Q484" s="2" t="str">
        <f aca="false">IF(AND($A484&lt;&gt;"",$B484&lt;&gt;"",$G484="Completed"),COUNTIFS($A$5:$A484,"&lt;&gt;",$B$5:$B484,"&lt;&gt;",$G$5:$G484,"Completed"),"")</f>
        <v/>
      </c>
    </row>
    <row r="485" customFormat="false" ht="15" hidden="false" customHeight="false" outlineLevel="0" collapsed="false">
      <c r="A485" s="16"/>
      <c r="B485" s="12"/>
      <c r="C485" s="17"/>
      <c r="D485" s="18"/>
      <c r="E485" s="13"/>
      <c r="F485" s="13"/>
      <c r="G485" s="12"/>
      <c r="H485" s="12"/>
      <c r="I485" s="19" t="str">
        <f aca="false">IF($B485="","",IFERROR(INDEX(Clients!$D$5:$D$204,MATCH($B485,Clients!$A$5:$A$204,0))&amp;"",""))</f>
        <v/>
      </c>
      <c r="J485" s="19" t="str">
        <f aca="false">IF($B485="","",IF($C485&lt;&gt;"",$C485,IFERROR(INDEX(Clients!$E$5:$E$204,MATCH($B485,Clients!$A$5:$A$204,0))&amp;"","")))</f>
        <v/>
      </c>
      <c r="K485" s="15" t="str">
        <f aca="false">IF($B485="","",IF($F485&lt;&gt;"",$F485,IFERROR(IF(AND(INDEX(Clients!$F$5:$F$204,MATCH($B485,Clients!$A$5:$A$204,0))&amp;""&lt;&gt;"",OR($C485="",$C485=INDEX(Clients!$E$5:$E$204,MATCH($B485,Clients!$A$5:$A$204,0)))),INDEX(Clients!$F$5:$F$204,MATCH($B485,Clients!$A$5:$A$204,0)),INDEX(Settings!$E$5:$E$19,MATCH($J485,Settings!$D$5:$D$19,0))),0)))</f>
        <v/>
      </c>
      <c r="L485" s="15" t="str">
        <f aca="false">IF($B485="","",$K485*IF($D485="",1,$D485)+$E485)</f>
        <v/>
      </c>
      <c r="M485" s="15" t="str">
        <f aca="false">IF($B485="","",ROUND($L485*Settings!$B$9,2))</f>
        <v/>
      </c>
      <c r="N485" s="15" t="str">
        <f aca="false">IF($B485="","",$L485+$M485)</f>
        <v/>
      </c>
      <c r="O485" s="19" t="str">
        <f aca="false">IF($Q485="","",Settings!$B$13&amp;TEXT(ROWS($A$5:$A485),"0000"))</f>
        <v/>
      </c>
      <c r="P485" s="19" t="str">
        <f aca="false">IF($O485="","",IFERROR(INDEX(Invoices!$I$5:$I$504,MATCH($O485,Invoices!$A$5:$A$504,0)),""))</f>
        <v/>
      </c>
      <c r="Q485" s="2" t="str">
        <f aca="false">IF(AND($A485&lt;&gt;"",$B485&lt;&gt;"",$G485="Completed"),COUNTIFS($A$5:$A485,"&lt;&gt;",$B$5:$B485,"&lt;&gt;",$G$5:$G485,"Completed"),"")</f>
        <v/>
      </c>
    </row>
    <row r="486" customFormat="false" ht="15" hidden="false" customHeight="false" outlineLevel="0" collapsed="false">
      <c r="A486" s="16"/>
      <c r="B486" s="12"/>
      <c r="C486" s="17"/>
      <c r="D486" s="18"/>
      <c r="E486" s="13"/>
      <c r="F486" s="13"/>
      <c r="G486" s="12"/>
      <c r="H486" s="12"/>
      <c r="I486" s="19" t="str">
        <f aca="false">IF($B486="","",IFERROR(INDEX(Clients!$D$5:$D$204,MATCH($B486,Clients!$A$5:$A$204,0))&amp;"",""))</f>
        <v/>
      </c>
      <c r="J486" s="19" t="str">
        <f aca="false">IF($B486="","",IF($C486&lt;&gt;"",$C486,IFERROR(INDEX(Clients!$E$5:$E$204,MATCH($B486,Clients!$A$5:$A$204,0))&amp;"","")))</f>
        <v/>
      </c>
      <c r="K486" s="15" t="str">
        <f aca="false">IF($B486="","",IF($F486&lt;&gt;"",$F486,IFERROR(IF(AND(INDEX(Clients!$F$5:$F$204,MATCH($B486,Clients!$A$5:$A$204,0))&amp;""&lt;&gt;"",OR($C486="",$C486=INDEX(Clients!$E$5:$E$204,MATCH($B486,Clients!$A$5:$A$204,0)))),INDEX(Clients!$F$5:$F$204,MATCH($B486,Clients!$A$5:$A$204,0)),INDEX(Settings!$E$5:$E$19,MATCH($J486,Settings!$D$5:$D$19,0))),0)))</f>
        <v/>
      </c>
      <c r="L486" s="15" t="str">
        <f aca="false">IF($B486="","",$K486*IF($D486="",1,$D486)+$E486)</f>
        <v/>
      </c>
      <c r="M486" s="15" t="str">
        <f aca="false">IF($B486="","",ROUND($L486*Settings!$B$9,2))</f>
        <v/>
      </c>
      <c r="N486" s="15" t="str">
        <f aca="false">IF($B486="","",$L486+$M486)</f>
        <v/>
      </c>
      <c r="O486" s="19" t="str">
        <f aca="false">IF($Q486="","",Settings!$B$13&amp;TEXT(ROWS($A$5:$A486),"0000"))</f>
        <v/>
      </c>
      <c r="P486" s="19" t="str">
        <f aca="false">IF($O486="","",IFERROR(INDEX(Invoices!$I$5:$I$504,MATCH($O486,Invoices!$A$5:$A$504,0)),""))</f>
        <v/>
      </c>
      <c r="Q486" s="2" t="str">
        <f aca="false">IF(AND($A486&lt;&gt;"",$B486&lt;&gt;"",$G486="Completed"),COUNTIFS($A$5:$A486,"&lt;&gt;",$B$5:$B486,"&lt;&gt;",$G$5:$G486,"Completed"),"")</f>
        <v/>
      </c>
    </row>
    <row r="487" customFormat="false" ht="15" hidden="false" customHeight="false" outlineLevel="0" collapsed="false">
      <c r="A487" s="16"/>
      <c r="B487" s="12"/>
      <c r="C487" s="17"/>
      <c r="D487" s="18"/>
      <c r="E487" s="13"/>
      <c r="F487" s="13"/>
      <c r="G487" s="12"/>
      <c r="H487" s="12"/>
      <c r="I487" s="19" t="str">
        <f aca="false">IF($B487="","",IFERROR(INDEX(Clients!$D$5:$D$204,MATCH($B487,Clients!$A$5:$A$204,0))&amp;"",""))</f>
        <v/>
      </c>
      <c r="J487" s="19" t="str">
        <f aca="false">IF($B487="","",IF($C487&lt;&gt;"",$C487,IFERROR(INDEX(Clients!$E$5:$E$204,MATCH($B487,Clients!$A$5:$A$204,0))&amp;"","")))</f>
        <v/>
      </c>
      <c r="K487" s="15" t="str">
        <f aca="false">IF($B487="","",IF($F487&lt;&gt;"",$F487,IFERROR(IF(AND(INDEX(Clients!$F$5:$F$204,MATCH($B487,Clients!$A$5:$A$204,0))&amp;""&lt;&gt;"",OR($C487="",$C487=INDEX(Clients!$E$5:$E$204,MATCH($B487,Clients!$A$5:$A$204,0)))),INDEX(Clients!$F$5:$F$204,MATCH($B487,Clients!$A$5:$A$204,0)),INDEX(Settings!$E$5:$E$19,MATCH($J487,Settings!$D$5:$D$19,0))),0)))</f>
        <v/>
      </c>
      <c r="L487" s="15" t="str">
        <f aca="false">IF($B487="","",$K487*IF($D487="",1,$D487)+$E487)</f>
        <v/>
      </c>
      <c r="M487" s="15" t="str">
        <f aca="false">IF($B487="","",ROUND($L487*Settings!$B$9,2))</f>
        <v/>
      </c>
      <c r="N487" s="15" t="str">
        <f aca="false">IF($B487="","",$L487+$M487)</f>
        <v/>
      </c>
      <c r="O487" s="19" t="str">
        <f aca="false">IF($Q487="","",Settings!$B$13&amp;TEXT(ROWS($A$5:$A487),"0000"))</f>
        <v/>
      </c>
      <c r="P487" s="19" t="str">
        <f aca="false">IF($O487="","",IFERROR(INDEX(Invoices!$I$5:$I$504,MATCH($O487,Invoices!$A$5:$A$504,0)),""))</f>
        <v/>
      </c>
      <c r="Q487" s="2" t="str">
        <f aca="false">IF(AND($A487&lt;&gt;"",$B487&lt;&gt;"",$G487="Completed"),COUNTIFS($A$5:$A487,"&lt;&gt;",$B$5:$B487,"&lt;&gt;",$G$5:$G487,"Completed"),"")</f>
        <v/>
      </c>
    </row>
    <row r="488" customFormat="false" ht="15" hidden="false" customHeight="false" outlineLevel="0" collapsed="false">
      <c r="A488" s="16"/>
      <c r="B488" s="12"/>
      <c r="C488" s="17"/>
      <c r="D488" s="18"/>
      <c r="E488" s="13"/>
      <c r="F488" s="13"/>
      <c r="G488" s="12"/>
      <c r="H488" s="12"/>
      <c r="I488" s="19" t="str">
        <f aca="false">IF($B488="","",IFERROR(INDEX(Clients!$D$5:$D$204,MATCH($B488,Clients!$A$5:$A$204,0))&amp;"",""))</f>
        <v/>
      </c>
      <c r="J488" s="19" t="str">
        <f aca="false">IF($B488="","",IF($C488&lt;&gt;"",$C488,IFERROR(INDEX(Clients!$E$5:$E$204,MATCH($B488,Clients!$A$5:$A$204,0))&amp;"","")))</f>
        <v/>
      </c>
      <c r="K488" s="15" t="str">
        <f aca="false">IF($B488="","",IF($F488&lt;&gt;"",$F488,IFERROR(IF(AND(INDEX(Clients!$F$5:$F$204,MATCH($B488,Clients!$A$5:$A$204,0))&amp;""&lt;&gt;"",OR($C488="",$C488=INDEX(Clients!$E$5:$E$204,MATCH($B488,Clients!$A$5:$A$204,0)))),INDEX(Clients!$F$5:$F$204,MATCH($B488,Clients!$A$5:$A$204,0)),INDEX(Settings!$E$5:$E$19,MATCH($J488,Settings!$D$5:$D$19,0))),0)))</f>
        <v/>
      </c>
      <c r="L488" s="15" t="str">
        <f aca="false">IF($B488="","",$K488*IF($D488="",1,$D488)+$E488)</f>
        <v/>
      </c>
      <c r="M488" s="15" t="str">
        <f aca="false">IF($B488="","",ROUND($L488*Settings!$B$9,2))</f>
        <v/>
      </c>
      <c r="N488" s="15" t="str">
        <f aca="false">IF($B488="","",$L488+$M488)</f>
        <v/>
      </c>
      <c r="O488" s="19" t="str">
        <f aca="false">IF($Q488="","",Settings!$B$13&amp;TEXT(ROWS($A$5:$A488),"0000"))</f>
        <v/>
      </c>
      <c r="P488" s="19" t="str">
        <f aca="false">IF($O488="","",IFERROR(INDEX(Invoices!$I$5:$I$504,MATCH($O488,Invoices!$A$5:$A$504,0)),""))</f>
        <v/>
      </c>
      <c r="Q488" s="2" t="str">
        <f aca="false">IF(AND($A488&lt;&gt;"",$B488&lt;&gt;"",$G488="Completed"),COUNTIFS($A$5:$A488,"&lt;&gt;",$B$5:$B488,"&lt;&gt;",$G$5:$G488,"Completed"),"")</f>
        <v/>
      </c>
    </row>
    <row r="489" customFormat="false" ht="15" hidden="false" customHeight="false" outlineLevel="0" collapsed="false">
      <c r="A489" s="16"/>
      <c r="B489" s="12"/>
      <c r="C489" s="17"/>
      <c r="D489" s="18"/>
      <c r="E489" s="13"/>
      <c r="F489" s="13"/>
      <c r="G489" s="12"/>
      <c r="H489" s="12"/>
      <c r="I489" s="19" t="str">
        <f aca="false">IF($B489="","",IFERROR(INDEX(Clients!$D$5:$D$204,MATCH($B489,Clients!$A$5:$A$204,0))&amp;"",""))</f>
        <v/>
      </c>
      <c r="J489" s="19" t="str">
        <f aca="false">IF($B489="","",IF($C489&lt;&gt;"",$C489,IFERROR(INDEX(Clients!$E$5:$E$204,MATCH($B489,Clients!$A$5:$A$204,0))&amp;"","")))</f>
        <v/>
      </c>
      <c r="K489" s="15" t="str">
        <f aca="false">IF($B489="","",IF($F489&lt;&gt;"",$F489,IFERROR(IF(AND(INDEX(Clients!$F$5:$F$204,MATCH($B489,Clients!$A$5:$A$204,0))&amp;""&lt;&gt;"",OR($C489="",$C489=INDEX(Clients!$E$5:$E$204,MATCH($B489,Clients!$A$5:$A$204,0)))),INDEX(Clients!$F$5:$F$204,MATCH($B489,Clients!$A$5:$A$204,0)),INDEX(Settings!$E$5:$E$19,MATCH($J489,Settings!$D$5:$D$19,0))),0)))</f>
        <v/>
      </c>
      <c r="L489" s="15" t="str">
        <f aca="false">IF($B489="","",$K489*IF($D489="",1,$D489)+$E489)</f>
        <v/>
      </c>
      <c r="M489" s="15" t="str">
        <f aca="false">IF($B489="","",ROUND($L489*Settings!$B$9,2))</f>
        <v/>
      </c>
      <c r="N489" s="15" t="str">
        <f aca="false">IF($B489="","",$L489+$M489)</f>
        <v/>
      </c>
      <c r="O489" s="19" t="str">
        <f aca="false">IF($Q489="","",Settings!$B$13&amp;TEXT(ROWS($A$5:$A489),"0000"))</f>
        <v/>
      </c>
      <c r="P489" s="19" t="str">
        <f aca="false">IF($O489="","",IFERROR(INDEX(Invoices!$I$5:$I$504,MATCH($O489,Invoices!$A$5:$A$504,0)),""))</f>
        <v/>
      </c>
      <c r="Q489" s="2" t="str">
        <f aca="false">IF(AND($A489&lt;&gt;"",$B489&lt;&gt;"",$G489="Completed"),COUNTIFS($A$5:$A489,"&lt;&gt;",$B$5:$B489,"&lt;&gt;",$G$5:$G489,"Completed"),"")</f>
        <v/>
      </c>
    </row>
    <row r="490" customFormat="false" ht="15" hidden="false" customHeight="false" outlineLevel="0" collapsed="false">
      <c r="A490" s="16"/>
      <c r="B490" s="12"/>
      <c r="C490" s="17"/>
      <c r="D490" s="18"/>
      <c r="E490" s="13"/>
      <c r="F490" s="13"/>
      <c r="G490" s="12"/>
      <c r="H490" s="12"/>
      <c r="I490" s="19" t="str">
        <f aca="false">IF($B490="","",IFERROR(INDEX(Clients!$D$5:$D$204,MATCH($B490,Clients!$A$5:$A$204,0))&amp;"",""))</f>
        <v/>
      </c>
      <c r="J490" s="19" t="str">
        <f aca="false">IF($B490="","",IF($C490&lt;&gt;"",$C490,IFERROR(INDEX(Clients!$E$5:$E$204,MATCH($B490,Clients!$A$5:$A$204,0))&amp;"","")))</f>
        <v/>
      </c>
      <c r="K490" s="15" t="str">
        <f aca="false">IF($B490="","",IF($F490&lt;&gt;"",$F490,IFERROR(IF(AND(INDEX(Clients!$F$5:$F$204,MATCH($B490,Clients!$A$5:$A$204,0))&amp;""&lt;&gt;"",OR($C490="",$C490=INDEX(Clients!$E$5:$E$204,MATCH($B490,Clients!$A$5:$A$204,0)))),INDEX(Clients!$F$5:$F$204,MATCH($B490,Clients!$A$5:$A$204,0)),INDEX(Settings!$E$5:$E$19,MATCH($J490,Settings!$D$5:$D$19,0))),0)))</f>
        <v/>
      </c>
      <c r="L490" s="15" t="str">
        <f aca="false">IF($B490="","",$K490*IF($D490="",1,$D490)+$E490)</f>
        <v/>
      </c>
      <c r="M490" s="15" t="str">
        <f aca="false">IF($B490="","",ROUND($L490*Settings!$B$9,2))</f>
        <v/>
      </c>
      <c r="N490" s="15" t="str">
        <f aca="false">IF($B490="","",$L490+$M490)</f>
        <v/>
      </c>
      <c r="O490" s="19" t="str">
        <f aca="false">IF($Q490="","",Settings!$B$13&amp;TEXT(ROWS($A$5:$A490),"0000"))</f>
        <v/>
      </c>
      <c r="P490" s="19" t="str">
        <f aca="false">IF($O490="","",IFERROR(INDEX(Invoices!$I$5:$I$504,MATCH($O490,Invoices!$A$5:$A$504,0)),""))</f>
        <v/>
      </c>
      <c r="Q490" s="2" t="str">
        <f aca="false">IF(AND($A490&lt;&gt;"",$B490&lt;&gt;"",$G490="Completed"),COUNTIFS($A$5:$A490,"&lt;&gt;",$B$5:$B490,"&lt;&gt;",$G$5:$G490,"Completed"),"")</f>
        <v/>
      </c>
    </row>
    <row r="491" customFormat="false" ht="15" hidden="false" customHeight="false" outlineLevel="0" collapsed="false">
      <c r="A491" s="16"/>
      <c r="B491" s="12"/>
      <c r="C491" s="17"/>
      <c r="D491" s="18"/>
      <c r="E491" s="13"/>
      <c r="F491" s="13"/>
      <c r="G491" s="12"/>
      <c r="H491" s="12"/>
      <c r="I491" s="19" t="str">
        <f aca="false">IF($B491="","",IFERROR(INDEX(Clients!$D$5:$D$204,MATCH($B491,Clients!$A$5:$A$204,0))&amp;"",""))</f>
        <v/>
      </c>
      <c r="J491" s="19" t="str">
        <f aca="false">IF($B491="","",IF($C491&lt;&gt;"",$C491,IFERROR(INDEX(Clients!$E$5:$E$204,MATCH($B491,Clients!$A$5:$A$204,0))&amp;"","")))</f>
        <v/>
      </c>
      <c r="K491" s="15" t="str">
        <f aca="false">IF($B491="","",IF($F491&lt;&gt;"",$F491,IFERROR(IF(AND(INDEX(Clients!$F$5:$F$204,MATCH($B491,Clients!$A$5:$A$204,0))&amp;""&lt;&gt;"",OR($C491="",$C491=INDEX(Clients!$E$5:$E$204,MATCH($B491,Clients!$A$5:$A$204,0)))),INDEX(Clients!$F$5:$F$204,MATCH($B491,Clients!$A$5:$A$204,0)),INDEX(Settings!$E$5:$E$19,MATCH($J491,Settings!$D$5:$D$19,0))),0)))</f>
        <v/>
      </c>
      <c r="L491" s="15" t="str">
        <f aca="false">IF($B491="","",$K491*IF($D491="",1,$D491)+$E491)</f>
        <v/>
      </c>
      <c r="M491" s="15" t="str">
        <f aca="false">IF($B491="","",ROUND($L491*Settings!$B$9,2))</f>
        <v/>
      </c>
      <c r="N491" s="15" t="str">
        <f aca="false">IF($B491="","",$L491+$M491)</f>
        <v/>
      </c>
      <c r="O491" s="19" t="str">
        <f aca="false">IF($Q491="","",Settings!$B$13&amp;TEXT(ROWS($A$5:$A491),"0000"))</f>
        <v/>
      </c>
      <c r="P491" s="19" t="str">
        <f aca="false">IF($O491="","",IFERROR(INDEX(Invoices!$I$5:$I$504,MATCH($O491,Invoices!$A$5:$A$504,0)),""))</f>
        <v/>
      </c>
      <c r="Q491" s="2" t="str">
        <f aca="false">IF(AND($A491&lt;&gt;"",$B491&lt;&gt;"",$G491="Completed"),COUNTIFS($A$5:$A491,"&lt;&gt;",$B$5:$B491,"&lt;&gt;",$G$5:$G491,"Completed"),"")</f>
        <v/>
      </c>
    </row>
    <row r="492" customFormat="false" ht="15" hidden="false" customHeight="false" outlineLevel="0" collapsed="false">
      <c r="A492" s="16"/>
      <c r="B492" s="12"/>
      <c r="C492" s="17"/>
      <c r="D492" s="18"/>
      <c r="E492" s="13"/>
      <c r="F492" s="13"/>
      <c r="G492" s="12"/>
      <c r="H492" s="12"/>
      <c r="I492" s="19" t="str">
        <f aca="false">IF($B492="","",IFERROR(INDEX(Clients!$D$5:$D$204,MATCH($B492,Clients!$A$5:$A$204,0))&amp;"",""))</f>
        <v/>
      </c>
      <c r="J492" s="19" t="str">
        <f aca="false">IF($B492="","",IF($C492&lt;&gt;"",$C492,IFERROR(INDEX(Clients!$E$5:$E$204,MATCH($B492,Clients!$A$5:$A$204,0))&amp;"","")))</f>
        <v/>
      </c>
      <c r="K492" s="15" t="str">
        <f aca="false">IF($B492="","",IF($F492&lt;&gt;"",$F492,IFERROR(IF(AND(INDEX(Clients!$F$5:$F$204,MATCH($B492,Clients!$A$5:$A$204,0))&amp;""&lt;&gt;"",OR($C492="",$C492=INDEX(Clients!$E$5:$E$204,MATCH($B492,Clients!$A$5:$A$204,0)))),INDEX(Clients!$F$5:$F$204,MATCH($B492,Clients!$A$5:$A$204,0)),INDEX(Settings!$E$5:$E$19,MATCH($J492,Settings!$D$5:$D$19,0))),0)))</f>
        <v/>
      </c>
      <c r="L492" s="15" t="str">
        <f aca="false">IF($B492="","",$K492*IF($D492="",1,$D492)+$E492)</f>
        <v/>
      </c>
      <c r="M492" s="15" t="str">
        <f aca="false">IF($B492="","",ROUND($L492*Settings!$B$9,2))</f>
        <v/>
      </c>
      <c r="N492" s="15" t="str">
        <f aca="false">IF($B492="","",$L492+$M492)</f>
        <v/>
      </c>
      <c r="O492" s="19" t="str">
        <f aca="false">IF($Q492="","",Settings!$B$13&amp;TEXT(ROWS($A$5:$A492),"0000"))</f>
        <v/>
      </c>
      <c r="P492" s="19" t="str">
        <f aca="false">IF($O492="","",IFERROR(INDEX(Invoices!$I$5:$I$504,MATCH($O492,Invoices!$A$5:$A$504,0)),""))</f>
        <v/>
      </c>
      <c r="Q492" s="2" t="str">
        <f aca="false">IF(AND($A492&lt;&gt;"",$B492&lt;&gt;"",$G492="Completed"),COUNTIFS($A$5:$A492,"&lt;&gt;",$B$5:$B492,"&lt;&gt;",$G$5:$G492,"Completed"),"")</f>
        <v/>
      </c>
    </row>
    <row r="493" customFormat="false" ht="15" hidden="false" customHeight="false" outlineLevel="0" collapsed="false">
      <c r="A493" s="16"/>
      <c r="B493" s="12"/>
      <c r="C493" s="17"/>
      <c r="D493" s="18"/>
      <c r="E493" s="13"/>
      <c r="F493" s="13"/>
      <c r="G493" s="12"/>
      <c r="H493" s="12"/>
      <c r="I493" s="19" t="str">
        <f aca="false">IF($B493="","",IFERROR(INDEX(Clients!$D$5:$D$204,MATCH($B493,Clients!$A$5:$A$204,0))&amp;"",""))</f>
        <v/>
      </c>
      <c r="J493" s="19" t="str">
        <f aca="false">IF($B493="","",IF($C493&lt;&gt;"",$C493,IFERROR(INDEX(Clients!$E$5:$E$204,MATCH($B493,Clients!$A$5:$A$204,0))&amp;"","")))</f>
        <v/>
      </c>
      <c r="K493" s="15" t="str">
        <f aca="false">IF($B493="","",IF($F493&lt;&gt;"",$F493,IFERROR(IF(AND(INDEX(Clients!$F$5:$F$204,MATCH($B493,Clients!$A$5:$A$204,0))&amp;""&lt;&gt;"",OR($C493="",$C493=INDEX(Clients!$E$5:$E$204,MATCH($B493,Clients!$A$5:$A$204,0)))),INDEX(Clients!$F$5:$F$204,MATCH($B493,Clients!$A$5:$A$204,0)),INDEX(Settings!$E$5:$E$19,MATCH($J493,Settings!$D$5:$D$19,0))),0)))</f>
        <v/>
      </c>
      <c r="L493" s="15" t="str">
        <f aca="false">IF($B493="","",$K493*IF($D493="",1,$D493)+$E493)</f>
        <v/>
      </c>
      <c r="M493" s="15" t="str">
        <f aca="false">IF($B493="","",ROUND($L493*Settings!$B$9,2))</f>
        <v/>
      </c>
      <c r="N493" s="15" t="str">
        <f aca="false">IF($B493="","",$L493+$M493)</f>
        <v/>
      </c>
      <c r="O493" s="19" t="str">
        <f aca="false">IF($Q493="","",Settings!$B$13&amp;TEXT(ROWS($A$5:$A493),"0000"))</f>
        <v/>
      </c>
      <c r="P493" s="19" t="str">
        <f aca="false">IF($O493="","",IFERROR(INDEX(Invoices!$I$5:$I$504,MATCH($O493,Invoices!$A$5:$A$504,0)),""))</f>
        <v/>
      </c>
      <c r="Q493" s="2" t="str">
        <f aca="false">IF(AND($A493&lt;&gt;"",$B493&lt;&gt;"",$G493="Completed"),COUNTIFS($A$5:$A493,"&lt;&gt;",$B$5:$B493,"&lt;&gt;",$G$5:$G493,"Completed"),"")</f>
        <v/>
      </c>
    </row>
    <row r="494" customFormat="false" ht="15" hidden="false" customHeight="false" outlineLevel="0" collapsed="false">
      <c r="A494" s="16"/>
      <c r="B494" s="12"/>
      <c r="C494" s="17"/>
      <c r="D494" s="18"/>
      <c r="E494" s="13"/>
      <c r="F494" s="13"/>
      <c r="G494" s="12"/>
      <c r="H494" s="12"/>
      <c r="I494" s="19" t="str">
        <f aca="false">IF($B494="","",IFERROR(INDEX(Clients!$D$5:$D$204,MATCH($B494,Clients!$A$5:$A$204,0))&amp;"",""))</f>
        <v/>
      </c>
      <c r="J494" s="19" t="str">
        <f aca="false">IF($B494="","",IF($C494&lt;&gt;"",$C494,IFERROR(INDEX(Clients!$E$5:$E$204,MATCH($B494,Clients!$A$5:$A$204,0))&amp;"","")))</f>
        <v/>
      </c>
      <c r="K494" s="15" t="str">
        <f aca="false">IF($B494="","",IF($F494&lt;&gt;"",$F494,IFERROR(IF(AND(INDEX(Clients!$F$5:$F$204,MATCH($B494,Clients!$A$5:$A$204,0))&amp;""&lt;&gt;"",OR($C494="",$C494=INDEX(Clients!$E$5:$E$204,MATCH($B494,Clients!$A$5:$A$204,0)))),INDEX(Clients!$F$5:$F$204,MATCH($B494,Clients!$A$5:$A$204,0)),INDEX(Settings!$E$5:$E$19,MATCH($J494,Settings!$D$5:$D$19,0))),0)))</f>
        <v/>
      </c>
      <c r="L494" s="15" t="str">
        <f aca="false">IF($B494="","",$K494*IF($D494="",1,$D494)+$E494)</f>
        <v/>
      </c>
      <c r="M494" s="15" t="str">
        <f aca="false">IF($B494="","",ROUND($L494*Settings!$B$9,2))</f>
        <v/>
      </c>
      <c r="N494" s="15" t="str">
        <f aca="false">IF($B494="","",$L494+$M494)</f>
        <v/>
      </c>
      <c r="O494" s="19" t="str">
        <f aca="false">IF($Q494="","",Settings!$B$13&amp;TEXT(ROWS($A$5:$A494),"0000"))</f>
        <v/>
      </c>
      <c r="P494" s="19" t="str">
        <f aca="false">IF($O494="","",IFERROR(INDEX(Invoices!$I$5:$I$504,MATCH($O494,Invoices!$A$5:$A$504,0)),""))</f>
        <v/>
      </c>
      <c r="Q494" s="2" t="str">
        <f aca="false">IF(AND($A494&lt;&gt;"",$B494&lt;&gt;"",$G494="Completed"),COUNTIFS($A$5:$A494,"&lt;&gt;",$B$5:$B494,"&lt;&gt;",$G$5:$G494,"Completed"),"")</f>
        <v/>
      </c>
    </row>
    <row r="495" customFormat="false" ht="15" hidden="false" customHeight="false" outlineLevel="0" collapsed="false">
      <c r="A495" s="16"/>
      <c r="B495" s="12"/>
      <c r="C495" s="17"/>
      <c r="D495" s="18"/>
      <c r="E495" s="13"/>
      <c r="F495" s="13"/>
      <c r="G495" s="12"/>
      <c r="H495" s="12"/>
      <c r="I495" s="19" t="str">
        <f aca="false">IF($B495="","",IFERROR(INDEX(Clients!$D$5:$D$204,MATCH($B495,Clients!$A$5:$A$204,0))&amp;"",""))</f>
        <v/>
      </c>
      <c r="J495" s="19" t="str">
        <f aca="false">IF($B495="","",IF($C495&lt;&gt;"",$C495,IFERROR(INDEX(Clients!$E$5:$E$204,MATCH($B495,Clients!$A$5:$A$204,0))&amp;"","")))</f>
        <v/>
      </c>
      <c r="K495" s="15" t="str">
        <f aca="false">IF($B495="","",IF($F495&lt;&gt;"",$F495,IFERROR(IF(AND(INDEX(Clients!$F$5:$F$204,MATCH($B495,Clients!$A$5:$A$204,0))&amp;""&lt;&gt;"",OR($C495="",$C495=INDEX(Clients!$E$5:$E$204,MATCH($B495,Clients!$A$5:$A$204,0)))),INDEX(Clients!$F$5:$F$204,MATCH($B495,Clients!$A$5:$A$204,0)),INDEX(Settings!$E$5:$E$19,MATCH($J495,Settings!$D$5:$D$19,0))),0)))</f>
        <v/>
      </c>
      <c r="L495" s="15" t="str">
        <f aca="false">IF($B495="","",$K495*IF($D495="",1,$D495)+$E495)</f>
        <v/>
      </c>
      <c r="M495" s="15" t="str">
        <f aca="false">IF($B495="","",ROUND($L495*Settings!$B$9,2))</f>
        <v/>
      </c>
      <c r="N495" s="15" t="str">
        <f aca="false">IF($B495="","",$L495+$M495)</f>
        <v/>
      </c>
      <c r="O495" s="19" t="str">
        <f aca="false">IF($Q495="","",Settings!$B$13&amp;TEXT(ROWS($A$5:$A495),"0000"))</f>
        <v/>
      </c>
      <c r="P495" s="19" t="str">
        <f aca="false">IF($O495="","",IFERROR(INDEX(Invoices!$I$5:$I$504,MATCH($O495,Invoices!$A$5:$A$504,0)),""))</f>
        <v/>
      </c>
      <c r="Q495" s="2" t="str">
        <f aca="false">IF(AND($A495&lt;&gt;"",$B495&lt;&gt;"",$G495="Completed"),COUNTIFS($A$5:$A495,"&lt;&gt;",$B$5:$B495,"&lt;&gt;",$G$5:$G495,"Completed"),"")</f>
        <v/>
      </c>
    </row>
    <row r="496" customFormat="false" ht="15" hidden="false" customHeight="false" outlineLevel="0" collapsed="false">
      <c r="A496" s="16"/>
      <c r="B496" s="12"/>
      <c r="C496" s="17"/>
      <c r="D496" s="18"/>
      <c r="E496" s="13"/>
      <c r="F496" s="13"/>
      <c r="G496" s="12"/>
      <c r="H496" s="12"/>
      <c r="I496" s="19" t="str">
        <f aca="false">IF($B496="","",IFERROR(INDEX(Clients!$D$5:$D$204,MATCH($B496,Clients!$A$5:$A$204,0))&amp;"",""))</f>
        <v/>
      </c>
      <c r="J496" s="19" t="str">
        <f aca="false">IF($B496="","",IF($C496&lt;&gt;"",$C496,IFERROR(INDEX(Clients!$E$5:$E$204,MATCH($B496,Clients!$A$5:$A$204,0))&amp;"","")))</f>
        <v/>
      </c>
      <c r="K496" s="15" t="str">
        <f aca="false">IF($B496="","",IF($F496&lt;&gt;"",$F496,IFERROR(IF(AND(INDEX(Clients!$F$5:$F$204,MATCH($B496,Clients!$A$5:$A$204,0))&amp;""&lt;&gt;"",OR($C496="",$C496=INDEX(Clients!$E$5:$E$204,MATCH($B496,Clients!$A$5:$A$204,0)))),INDEX(Clients!$F$5:$F$204,MATCH($B496,Clients!$A$5:$A$204,0)),INDEX(Settings!$E$5:$E$19,MATCH($J496,Settings!$D$5:$D$19,0))),0)))</f>
        <v/>
      </c>
      <c r="L496" s="15" t="str">
        <f aca="false">IF($B496="","",$K496*IF($D496="",1,$D496)+$E496)</f>
        <v/>
      </c>
      <c r="M496" s="15" t="str">
        <f aca="false">IF($B496="","",ROUND($L496*Settings!$B$9,2))</f>
        <v/>
      </c>
      <c r="N496" s="15" t="str">
        <f aca="false">IF($B496="","",$L496+$M496)</f>
        <v/>
      </c>
      <c r="O496" s="19" t="str">
        <f aca="false">IF($Q496="","",Settings!$B$13&amp;TEXT(ROWS($A$5:$A496),"0000"))</f>
        <v/>
      </c>
      <c r="P496" s="19" t="str">
        <f aca="false">IF($O496="","",IFERROR(INDEX(Invoices!$I$5:$I$504,MATCH($O496,Invoices!$A$5:$A$504,0)),""))</f>
        <v/>
      </c>
      <c r="Q496" s="2" t="str">
        <f aca="false">IF(AND($A496&lt;&gt;"",$B496&lt;&gt;"",$G496="Completed"),COUNTIFS($A$5:$A496,"&lt;&gt;",$B$5:$B496,"&lt;&gt;",$G$5:$G496,"Completed"),"")</f>
        <v/>
      </c>
    </row>
    <row r="497" customFormat="false" ht="15" hidden="false" customHeight="false" outlineLevel="0" collapsed="false">
      <c r="A497" s="16"/>
      <c r="B497" s="12"/>
      <c r="C497" s="17"/>
      <c r="D497" s="18"/>
      <c r="E497" s="13"/>
      <c r="F497" s="13"/>
      <c r="G497" s="12"/>
      <c r="H497" s="12"/>
      <c r="I497" s="19" t="str">
        <f aca="false">IF($B497="","",IFERROR(INDEX(Clients!$D$5:$D$204,MATCH($B497,Clients!$A$5:$A$204,0))&amp;"",""))</f>
        <v/>
      </c>
      <c r="J497" s="19" t="str">
        <f aca="false">IF($B497="","",IF($C497&lt;&gt;"",$C497,IFERROR(INDEX(Clients!$E$5:$E$204,MATCH($B497,Clients!$A$5:$A$204,0))&amp;"","")))</f>
        <v/>
      </c>
      <c r="K497" s="15" t="str">
        <f aca="false">IF($B497="","",IF($F497&lt;&gt;"",$F497,IFERROR(IF(AND(INDEX(Clients!$F$5:$F$204,MATCH($B497,Clients!$A$5:$A$204,0))&amp;""&lt;&gt;"",OR($C497="",$C497=INDEX(Clients!$E$5:$E$204,MATCH($B497,Clients!$A$5:$A$204,0)))),INDEX(Clients!$F$5:$F$204,MATCH($B497,Clients!$A$5:$A$204,0)),INDEX(Settings!$E$5:$E$19,MATCH($J497,Settings!$D$5:$D$19,0))),0)))</f>
        <v/>
      </c>
      <c r="L497" s="15" t="str">
        <f aca="false">IF($B497="","",$K497*IF($D497="",1,$D497)+$E497)</f>
        <v/>
      </c>
      <c r="M497" s="15" t="str">
        <f aca="false">IF($B497="","",ROUND($L497*Settings!$B$9,2))</f>
        <v/>
      </c>
      <c r="N497" s="15" t="str">
        <f aca="false">IF($B497="","",$L497+$M497)</f>
        <v/>
      </c>
      <c r="O497" s="19" t="str">
        <f aca="false">IF($Q497="","",Settings!$B$13&amp;TEXT(ROWS($A$5:$A497),"0000"))</f>
        <v/>
      </c>
      <c r="P497" s="19" t="str">
        <f aca="false">IF($O497="","",IFERROR(INDEX(Invoices!$I$5:$I$504,MATCH($O497,Invoices!$A$5:$A$504,0)),""))</f>
        <v/>
      </c>
      <c r="Q497" s="2" t="str">
        <f aca="false">IF(AND($A497&lt;&gt;"",$B497&lt;&gt;"",$G497="Completed"),COUNTIFS($A$5:$A497,"&lt;&gt;",$B$5:$B497,"&lt;&gt;",$G$5:$G497,"Completed"),"")</f>
        <v/>
      </c>
    </row>
    <row r="498" customFormat="false" ht="15" hidden="false" customHeight="false" outlineLevel="0" collapsed="false">
      <c r="A498" s="16"/>
      <c r="B498" s="12"/>
      <c r="C498" s="17"/>
      <c r="D498" s="18"/>
      <c r="E498" s="13"/>
      <c r="F498" s="13"/>
      <c r="G498" s="12"/>
      <c r="H498" s="12"/>
      <c r="I498" s="19" t="str">
        <f aca="false">IF($B498="","",IFERROR(INDEX(Clients!$D$5:$D$204,MATCH($B498,Clients!$A$5:$A$204,0))&amp;"",""))</f>
        <v/>
      </c>
      <c r="J498" s="19" t="str">
        <f aca="false">IF($B498="","",IF($C498&lt;&gt;"",$C498,IFERROR(INDEX(Clients!$E$5:$E$204,MATCH($B498,Clients!$A$5:$A$204,0))&amp;"","")))</f>
        <v/>
      </c>
      <c r="K498" s="15" t="str">
        <f aca="false">IF($B498="","",IF($F498&lt;&gt;"",$F498,IFERROR(IF(AND(INDEX(Clients!$F$5:$F$204,MATCH($B498,Clients!$A$5:$A$204,0))&amp;""&lt;&gt;"",OR($C498="",$C498=INDEX(Clients!$E$5:$E$204,MATCH($B498,Clients!$A$5:$A$204,0)))),INDEX(Clients!$F$5:$F$204,MATCH($B498,Clients!$A$5:$A$204,0)),INDEX(Settings!$E$5:$E$19,MATCH($J498,Settings!$D$5:$D$19,0))),0)))</f>
        <v/>
      </c>
      <c r="L498" s="15" t="str">
        <f aca="false">IF($B498="","",$K498*IF($D498="",1,$D498)+$E498)</f>
        <v/>
      </c>
      <c r="M498" s="15" t="str">
        <f aca="false">IF($B498="","",ROUND($L498*Settings!$B$9,2))</f>
        <v/>
      </c>
      <c r="N498" s="15" t="str">
        <f aca="false">IF($B498="","",$L498+$M498)</f>
        <v/>
      </c>
      <c r="O498" s="19" t="str">
        <f aca="false">IF($Q498="","",Settings!$B$13&amp;TEXT(ROWS($A$5:$A498),"0000"))</f>
        <v/>
      </c>
      <c r="P498" s="19" t="str">
        <f aca="false">IF($O498="","",IFERROR(INDEX(Invoices!$I$5:$I$504,MATCH($O498,Invoices!$A$5:$A$504,0)),""))</f>
        <v/>
      </c>
      <c r="Q498" s="2" t="str">
        <f aca="false">IF(AND($A498&lt;&gt;"",$B498&lt;&gt;"",$G498="Completed"),COUNTIFS($A$5:$A498,"&lt;&gt;",$B$5:$B498,"&lt;&gt;",$G$5:$G498,"Completed"),"")</f>
        <v/>
      </c>
    </row>
    <row r="499" customFormat="false" ht="15" hidden="false" customHeight="false" outlineLevel="0" collapsed="false">
      <c r="A499" s="16"/>
      <c r="B499" s="12"/>
      <c r="C499" s="17"/>
      <c r="D499" s="18"/>
      <c r="E499" s="13"/>
      <c r="F499" s="13"/>
      <c r="G499" s="12"/>
      <c r="H499" s="12"/>
      <c r="I499" s="19" t="str">
        <f aca="false">IF($B499="","",IFERROR(INDEX(Clients!$D$5:$D$204,MATCH($B499,Clients!$A$5:$A$204,0))&amp;"",""))</f>
        <v/>
      </c>
      <c r="J499" s="19" t="str">
        <f aca="false">IF($B499="","",IF($C499&lt;&gt;"",$C499,IFERROR(INDEX(Clients!$E$5:$E$204,MATCH($B499,Clients!$A$5:$A$204,0))&amp;"","")))</f>
        <v/>
      </c>
      <c r="K499" s="15" t="str">
        <f aca="false">IF($B499="","",IF($F499&lt;&gt;"",$F499,IFERROR(IF(AND(INDEX(Clients!$F$5:$F$204,MATCH($B499,Clients!$A$5:$A$204,0))&amp;""&lt;&gt;"",OR($C499="",$C499=INDEX(Clients!$E$5:$E$204,MATCH($B499,Clients!$A$5:$A$204,0)))),INDEX(Clients!$F$5:$F$204,MATCH($B499,Clients!$A$5:$A$204,0)),INDEX(Settings!$E$5:$E$19,MATCH($J499,Settings!$D$5:$D$19,0))),0)))</f>
        <v/>
      </c>
      <c r="L499" s="15" t="str">
        <f aca="false">IF($B499="","",$K499*IF($D499="",1,$D499)+$E499)</f>
        <v/>
      </c>
      <c r="M499" s="15" t="str">
        <f aca="false">IF($B499="","",ROUND($L499*Settings!$B$9,2))</f>
        <v/>
      </c>
      <c r="N499" s="15" t="str">
        <f aca="false">IF($B499="","",$L499+$M499)</f>
        <v/>
      </c>
      <c r="O499" s="19" t="str">
        <f aca="false">IF($Q499="","",Settings!$B$13&amp;TEXT(ROWS($A$5:$A499),"0000"))</f>
        <v/>
      </c>
      <c r="P499" s="19" t="str">
        <f aca="false">IF($O499="","",IFERROR(INDEX(Invoices!$I$5:$I$504,MATCH($O499,Invoices!$A$5:$A$504,0)),""))</f>
        <v/>
      </c>
      <c r="Q499" s="2" t="str">
        <f aca="false">IF(AND($A499&lt;&gt;"",$B499&lt;&gt;"",$G499="Completed"),COUNTIFS($A$5:$A499,"&lt;&gt;",$B$5:$B499,"&lt;&gt;",$G$5:$G499,"Completed"),"")</f>
        <v/>
      </c>
    </row>
    <row r="500" customFormat="false" ht="15" hidden="false" customHeight="false" outlineLevel="0" collapsed="false">
      <c r="A500" s="16"/>
      <c r="B500" s="12"/>
      <c r="C500" s="17"/>
      <c r="D500" s="18"/>
      <c r="E500" s="13"/>
      <c r="F500" s="13"/>
      <c r="G500" s="12"/>
      <c r="H500" s="12"/>
      <c r="I500" s="19" t="str">
        <f aca="false">IF($B500="","",IFERROR(INDEX(Clients!$D$5:$D$204,MATCH($B500,Clients!$A$5:$A$204,0))&amp;"",""))</f>
        <v/>
      </c>
      <c r="J500" s="19" t="str">
        <f aca="false">IF($B500="","",IF($C500&lt;&gt;"",$C500,IFERROR(INDEX(Clients!$E$5:$E$204,MATCH($B500,Clients!$A$5:$A$204,0))&amp;"","")))</f>
        <v/>
      </c>
      <c r="K500" s="15" t="str">
        <f aca="false">IF($B500="","",IF($F500&lt;&gt;"",$F500,IFERROR(IF(AND(INDEX(Clients!$F$5:$F$204,MATCH($B500,Clients!$A$5:$A$204,0))&amp;""&lt;&gt;"",OR($C500="",$C500=INDEX(Clients!$E$5:$E$204,MATCH($B500,Clients!$A$5:$A$204,0)))),INDEX(Clients!$F$5:$F$204,MATCH($B500,Clients!$A$5:$A$204,0)),INDEX(Settings!$E$5:$E$19,MATCH($J500,Settings!$D$5:$D$19,0))),0)))</f>
        <v/>
      </c>
      <c r="L500" s="15" t="str">
        <f aca="false">IF($B500="","",$K500*IF($D500="",1,$D500)+$E500)</f>
        <v/>
      </c>
      <c r="M500" s="15" t="str">
        <f aca="false">IF($B500="","",ROUND($L500*Settings!$B$9,2))</f>
        <v/>
      </c>
      <c r="N500" s="15" t="str">
        <f aca="false">IF($B500="","",$L500+$M500)</f>
        <v/>
      </c>
      <c r="O500" s="19" t="str">
        <f aca="false">IF($Q500="","",Settings!$B$13&amp;TEXT(ROWS($A$5:$A500),"0000"))</f>
        <v/>
      </c>
      <c r="P500" s="19" t="str">
        <f aca="false">IF($O500="","",IFERROR(INDEX(Invoices!$I$5:$I$504,MATCH($O500,Invoices!$A$5:$A$504,0)),""))</f>
        <v/>
      </c>
      <c r="Q500" s="2" t="str">
        <f aca="false">IF(AND($A500&lt;&gt;"",$B500&lt;&gt;"",$G500="Completed"),COUNTIFS($A$5:$A500,"&lt;&gt;",$B$5:$B500,"&lt;&gt;",$G$5:$G500,"Completed"),"")</f>
        <v/>
      </c>
    </row>
    <row r="501" customFormat="false" ht="15" hidden="false" customHeight="false" outlineLevel="0" collapsed="false">
      <c r="A501" s="16"/>
      <c r="B501" s="12"/>
      <c r="C501" s="17"/>
      <c r="D501" s="18"/>
      <c r="E501" s="13"/>
      <c r="F501" s="13"/>
      <c r="G501" s="12"/>
      <c r="H501" s="12"/>
      <c r="I501" s="19" t="str">
        <f aca="false">IF($B501="","",IFERROR(INDEX(Clients!$D$5:$D$204,MATCH($B501,Clients!$A$5:$A$204,0))&amp;"",""))</f>
        <v/>
      </c>
      <c r="J501" s="19" t="str">
        <f aca="false">IF($B501="","",IF($C501&lt;&gt;"",$C501,IFERROR(INDEX(Clients!$E$5:$E$204,MATCH($B501,Clients!$A$5:$A$204,0))&amp;"","")))</f>
        <v/>
      </c>
      <c r="K501" s="15" t="str">
        <f aca="false">IF($B501="","",IF($F501&lt;&gt;"",$F501,IFERROR(IF(AND(INDEX(Clients!$F$5:$F$204,MATCH($B501,Clients!$A$5:$A$204,0))&amp;""&lt;&gt;"",OR($C501="",$C501=INDEX(Clients!$E$5:$E$204,MATCH($B501,Clients!$A$5:$A$204,0)))),INDEX(Clients!$F$5:$F$204,MATCH($B501,Clients!$A$5:$A$204,0)),INDEX(Settings!$E$5:$E$19,MATCH($J501,Settings!$D$5:$D$19,0))),0)))</f>
        <v/>
      </c>
      <c r="L501" s="15" t="str">
        <f aca="false">IF($B501="","",$K501*IF($D501="",1,$D501)+$E501)</f>
        <v/>
      </c>
      <c r="M501" s="15" t="str">
        <f aca="false">IF($B501="","",ROUND($L501*Settings!$B$9,2))</f>
        <v/>
      </c>
      <c r="N501" s="15" t="str">
        <f aca="false">IF($B501="","",$L501+$M501)</f>
        <v/>
      </c>
      <c r="O501" s="19" t="str">
        <f aca="false">IF($Q501="","",Settings!$B$13&amp;TEXT(ROWS($A$5:$A501),"0000"))</f>
        <v/>
      </c>
      <c r="P501" s="19" t="str">
        <f aca="false">IF($O501="","",IFERROR(INDEX(Invoices!$I$5:$I$504,MATCH($O501,Invoices!$A$5:$A$504,0)),""))</f>
        <v/>
      </c>
      <c r="Q501" s="2" t="str">
        <f aca="false">IF(AND($A501&lt;&gt;"",$B501&lt;&gt;"",$G501="Completed"),COUNTIFS($A$5:$A501,"&lt;&gt;",$B$5:$B501,"&lt;&gt;",$G$5:$G501,"Completed"),"")</f>
        <v/>
      </c>
    </row>
    <row r="502" customFormat="false" ht="15" hidden="false" customHeight="false" outlineLevel="0" collapsed="false">
      <c r="A502" s="16"/>
      <c r="B502" s="12"/>
      <c r="C502" s="17"/>
      <c r="D502" s="18"/>
      <c r="E502" s="13"/>
      <c r="F502" s="13"/>
      <c r="G502" s="12"/>
      <c r="H502" s="12"/>
      <c r="I502" s="19" t="str">
        <f aca="false">IF($B502="","",IFERROR(INDEX(Clients!$D$5:$D$204,MATCH($B502,Clients!$A$5:$A$204,0))&amp;"",""))</f>
        <v/>
      </c>
      <c r="J502" s="19" t="str">
        <f aca="false">IF($B502="","",IF($C502&lt;&gt;"",$C502,IFERROR(INDEX(Clients!$E$5:$E$204,MATCH($B502,Clients!$A$5:$A$204,0))&amp;"","")))</f>
        <v/>
      </c>
      <c r="K502" s="15" t="str">
        <f aca="false">IF($B502="","",IF($F502&lt;&gt;"",$F502,IFERROR(IF(AND(INDEX(Clients!$F$5:$F$204,MATCH($B502,Clients!$A$5:$A$204,0))&amp;""&lt;&gt;"",OR($C502="",$C502=INDEX(Clients!$E$5:$E$204,MATCH($B502,Clients!$A$5:$A$204,0)))),INDEX(Clients!$F$5:$F$204,MATCH($B502,Clients!$A$5:$A$204,0)),INDEX(Settings!$E$5:$E$19,MATCH($J502,Settings!$D$5:$D$19,0))),0)))</f>
        <v/>
      </c>
      <c r="L502" s="15" t="str">
        <f aca="false">IF($B502="","",$K502*IF($D502="",1,$D502)+$E502)</f>
        <v/>
      </c>
      <c r="M502" s="15" t="str">
        <f aca="false">IF($B502="","",ROUND($L502*Settings!$B$9,2))</f>
        <v/>
      </c>
      <c r="N502" s="15" t="str">
        <f aca="false">IF($B502="","",$L502+$M502)</f>
        <v/>
      </c>
      <c r="O502" s="19" t="str">
        <f aca="false">IF($Q502="","",Settings!$B$13&amp;TEXT(ROWS($A$5:$A502),"0000"))</f>
        <v/>
      </c>
      <c r="P502" s="19" t="str">
        <f aca="false">IF($O502="","",IFERROR(INDEX(Invoices!$I$5:$I$504,MATCH($O502,Invoices!$A$5:$A$504,0)),""))</f>
        <v/>
      </c>
      <c r="Q502" s="2" t="str">
        <f aca="false">IF(AND($A502&lt;&gt;"",$B502&lt;&gt;"",$G502="Completed"),COUNTIFS($A$5:$A502,"&lt;&gt;",$B$5:$B502,"&lt;&gt;",$G$5:$G502,"Completed"),"")</f>
        <v/>
      </c>
    </row>
    <row r="503" customFormat="false" ht="15" hidden="false" customHeight="false" outlineLevel="0" collapsed="false">
      <c r="A503" s="16"/>
      <c r="B503" s="12"/>
      <c r="C503" s="17"/>
      <c r="D503" s="18"/>
      <c r="E503" s="13"/>
      <c r="F503" s="13"/>
      <c r="G503" s="12"/>
      <c r="H503" s="12"/>
      <c r="I503" s="19" t="str">
        <f aca="false">IF($B503="","",IFERROR(INDEX(Clients!$D$5:$D$204,MATCH($B503,Clients!$A$5:$A$204,0))&amp;"",""))</f>
        <v/>
      </c>
      <c r="J503" s="19" t="str">
        <f aca="false">IF($B503="","",IF($C503&lt;&gt;"",$C503,IFERROR(INDEX(Clients!$E$5:$E$204,MATCH($B503,Clients!$A$5:$A$204,0))&amp;"","")))</f>
        <v/>
      </c>
      <c r="K503" s="15" t="str">
        <f aca="false">IF($B503="","",IF($F503&lt;&gt;"",$F503,IFERROR(IF(AND(INDEX(Clients!$F$5:$F$204,MATCH($B503,Clients!$A$5:$A$204,0))&amp;""&lt;&gt;"",OR($C503="",$C503=INDEX(Clients!$E$5:$E$204,MATCH($B503,Clients!$A$5:$A$204,0)))),INDEX(Clients!$F$5:$F$204,MATCH($B503,Clients!$A$5:$A$204,0)),INDEX(Settings!$E$5:$E$19,MATCH($J503,Settings!$D$5:$D$19,0))),0)))</f>
        <v/>
      </c>
      <c r="L503" s="15" t="str">
        <f aca="false">IF($B503="","",$K503*IF($D503="",1,$D503)+$E503)</f>
        <v/>
      </c>
      <c r="M503" s="15" t="str">
        <f aca="false">IF($B503="","",ROUND($L503*Settings!$B$9,2))</f>
        <v/>
      </c>
      <c r="N503" s="15" t="str">
        <f aca="false">IF($B503="","",$L503+$M503)</f>
        <v/>
      </c>
      <c r="O503" s="19" t="str">
        <f aca="false">IF($Q503="","",Settings!$B$13&amp;TEXT(ROWS($A$5:$A503),"0000"))</f>
        <v/>
      </c>
      <c r="P503" s="19" t="str">
        <f aca="false">IF($O503="","",IFERROR(INDEX(Invoices!$I$5:$I$504,MATCH($O503,Invoices!$A$5:$A$504,0)),""))</f>
        <v/>
      </c>
      <c r="Q503" s="2" t="str">
        <f aca="false">IF(AND($A503&lt;&gt;"",$B503&lt;&gt;"",$G503="Completed"),COUNTIFS($A$5:$A503,"&lt;&gt;",$B$5:$B503,"&lt;&gt;",$G$5:$G503,"Completed"),"")</f>
        <v/>
      </c>
    </row>
    <row r="504" customFormat="false" ht="15" hidden="false" customHeight="false" outlineLevel="0" collapsed="false">
      <c r="A504" s="16"/>
      <c r="B504" s="12"/>
      <c r="C504" s="17"/>
      <c r="D504" s="18"/>
      <c r="E504" s="13"/>
      <c r="F504" s="13"/>
      <c r="G504" s="12"/>
      <c r="H504" s="12"/>
      <c r="I504" s="19" t="str">
        <f aca="false">IF($B504="","",IFERROR(INDEX(Clients!$D$5:$D$204,MATCH($B504,Clients!$A$5:$A$204,0))&amp;"",""))</f>
        <v/>
      </c>
      <c r="J504" s="19" t="str">
        <f aca="false">IF($B504="","",IF($C504&lt;&gt;"",$C504,IFERROR(INDEX(Clients!$E$5:$E$204,MATCH($B504,Clients!$A$5:$A$204,0))&amp;"","")))</f>
        <v/>
      </c>
      <c r="K504" s="15" t="str">
        <f aca="false">IF($B504="","",IF($F504&lt;&gt;"",$F504,IFERROR(IF(AND(INDEX(Clients!$F$5:$F$204,MATCH($B504,Clients!$A$5:$A$204,0))&amp;""&lt;&gt;"",OR($C504="",$C504=INDEX(Clients!$E$5:$E$204,MATCH($B504,Clients!$A$5:$A$204,0)))),INDEX(Clients!$F$5:$F$204,MATCH($B504,Clients!$A$5:$A$204,0)),INDEX(Settings!$E$5:$E$19,MATCH($J504,Settings!$D$5:$D$19,0))),0)))</f>
        <v/>
      </c>
      <c r="L504" s="15" t="str">
        <f aca="false">IF($B504="","",$K504*IF($D504="",1,$D504)+$E504)</f>
        <v/>
      </c>
      <c r="M504" s="15" t="str">
        <f aca="false">IF($B504="","",ROUND($L504*Settings!$B$9,2))</f>
        <v/>
      </c>
      <c r="N504" s="15" t="str">
        <f aca="false">IF($B504="","",$L504+$M504)</f>
        <v/>
      </c>
      <c r="O504" s="19" t="str">
        <f aca="false">IF($Q504="","",Settings!$B$13&amp;TEXT(ROWS($A$5:$A504),"0000"))</f>
        <v/>
      </c>
      <c r="P504" s="19" t="str">
        <f aca="false">IF($O504="","",IFERROR(INDEX(Invoices!$I$5:$I$504,MATCH($O504,Invoices!$A$5:$A$504,0)),""))</f>
        <v/>
      </c>
      <c r="Q504" s="2" t="str">
        <f aca="false">IF(AND($A504&lt;&gt;"",$B504&lt;&gt;"",$G504="Completed"),COUNTIFS($A$5:$A504,"&lt;&gt;",$B$5:$B504,"&lt;&gt;",$G$5:$G504,"Completed"),"")</f>
        <v/>
      </c>
    </row>
  </sheetData>
  <conditionalFormatting sqref="P5:P504">
    <cfRule type="cellIs" priority="2" operator="equal" aboveAverage="0" equalAverage="0" bottom="0" percent="0" rank="0" text="" dxfId="0">
      <formula>"Overdue"</formula>
    </cfRule>
    <cfRule type="cellIs" priority="3" operator="equal" aboveAverage="0" equalAverage="0" bottom="0" percent="0" rank="0" text="" dxfId="1">
      <formula>"Paid"</formula>
    </cfRule>
    <cfRule type="cellIs" priority="4" operator="equal" aboveAverage="0" equalAverage="0" bottom="0" percent="0" rank="0" text="" dxfId="2">
      <formula>"Partial"</formula>
    </cfRule>
  </conditionalFormatting>
  <dataValidations count="5">
    <dataValidation allowBlank="true" error="Enter a real date, for example 7/14/2026 (or your usual date format)." errorStyle="stop" errorTitle="Check this entry" operator="between" prompt="Job date, e.g. 7/14/2026. In Excel, Ctrl + ; types today's date." promptTitle="Tip" showDropDown="false" showErrorMessage="true" showInputMessage="true" sqref="A5:A504" type="date">
      <formula1>36526</formula1>
      <formula2>73050</formula2>
    </dataValidation>
    <dataValidation allowBlank="true" error="Pick a value from the dropdown list." errorStyle="stop" errorTitle="Check this entry" operator="between" prompt="Pick a client. New client? Add them on the Clients tab first." promptTitle="Tip" showDropDown="false" showErrorMessage="true" showInputMessage="true" sqref="B5:B504" type="list">
      <formula1>Clients!$A$5:$A$204</formula1>
      <formula2>0</formula2>
    </dataValidation>
    <dataValidation allowBlank="true" error="Pick a value from the dropdown list." errorStyle="stop" errorTitle="Check this entry" operator="between" prompt="Leave blank to use the client's usual service and price, or pick a different service." promptTitle="Tip" showDropDown="false" showErrorMessage="true" showInputMessage="true" sqref="C5:C504" type="list">
      <formula1>Settings!$D$5:$D$19</formula1>
      <formula2>0</formula2>
    </dataValidation>
    <dataValidation allowBlank="true" error="Enter a number of 0 or more (no currency symbols or text)." errorStyle="stop" errorTitle="Check this entry" operator="greaterThanOrEqual" showDropDown="false" showErrorMessage="true" showInputMessage="true" sqref="D5:F504" type="decimal">
      <formula1>0</formula1>
      <formula2>0</formula2>
    </dataValidation>
    <dataValidation allowBlank="true" error="Pick a value from the dropdown list." errorStyle="stop" errorTitle="Check this entry" operator="between" prompt="Set to Completed when the job is done - that creates the invoice." promptTitle="Tip" showDropDown="false" showErrorMessage="true" showInputMessage="true" sqref="G5:G504" type="list">
      <formula1>"Scheduled,Completed,Cancelled"</formula1>
      <formula2>0</formula2>
    </dataValidation>
  </dataValidation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Q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true" outlineLevel="0" max="11" min="11" style="0" width="8"/>
    <col collapsed="false" customWidth="true" hidden="false" outlineLevel="0" max="12" min="12" style="0" width="3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26"/>
  </cols>
  <sheetData>
    <row r="1" customFormat="false" ht="19.7" hidden="false" customHeight="false" outlineLevel="0" collapsed="false">
      <c r="A1" s="1" t="str">
        <f aca="false">Settings!$B$5&amp;" - Invoices &amp; Payments"</f>
        <v>Sparkle &amp; Shine Cleaning Co. - Invoices &amp; Payments</v>
      </c>
    </row>
    <row r="2" customFormat="false" ht="15" hidden="false" customHeight="false" outlineLevel="0" collapsed="false">
      <c r="A2" s="6" t="s">
        <v>159</v>
      </c>
      <c r="B2" s="20" t="n">
        <f aca="false">SUM(E5:E504)</f>
        <v>4179.05</v>
      </c>
      <c r="C2" s="6" t="s">
        <v>160</v>
      </c>
      <c r="D2" s="20" t="n">
        <f aca="false">SUM(F5:F504)</f>
        <v>3122.95</v>
      </c>
      <c r="E2" s="6" t="s">
        <v>161</v>
      </c>
      <c r="F2" s="20" t="n">
        <f aca="false">SUM(G5:G504)</f>
        <v>1056.1</v>
      </c>
      <c r="G2" s="6" t="s">
        <v>162</v>
      </c>
      <c r="H2" s="21" t="n">
        <f aca="false">COUNTIFS(I5:I504,"Overdue")</f>
        <v>5</v>
      </c>
    </row>
    <row r="3" customFormat="false" ht="15" hidden="false" customHeight="false" outlineLevel="0" collapsed="false">
      <c r="A3" s="2" t="s">
        <v>163</v>
      </c>
    </row>
    <row r="4" customFormat="false" ht="32" hidden="false" customHeight="true" outlineLevel="0" collapsed="false">
      <c r="A4" s="11" t="s">
        <v>145</v>
      </c>
      <c r="B4" s="11" t="s">
        <v>164</v>
      </c>
      <c r="C4" s="11" t="s">
        <v>139</v>
      </c>
      <c r="D4" s="11" t="s">
        <v>165</v>
      </c>
      <c r="E4" s="11" t="str">
        <f aca="false">"Amount due ("&amp;Settings!$B$10&amp;")"</f>
        <v>Amount due ($)</v>
      </c>
      <c r="F4" s="11" t="str">
        <f aca="false">"Paid ("&amp;Settings!$B$10&amp;")"</f>
        <v>Paid ($)</v>
      </c>
      <c r="G4" s="11" t="str">
        <f aca="false">"Balance ("&amp;Settings!$B$10&amp;")"</f>
        <v>Balance ($)</v>
      </c>
      <c r="H4" s="11" t="s">
        <v>166</v>
      </c>
      <c r="I4" s="11" t="s">
        <v>142</v>
      </c>
      <c r="J4" s="11" t="s">
        <v>167</v>
      </c>
      <c r="K4" s="11" t="s">
        <v>168</v>
      </c>
      <c r="M4" s="5" t="s">
        <v>169</v>
      </c>
      <c r="N4" s="5" t="s">
        <v>145</v>
      </c>
      <c r="O4" s="5" t="s">
        <v>170</v>
      </c>
      <c r="P4" s="5" t="str">
        <f aca="false">"Amount ("&amp;Settings!$B$10&amp;")"</f>
        <v>Amount ($)</v>
      </c>
      <c r="Q4" s="11" t="s">
        <v>139</v>
      </c>
    </row>
    <row r="5" customFormat="false" ht="15" hidden="false" customHeight="false" outlineLevel="0" collapsed="false">
      <c r="A5" s="19" t="str">
        <f aca="false">IF($K5="","",INDEX(Jobs!$O$5:$O$504,$K5))</f>
        <v>INV-0001</v>
      </c>
      <c r="B5" s="22" t="n">
        <f aca="false">IF($K5="","",INDEX(Jobs!$A$5:$A$504,$K5))</f>
        <v>46205</v>
      </c>
      <c r="C5" s="19" t="str">
        <f aca="false">IF($K5="","",INDEX(Jobs!$B$5:$B$504,$K5))</f>
        <v>Hannah Whitfield</v>
      </c>
      <c r="D5" s="19" t="str">
        <f aca="false">IF($K5="","",INDEX(Jobs!$J$5:$J$504,$K5))</f>
        <v>Recurring Every 2 Weeks</v>
      </c>
      <c r="E5" s="15" t="n">
        <f aca="false">IF($K5="","",INDEX(Jobs!$N$5:$N$504,$K5))</f>
        <v>116.6</v>
      </c>
      <c r="F5" s="15" t="n">
        <f aca="false">IF($A5="","",SUMIFS($P$5:$P$1004,$N$5:$N$1004,$A5))</f>
        <v>116.6</v>
      </c>
      <c r="G5" s="15" t="n">
        <f aca="false">IF($A5="","",$E5-$F5)</f>
        <v>0</v>
      </c>
      <c r="H5" s="22" t="n">
        <f aca="false">IF($A5="","",$B5+Settings!$B$11)</f>
        <v>46219</v>
      </c>
      <c r="I5" s="19" t="str">
        <f aca="true">IF($A5="","",IF($G5&lt;=0,"Paid",IF(TODAY()&gt;$H5,"Overdue",IF($F5&gt;0,"Partial","Unpaid"))))</f>
        <v>Paid</v>
      </c>
      <c r="J5" s="14" t="str">
        <f aca="true">IF($A5="","",IF(AND($G5&gt;0,TODAY()&gt;$H5),TODAY()-$H5,""))</f>
        <v/>
      </c>
      <c r="K5" s="2" t="n">
        <f aca="false">IFERROR(MATCH(ROWS($K$5:$K5),Jobs!$Q$5:$Q$504,0),"")</f>
        <v>1</v>
      </c>
      <c r="M5" s="16" t="n">
        <v>46208</v>
      </c>
      <c r="N5" s="12" t="s">
        <v>171</v>
      </c>
      <c r="O5" s="12" t="s">
        <v>56</v>
      </c>
      <c r="P5" s="13" t="n">
        <v>116.6</v>
      </c>
      <c r="Q5" s="19" t="str">
        <f aca="false">IF($N5="","",IFERROR(INDEX($C$5:$C$504,MATCH($N5,$A$5:$A$504,0)),"Invoice not found"))</f>
        <v>Hannah Whitfield</v>
      </c>
    </row>
    <row r="6" customFormat="false" ht="15" hidden="false" customHeight="false" outlineLevel="0" collapsed="false">
      <c r="A6" s="19" t="str">
        <f aca="false">IF($K6="","",INDEX(Jobs!$O$5:$O$504,$K6))</f>
        <v>INV-0002</v>
      </c>
      <c r="B6" s="22" t="n">
        <f aca="false">IF($K6="","",INDEX(Jobs!$A$5:$A$504,$K6))</f>
        <v>46206</v>
      </c>
      <c r="C6" s="19" t="str">
        <f aca="false">IF($K6="","",INDEX(Jobs!$B$5:$B$504,$K6))</f>
        <v>Brightpath Dental Office</v>
      </c>
      <c r="D6" s="19" t="str">
        <f aca="false">IF($K6="","",INDEX(Jobs!$J$5:$J$504,$K6))</f>
        <v>Office Clean (hourly)</v>
      </c>
      <c r="E6" s="15" t="n">
        <f aca="false">IF($K6="","",INDEX(Jobs!$N$5:$N$504,$K6))</f>
        <v>143.1</v>
      </c>
      <c r="F6" s="15" t="n">
        <f aca="false">IF($A6="","",SUMIFS($P$5:$P$1004,$N$5:$N$1004,$A6))</f>
        <v>143.1</v>
      </c>
      <c r="G6" s="15" t="n">
        <f aca="false">IF($A6="","",$E6-$F6)</f>
        <v>0</v>
      </c>
      <c r="H6" s="22" t="n">
        <f aca="false">IF($A6="","",$B6+Settings!$B$11)</f>
        <v>46220</v>
      </c>
      <c r="I6" s="19" t="str">
        <f aca="true">IF($A6="","",IF($G6&lt;=0,"Paid",IF(TODAY()&gt;$H6,"Overdue",IF($F6&gt;0,"Partial","Unpaid"))))</f>
        <v>Paid</v>
      </c>
      <c r="J6" s="14" t="str">
        <f aca="true">IF($A6="","",IF(AND($G6&gt;0,TODAY()&gt;$H6),TODAY()-$H6,""))</f>
        <v/>
      </c>
      <c r="K6" s="2" t="n">
        <f aca="false">IFERROR(MATCH(ROWS($K$5:$K6),Jobs!$Q$5:$Q$504,0),"")</f>
        <v>2</v>
      </c>
      <c r="M6" s="16" t="n">
        <v>46210</v>
      </c>
      <c r="N6" s="12" t="s">
        <v>172</v>
      </c>
      <c r="O6" s="12" t="s">
        <v>61</v>
      </c>
      <c r="P6" s="13" t="n">
        <v>143.1</v>
      </c>
      <c r="Q6" s="19" t="str">
        <f aca="false">IF($N6="","",IFERROR(INDEX($C$5:$C$504,MATCH($N6,$A$5:$A$504,0)),"Invoice not found"))</f>
        <v>Brightpath Dental Office</v>
      </c>
    </row>
    <row r="7" customFormat="false" ht="15" hidden="false" customHeight="false" outlineLevel="0" collapsed="false">
      <c r="A7" s="19" t="str">
        <f aca="false">IF($K7="","",INDEX(Jobs!$O$5:$O$504,$K7))</f>
        <v>INV-0003</v>
      </c>
      <c r="B7" s="22" t="n">
        <f aca="false">IF($K7="","",INDEX(Jobs!$A$5:$A$504,$K7))</f>
        <v>46209</v>
      </c>
      <c r="C7" s="19" t="str">
        <f aca="false">IF($K7="","",INDEX(Jobs!$B$5:$B$504,$K7))</f>
        <v>Marcus &amp; Elena Ortiz</v>
      </c>
      <c r="D7" s="19" t="str">
        <f aca="false">IF($K7="","",INDEX(Jobs!$J$5:$J$504,$K7))</f>
        <v>Recurring Weekly</v>
      </c>
      <c r="E7" s="15" t="n">
        <f aca="false">IF($K7="","",INDEX(Jobs!$N$5:$N$504,$K7))</f>
        <v>95.4</v>
      </c>
      <c r="F7" s="15" t="n">
        <f aca="false">IF($A7="","",SUMIFS($P$5:$P$1004,$N$5:$N$1004,$A7))</f>
        <v>95.4</v>
      </c>
      <c r="G7" s="15" t="n">
        <f aca="false">IF($A7="","",$E7-$F7)</f>
        <v>0</v>
      </c>
      <c r="H7" s="22" t="n">
        <f aca="false">IF($A7="","",$B7+Settings!$B$11)</f>
        <v>46223</v>
      </c>
      <c r="I7" s="19" t="str">
        <f aca="true">IF($A7="","",IF($G7&lt;=0,"Paid",IF(TODAY()&gt;$H7,"Overdue",IF($F7&gt;0,"Partial","Unpaid"))))</f>
        <v>Paid</v>
      </c>
      <c r="J7" s="14" t="str">
        <f aca="true">IF($A7="","",IF(AND($G7&gt;0,TODAY()&gt;$H7),TODAY()-$H7,""))</f>
        <v/>
      </c>
      <c r="K7" s="2" t="n">
        <f aca="false">IFERROR(MATCH(ROWS($K$5:$K7),Jobs!$Q$5:$Q$504,0),"")</f>
        <v>3</v>
      </c>
      <c r="M7" s="16" t="n">
        <v>46214</v>
      </c>
      <c r="N7" s="12" t="s">
        <v>173</v>
      </c>
      <c r="O7" s="12" t="s">
        <v>66</v>
      </c>
      <c r="P7" s="13" t="n">
        <v>95.4</v>
      </c>
      <c r="Q7" s="19" t="str">
        <f aca="false">IF($N7="","",IFERROR(INDEX($C$5:$C$504,MATCH($N7,$A$5:$A$504,0)),"Invoice not found"))</f>
        <v>Marcus &amp; Elena Ortiz</v>
      </c>
    </row>
    <row r="8" customFormat="false" ht="15" hidden="false" customHeight="false" outlineLevel="0" collapsed="false">
      <c r="A8" s="19" t="str">
        <f aca="false">IF($K8="","",INDEX(Jobs!$O$5:$O$504,$K8))</f>
        <v>INV-0004</v>
      </c>
      <c r="B8" s="22" t="n">
        <f aca="false">IF($K8="","",INDEX(Jobs!$A$5:$A$504,$K8))</f>
        <v>46211</v>
      </c>
      <c r="C8" s="19" t="str">
        <f aca="false">IF($K8="","",INDEX(Jobs!$B$5:$B$504,$K8))</f>
        <v>Priya Raman</v>
      </c>
      <c r="D8" s="19" t="str">
        <f aca="false">IF($K8="","",INDEX(Jobs!$J$5:$J$504,$K8))</f>
        <v>Deep Clean</v>
      </c>
      <c r="E8" s="15" t="n">
        <f aca="false">IF($K8="","",INDEX(Jobs!$N$5:$N$504,$K8))</f>
        <v>259.7</v>
      </c>
      <c r="F8" s="15" t="n">
        <f aca="false">IF($A8="","",SUMIFS($P$5:$P$1004,$N$5:$N$1004,$A8))</f>
        <v>259.7</v>
      </c>
      <c r="G8" s="15" t="n">
        <f aca="false">IF($A8="","",$E8-$F8)</f>
        <v>0</v>
      </c>
      <c r="H8" s="22" t="n">
        <f aca="false">IF($A8="","",$B8+Settings!$B$11)</f>
        <v>46225</v>
      </c>
      <c r="I8" s="19" t="str">
        <f aca="true">IF($A8="","",IF($G8&lt;=0,"Paid",IF(TODAY()&gt;$H8,"Overdue",IF($F8&gt;0,"Partial","Unpaid"))))</f>
        <v>Paid</v>
      </c>
      <c r="J8" s="14" t="str">
        <f aca="true">IF($A8="","",IF(AND($G8&gt;0,TODAY()&gt;$H8),TODAY()-$H8,""))</f>
        <v/>
      </c>
      <c r="K8" s="2" t="n">
        <f aca="false">IFERROR(MATCH(ROWS($K$5:$K8),Jobs!$Q$5:$Q$504,0),"")</f>
        <v>4</v>
      </c>
      <c r="M8" s="16" t="n">
        <v>46217</v>
      </c>
      <c r="N8" s="12" t="s">
        <v>174</v>
      </c>
      <c r="O8" s="12" t="s">
        <v>51</v>
      </c>
      <c r="P8" s="13" t="n">
        <v>259.7</v>
      </c>
      <c r="Q8" s="19" t="str">
        <f aca="false">IF($N8="","",IFERROR(INDEX($C$5:$C$504,MATCH($N8,$A$5:$A$504,0)),"Invoice not found"))</f>
        <v>Priya Raman</v>
      </c>
    </row>
    <row r="9" customFormat="false" ht="15" hidden="false" customHeight="false" outlineLevel="0" collapsed="false">
      <c r="A9" s="19" t="str">
        <f aca="false">IF($K9="","",INDEX(Jobs!$O$5:$O$504,$K9))</f>
        <v>INV-0005</v>
      </c>
      <c r="B9" s="22" t="n">
        <f aca="false">IF($K9="","",INDEX(Jobs!$A$5:$A$504,$K9))</f>
        <v>46213</v>
      </c>
      <c r="C9" s="19" t="str">
        <f aca="false">IF($K9="","",INDEX(Jobs!$B$5:$B$504,$K9))</f>
        <v>Brightpath Dental Office</v>
      </c>
      <c r="D9" s="19" t="str">
        <f aca="false">IF($K9="","",INDEX(Jobs!$J$5:$J$504,$K9))</f>
        <v>Office Clean (hourly)</v>
      </c>
      <c r="E9" s="15" t="n">
        <f aca="false">IF($K9="","",INDEX(Jobs!$N$5:$N$504,$K9))</f>
        <v>143.1</v>
      </c>
      <c r="F9" s="15" t="n">
        <f aca="false">IF($A9="","",SUMIFS($P$5:$P$1004,$N$5:$N$1004,$A9))</f>
        <v>143.1</v>
      </c>
      <c r="G9" s="15" t="n">
        <f aca="false">IF($A9="","",$E9-$F9)</f>
        <v>0</v>
      </c>
      <c r="H9" s="22" t="n">
        <f aca="false">IF($A9="","",$B9+Settings!$B$11)</f>
        <v>46227</v>
      </c>
      <c r="I9" s="19" t="str">
        <f aca="true">IF($A9="","",IF($G9&lt;=0,"Paid",IF(TODAY()&gt;$H9,"Overdue",IF($F9&gt;0,"Partial","Unpaid"))))</f>
        <v>Paid</v>
      </c>
      <c r="J9" s="14" t="str">
        <f aca="true">IF($A9="","",IF(AND($G9&gt;0,TODAY()&gt;$H9),TODAY()-$H9,""))</f>
        <v/>
      </c>
      <c r="K9" s="2" t="n">
        <f aca="false">IFERROR(MATCH(ROWS($K$5:$K9),Jobs!$Q$5:$Q$504,0),"")</f>
        <v>5</v>
      </c>
      <c r="M9" s="16" t="n">
        <v>46220</v>
      </c>
      <c r="N9" s="12" t="s">
        <v>175</v>
      </c>
      <c r="O9" s="12" t="s">
        <v>56</v>
      </c>
      <c r="P9" s="13" t="n">
        <v>143.1</v>
      </c>
      <c r="Q9" s="19" t="str">
        <f aca="false">IF($N9="","",IFERROR(INDEX($C$5:$C$504,MATCH($N9,$A$5:$A$504,0)),"Invoice not found"))</f>
        <v>Brightpath Dental Office</v>
      </c>
    </row>
    <row r="10" customFormat="false" ht="15" hidden="false" customHeight="false" outlineLevel="0" collapsed="false">
      <c r="A10" s="19" t="str">
        <f aca="false">IF($K10="","",INDEX(Jobs!$O$5:$O$504,$K10))</f>
        <v>INV-0006</v>
      </c>
      <c r="B10" s="22" t="n">
        <f aca="false">IF($K10="","",INDEX(Jobs!$A$5:$A$504,$K10))</f>
        <v>46216</v>
      </c>
      <c r="C10" s="19" t="str">
        <f aca="false">IF($K10="","",INDEX(Jobs!$B$5:$B$504,$K10))</f>
        <v>Marcus &amp; Elena Ortiz</v>
      </c>
      <c r="D10" s="19" t="str">
        <f aca="false">IF($K10="","",INDEX(Jobs!$J$5:$J$504,$K10))</f>
        <v>Recurring Weekly</v>
      </c>
      <c r="E10" s="15" t="n">
        <f aca="false">IF($K10="","",INDEX(Jobs!$N$5:$N$504,$K10))</f>
        <v>95.4</v>
      </c>
      <c r="F10" s="15" t="n">
        <f aca="false">IF($A10="","",SUMIFS($P$5:$P$1004,$N$5:$N$1004,$A10))</f>
        <v>95.4</v>
      </c>
      <c r="G10" s="15" t="n">
        <f aca="false">IF($A10="","",$E10-$F10)</f>
        <v>0</v>
      </c>
      <c r="H10" s="22" t="n">
        <f aca="false">IF($A10="","",$B10+Settings!$B$11)</f>
        <v>46230</v>
      </c>
      <c r="I10" s="19" t="str">
        <f aca="true">IF($A10="","",IF($G10&lt;=0,"Paid",IF(TODAY()&gt;$H10,"Overdue",IF($F10&gt;0,"Partial","Unpaid"))))</f>
        <v>Paid</v>
      </c>
      <c r="J10" s="14" t="str">
        <f aca="true">IF($A10="","",IF(AND($G10&gt;0,TODAY()&gt;$H10),TODAY()-$H10,""))</f>
        <v/>
      </c>
      <c r="K10" s="2" t="n">
        <f aca="false">IFERROR(MATCH(ROWS($K$5:$K10),Jobs!$Q$5:$Q$504,0),"")</f>
        <v>6</v>
      </c>
      <c r="M10" s="16" t="n">
        <v>46224</v>
      </c>
      <c r="N10" s="12" t="s">
        <v>176</v>
      </c>
      <c r="O10" s="12" t="s">
        <v>61</v>
      </c>
      <c r="P10" s="13" t="n">
        <v>95.4</v>
      </c>
      <c r="Q10" s="19" t="str">
        <f aca="false">IF($N10="","",IFERROR(INDEX($C$5:$C$504,MATCH($N10,$A$5:$A$504,0)),"Invoice not found"))</f>
        <v>Marcus &amp; Elena Ortiz</v>
      </c>
    </row>
    <row r="11" customFormat="false" ht="15" hidden="false" customHeight="false" outlineLevel="0" collapsed="false">
      <c r="A11" s="19" t="str">
        <f aca="false">IF($K11="","",INDEX(Jobs!$O$5:$O$504,$K11))</f>
        <v>INV-0007</v>
      </c>
      <c r="B11" s="22" t="n">
        <f aca="false">IF($K11="","",INDEX(Jobs!$A$5:$A$504,$K11))</f>
        <v>46219</v>
      </c>
      <c r="C11" s="19" t="str">
        <f aca="false">IF($K11="","",INDEX(Jobs!$B$5:$B$504,$K11))</f>
        <v>Hannah Whitfield</v>
      </c>
      <c r="D11" s="19" t="str">
        <f aca="false">IF($K11="","",INDEX(Jobs!$J$5:$J$504,$K11))</f>
        <v>Recurring Every 2 Weeks</v>
      </c>
      <c r="E11" s="15" t="n">
        <f aca="false">IF($K11="","",INDEX(Jobs!$N$5:$N$504,$K11))</f>
        <v>116.6</v>
      </c>
      <c r="F11" s="15" t="n">
        <f aca="false">IF($A11="","",SUMIFS($P$5:$P$1004,$N$5:$N$1004,$A11))</f>
        <v>116.6</v>
      </c>
      <c r="G11" s="15" t="n">
        <f aca="false">IF($A11="","",$E11-$F11)</f>
        <v>0</v>
      </c>
      <c r="H11" s="22" t="n">
        <f aca="false">IF($A11="","",$B11+Settings!$B$11)</f>
        <v>46233</v>
      </c>
      <c r="I11" s="19" t="str">
        <f aca="true">IF($A11="","",IF($G11&lt;=0,"Paid",IF(TODAY()&gt;$H11,"Overdue",IF($F11&gt;0,"Partial","Unpaid"))))</f>
        <v>Paid</v>
      </c>
      <c r="J11" s="14" t="str">
        <f aca="true">IF($A11="","",IF(AND($G11&gt;0,TODAY()&gt;$H11),TODAY()-$H11,""))</f>
        <v/>
      </c>
      <c r="K11" s="2" t="n">
        <f aca="false">IFERROR(MATCH(ROWS($K$5:$K11),Jobs!$Q$5:$Q$504,0),"")</f>
        <v>7</v>
      </c>
      <c r="M11" s="16" t="n">
        <v>46228</v>
      </c>
      <c r="N11" s="12" t="s">
        <v>177</v>
      </c>
      <c r="O11" s="12" t="s">
        <v>66</v>
      </c>
      <c r="P11" s="13" t="n">
        <v>116.6</v>
      </c>
      <c r="Q11" s="19" t="str">
        <f aca="false">IF($N11="","",IFERROR(INDEX($C$5:$C$504,MATCH($N11,$A$5:$A$504,0)),"Invoice not found"))</f>
        <v>Hannah Whitfield</v>
      </c>
    </row>
    <row r="12" customFormat="false" ht="15" hidden="false" customHeight="false" outlineLevel="0" collapsed="false">
      <c r="A12" s="19" t="str">
        <f aca="false">IF($K12="","",INDEX(Jobs!$O$5:$O$504,$K12))</f>
        <v>INV-0008</v>
      </c>
      <c r="B12" s="22" t="n">
        <f aca="false">IF($K12="","",INDEX(Jobs!$A$5:$A$504,$K12))</f>
        <v>46223</v>
      </c>
      <c r="C12" s="19" t="str">
        <f aca="false">IF($K12="","",INDEX(Jobs!$B$5:$B$504,$K12))</f>
        <v>Greenleaf Property Mgmt</v>
      </c>
      <c r="D12" s="19" t="str">
        <f aca="false">IF($K12="","",INDEX(Jobs!$J$5:$J$504,$K12))</f>
        <v>Move-In / Move-Out</v>
      </c>
      <c r="E12" s="15" t="n">
        <f aca="false">IF($K12="","",INDEX(Jobs!$N$5:$N$504,$K12))</f>
        <v>318</v>
      </c>
      <c r="F12" s="15" t="n">
        <f aca="false">IF($A12="","",SUMIFS($P$5:$P$1004,$N$5:$N$1004,$A12))</f>
        <v>318</v>
      </c>
      <c r="G12" s="15" t="n">
        <f aca="false">IF($A12="","",$E12-$F12)</f>
        <v>0</v>
      </c>
      <c r="H12" s="22" t="n">
        <f aca="false">IF($A12="","",$B12+Settings!$B$11)</f>
        <v>46237</v>
      </c>
      <c r="I12" s="19" t="str">
        <f aca="true">IF($A12="","",IF($G12&lt;=0,"Paid",IF(TODAY()&gt;$H12,"Overdue",IF($F12&gt;0,"Partial","Unpaid"))))</f>
        <v>Paid</v>
      </c>
      <c r="J12" s="14" t="str">
        <f aca="true">IF($A12="","",IF(AND($G12&gt;0,TODAY()&gt;$H12),TODAY()-$H12,""))</f>
        <v/>
      </c>
      <c r="K12" s="2" t="n">
        <f aca="false">IFERROR(MATCH(ROWS($K$5:$K12),Jobs!$Q$5:$Q$504,0),"")</f>
        <v>8</v>
      </c>
      <c r="M12" s="16" t="n">
        <v>46233</v>
      </c>
      <c r="N12" s="12" t="s">
        <v>178</v>
      </c>
      <c r="O12" s="12" t="s">
        <v>51</v>
      </c>
      <c r="P12" s="13" t="n">
        <v>318</v>
      </c>
      <c r="Q12" s="19" t="str">
        <f aca="false">IF($N12="","",IFERROR(INDEX($C$5:$C$504,MATCH($N12,$A$5:$A$504,0)),"Invoice not found"))</f>
        <v>Greenleaf Property Mgmt</v>
      </c>
    </row>
    <row r="13" customFormat="false" ht="15" hidden="false" customHeight="false" outlineLevel="0" collapsed="false">
      <c r="A13" s="19" t="str">
        <f aca="false">IF($K13="","",INDEX(Jobs!$O$5:$O$504,$K13))</f>
        <v>INV-0009</v>
      </c>
      <c r="B13" s="22" t="n">
        <f aca="false">IF($K13="","",INDEX(Jobs!$A$5:$A$504,$K13))</f>
        <v>46227</v>
      </c>
      <c r="C13" s="19" t="str">
        <f aca="false">IF($K13="","",INDEX(Jobs!$B$5:$B$504,$K13))</f>
        <v>Tom Kessler</v>
      </c>
      <c r="D13" s="19" t="str">
        <f aca="false">IF($K13="","",INDEX(Jobs!$J$5:$J$504,$K13))</f>
        <v>Standard Clean</v>
      </c>
      <c r="E13" s="15" t="n">
        <f aca="false">IF($K13="","",INDEX(Jobs!$N$5:$N$504,$K13))</f>
        <v>127.2</v>
      </c>
      <c r="F13" s="15" t="n">
        <f aca="false">IF($A13="","",SUMIFS($P$5:$P$1004,$N$5:$N$1004,$A13))</f>
        <v>0</v>
      </c>
      <c r="G13" s="15" t="n">
        <f aca="false">IF($A13="","",$E13-$F13)</f>
        <v>127.2</v>
      </c>
      <c r="H13" s="22" t="n">
        <f aca="false">IF($A13="","",$B13+Settings!$B$11)</f>
        <v>46241</v>
      </c>
      <c r="I13" s="19" t="str">
        <f aca="true">IF($A13="","",IF($G13&lt;=0,"Paid",IF(TODAY()&gt;$H13,"Overdue",IF($F13&gt;0,"Partial","Unpaid"))))</f>
        <v>Overdue</v>
      </c>
      <c r="J13" s="14" t="n">
        <f aca="true">IF($A13="","",IF(AND($G13&gt;0,TODAY()&gt;$H13),TODAY()-$H13,""))</f>
        <v>56</v>
      </c>
      <c r="K13" s="2" t="n">
        <f aca="false">IFERROR(MATCH(ROWS($K$5:$K13),Jobs!$Q$5:$Q$504,0),"")</f>
        <v>9</v>
      </c>
      <c r="M13" s="16" t="n">
        <v>46234</v>
      </c>
      <c r="N13" s="12" t="s">
        <v>179</v>
      </c>
      <c r="O13" s="12" t="s">
        <v>61</v>
      </c>
      <c r="P13" s="13" t="n">
        <v>106</v>
      </c>
      <c r="Q13" s="19" t="str">
        <f aca="false">IF($N13="","",IFERROR(INDEX($C$5:$C$504,MATCH($N13,$A$5:$A$504,0)),"Invoice not found"))</f>
        <v>Riverside Yoga Studio</v>
      </c>
    </row>
    <row r="14" customFormat="false" ht="15" hidden="false" customHeight="false" outlineLevel="0" collapsed="false">
      <c r="A14" s="19" t="str">
        <f aca="false">IF($K14="","",INDEX(Jobs!$O$5:$O$504,$K14))</f>
        <v>INV-0010</v>
      </c>
      <c r="B14" s="22" t="n">
        <f aca="false">IF($K14="","",INDEX(Jobs!$A$5:$A$504,$K14))</f>
        <v>46231</v>
      </c>
      <c r="C14" s="19" t="str">
        <f aca="false">IF($K14="","",INDEX(Jobs!$B$5:$B$504,$K14))</f>
        <v>Riverside Yoga Studio</v>
      </c>
      <c r="D14" s="19" t="str">
        <f aca="false">IF($K14="","",INDEX(Jobs!$J$5:$J$504,$K14))</f>
        <v>Office Clean (hourly)</v>
      </c>
      <c r="E14" s="15" t="n">
        <f aca="false">IF($K14="","",INDEX(Jobs!$N$5:$N$504,$K14))</f>
        <v>106</v>
      </c>
      <c r="F14" s="15" t="n">
        <f aca="false">IF($A14="","",SUMIFS($P$5:$P$1004,$N$5:$N$1004,$A14))</f>
        <v>106</v>
      </c>
      <c r="G14" s="15" t="n">
        <f aca="false">IF($A14="","",$E14-$F14)</f>
        <v>0</v>
      </c>
      <c r="H14" s="22" t="n">
        <f aca="false">IF($A14="","",$B14+Settings!$B$11)</f>
        <v>46245</v>
      </c>
      <c r="I14" s="19" t="str">
        <f aca="true">IF($A14="","",IF($G14&lt;=0,"Paid",IF(TODAY()&gt;$H14,"Overdue",IF($F14&gt;0,"Partial","Unpaid"))))</f>
        <v>Paid</v>
      </c>
      <c r="J14" s="14" t="str">
        <f aca="true">IF($A14="","",IF(AND($G14&gt;0,TODAY()&gt;$H14),TODAY()-$H14,""))</f>
        <v/>
      </c>
      <c r="K14" s="2" t="n">
        <f aca="false">IFERROR(MATCH(ROWS($K$5:$K14),Jobs!$Q$5:$Q$504,0),"")</f>
        <v>10</v>
      </c>
      <c r="M14" s="16" t="n">
        <v>46241</v>
      </c>
      <c r="N14" s="12" t="s">
        <v>180</v>
      </c>
      <c r="O14" s="12" t="s">
        <v>66</v>
      </c>
      <c r="P14" s="13" t="n">
        <v>95.4</v>
      </c>
      <c r="Q14" s="19" t="str">
        <f aca="false">IF($N14="","",IFERROR(INDEX($C$5:$C$504,MATCH($N14,$A$5:$A$504,0)),"Invoice not found"))</f>
        <v>Marcus &amp; Elena Ortiz</v>
      </c>
    </row>
    <row r="15" customFormat="false" ht="15" hidden="false" customHeight="false" outlineLevel="0" collapsed="false">
      <c r="A15" s="19" t="str">
        <f aca="false">IF($K15="","",INDEX(Jobs!$O$5:$O$504,$K15))</f>
        <v>INV-0011</v>
      </c>
      <c r="B15" s="22" t="n">
        <f aca="false">IF($K15="","",INDEX(Jobs!$A$5:$A$504,$K15))</f>
        <v>46237</v>
      </c>
      <c r="C15" s="19" t="str">
        <f aca="false">IF($K15="","",INDEX(Jobs!$B$5:$B$504,$K15))</f>
        <v>Marcus &amp; Elena Ortiz</v>
      </c>
      <c r="D15" s="19" t="str">
        <f aca="false">IF($K15="","",INDEX(Jobs!$J$5:$J$504,$K15))</f>
        <v>Recurring Weekly</v>
      </c>
      <c r="E15" s="15" t="n">
        <f aca="false">IF($K15="","",INDEX(Jobs!$N$5:$N$504,$K15))</f>
        <v>95.4</v>
      </c>
      <c r="F15" s="15" t="n">
        <f aca="false">IF($A15="","",SUMIFS($P$5:$P$1004,$N$5:$N$1004,$A15))</f>
        <v>95.4</v>
      </c>
      <c r="G15" s="15" t="n">
        <f aca="false">IF($A15="","",$E15-$F15)</f>
        <v>0</v>
      </c>
      <c r="H15" s="22" t="n">
        <f aca="false">IF($A15="","",$B15+Settings!$B$11)</f>
        <v>46251</v>
      </c>
      <c r="I15" s="19" t="str">
        <f aca="true">IF($A15="","",IF($G15&lt;=0,"Paid",IF(TODAY()&gt;$H15,"Overdue",IF($F15&gt;0,"Partial","Unpaid"))))</f>
        <v>Paid</v>
      </c>
      <c r="J15" s="14" t="str">
        <f aca="true">IF($A15="","",IF(AND($G15&gt;0,TODAY()&gt;$H15),TODAY()-$H15,""))</f>
        <v/>
      </c>
      <c r="K15" s="2" t="n">
        <f aca="false">IFERROR(MATCH(ROWS($K$5:$K15),Jobs!$Q$5:$Q$504,0),"")</f>
        <v>11</v>
      </c>
      <c r="M15" s="16" t="n">
        <v>46243</v>
      </c>
      <c r="N15" s="12" t="s">
        <v>181</v>
      </c>
      <c r="O15" s="12" t="s">
        <v>51</v>
      </c>
      <c r="P15" s="13" t="n">
        <v>106</v>
      </c>
      <c r="Q15" s="19" t="str">
        <f aca="false">IF($N15="","",IFERROR(INDEX($C$5:$C$504,MATCH($N15,$A$5:$A$504,0)),"Invoice not found"))</f>
        <v>Riverside Yoga Studio</v>
      </c>
    </row>
    <row r="16" customFormat="false" ht="15" hidden="false" customHeight="false" outlineLevel="0" collapsed="false">
      <c r="A16" s="19" t="str">
        <f aca="false">IF($K16="","",INDEX(Jobs!$O$5:$O$504,$K16))</f>
        <v>INV-0012</v>
      </c>
      <c r="B16" s="22" t="n">
        <f aca="false">IF($K16="","",INDEX(Jobs!$A$5:$A$504,$K16))</f>
        <v>46238</v>
      </c>
      <c r="C16" s="19" t="str">
        <f aca="false">IF($K16="","",INDEX(Jobs!$B$5:$B$504,$K16))</f>
        <v>Riverside Yoga Studio</v>
      </c>
      <c r="D16" s="19" t="str">
        <f aca="false">IF($K16="","",INDEX(Jobs!$J$5:$J$504,$K16))</f>
        <v>Office Clean (hourly)</v>
      </c>
      <c r="E16" s="15" t="n">
        <f aca="false">IF($K16="","",INDEX(Jobs!$N$5:$N$504,$K16))</f>
        <v>106</v>
      </c>
      <c r="F16" s="15" t="n">
        <f aca="false">IF($A16="","",SUMIFS($P$5:$P$1004,$N$5:$N$1004,$A16))</f>
        <v>106</v>
      </c>
      <c r="G16" s="15" t="n">
        <f aca="false">IF($A16="","",$E16-$F16)</f>
        <v>0</v>
      </c>
      <c r="H16" s="22" t="n">
        <f aca="false">IF($A16="","",$B16+Settings!$B$11)</f>
        <v>46252</v>
      </c>
      <c r="I16" s="19" t="str">
        <f aca="true">IF($A16="","",IF($G16&lt;=0,"Paid",IF(TODAY()&gt;$H16,"Overdue",IF($F16&gt;0,"Partial","Unpaid"))))</f>
        <v>Paid</v>
      </c>
      <c r="J16" s="14" t="str">
        <f aca="true">IF($A16="","",IF(AND($G16&gt;0,TODAY()&gt;$H16),TODAY()-$H16,""))</f>
        <v/>
      </c>
      <c r="K16" s="2" t="n">
        <f aca="false">IFERROR(MATCH(ROWS($K$5:$K16),Jobs!$Q$5:$Q$504,0),"")</f>
        <v>12</v>
      </c>
      <c r="M16" s="16" t="n">
        <v>46246</v>
      </c>
      <c r="N16" s="12" t="s">
        <v>182</v>
      </c>
      <c r="O16" s="12" t="s">
        <v>56</v>
      </c>
      <c r="P16" s="13" t="n">
        <v>233.2</v>
      </c>
      <c r="Q16" s="19" t="str">
        <f aca="false">IF($N16="","",IFERROR(INDEX($C$5:$C$504,MATCH($N16,$A$5:$A$504,0)),"Invoice not found"))</f>
        <v>Danielle Brooks</v>
      </c>
    </row>
    <row r="17" customFormat="false" ht="15" hidden="false" customHeight="false" outlineLevel="0" collapsed="false">
      <c r="A17" s="19" t="str">
        <f aca="false">IF($K17="","",INDEX(Jobs!$O$5:$O$504,$K17))</f>
        <v>INV-0013</v>
      </c>
      <c r="B17" s="22" t="n">
        <f aca="false">IF($K17="","",INDEX(Jobs!$A$5:$A$504,$K17))</f>
        <v>46240</v>
      </c>
      <c r="C17" s="19" t="str">
        <f aca="false">IF($K17="","",INDEX(Jobs!$B$5:$B$504,$K17))</f>
        <v>Danielle Brooks</v>
      </c>
      <c r="D17" s="19" t="str">
        <f aca="false">IF($K17="","",INDEX(Jobs!$J$5:$J$504,$K17))</f>
        <v>Deep Clean</v>
      </c>
      <c r="E17" s="15" t="n">
        <f aca="false">IF($K17="","",INDEX(Jobs!$N$5:$N$504,$K17))</f>
        <v>233.2</v>
      </c>
      <c r="F17" s="15" t="n">
        <f aca="false">IF($A17="","",SUMIFS($P$5:$P$1004,$N$5:$N$1004,$A17))</f>
        <v>233.2</v>
      </c>
      <c r="G17" s="15" t="n">
        <f aca="false">IF($A17="","",$E17-$F17)</f>
        <v>0</v>
      </c>
      <c r="H17" s="22" t="n">
        <f aca="false">IF($A17="","",$B17+Settings!$B$11)</f>
        <v>46254</v>
      </c>
      <c r="I17" s="19" t="str">
        <f aca="true">IF($A17="","",IF($G17&lt;=0,"Paid",IF(TODAY()&gt;$H17,"Overdue",IF($F17&gt;0,"Partial","Unpaid"))))</f>
        <v>Paid</v>
      </c>
      <c r="J17" s="14" t="str">
        <f aca="true">IF($A17="","",IF(AND($G17&gt;0,TODAY()&gt;$H17),TODAY()-$H17,""))</f>
        <v/>
      </c>
      <c r="K17" s="2" t="n">
        <f aca="false">IFERROR(MATCH(ROWS($K$5:$K17),Jobs!$Q$5:$Q$504,0),"")</f>
        <v>13</v>
      </c>
      <c r="M17" s="16" t="n">
        <v>46248</v>
      </c>
      <c r="N17" s="12" t="s">
        <v>183</v>
      </c>
      <c r="O17" s="12" t="s">
        <v>61</v>
      </c>
      <c r="P17" s="13" t="n">
        <v>143.1</v>
      </c>
      <c r="Q17" s="19" t="str">
        <f aca="false">IF($N17="","",IFERROR(INDEX($C$5:$C$504,MATCH($N17,$A$5:$A$504,0)),"Invoice not found"))</f>
        <v>Brightpath Dental Office</v>
      </c>
    </row>
    <row r="18" customFormat="false" ht="15" hidden="false" customHeight="false" outlineLevel="0" collapsed="false">
      <c r="A18" s="19" t="str">
        <f aca="false">IF($K18="","",INDEX(Jobs!$O$5:$O$504,$K18))</f>
        <v>INV-0014</v>
      </c>
      <c r="B18" s="22" t="n">
        <f aca="false">IF($K18="","",INDEX(Jobs!$A$5:$A$504,$K18))</f>
        <v>46241</v>
      </c>
      <c r="C18" s="19" t="str">
        <f aca="false">IF($K18="","",INDEX(Jobs!$B$5:$B$504,$K18))</f>
        <v>Brightpath Dental Office</v>
      </c>
      <c r="D18" s="19" t="str">
        <f aca="false">IF($K18="","",INDEX(Jobs!$J$5:$J$504,$K18))</f>
        <v>Office Clean (hourly)</v>
      </c>
      <c r="E18" s="15" t="n">
        <f aca="false">IF($K18="","",INDEX(Jobs!$N$5:$N$504,$K18))</f>
        <v>143.1</v>
      </c>
      <c r="F18" s="15" t="n">
        <f aca="false">IF($A18="","",SUMIFS($P$5:$P$1004,$N$5:$N$1004,$A18))</f>
        <v>143.1</v>
      </c>
      <c r="G18" s="15" t="n">
        <f aca="false">IF($A18="","",$E18-$F18)</f>
        <v>0</v>
      </c>
      <c r="H18" s="22" t="n">
        <f aca="false">IF($A18="","",$B18+Settings!$B$11)</f>
        <v>46255</v>
      </c>
      <c r="I18" s="19" t="str">
        <f aca="true">IF($A18="","",IF($G18&lt;=0,"Paid",IF(TODAY()&gt;$H18,"Overdue",IF($F18&gt;0,"Partial","Unpaid"))))</f>
        <v>Paid</v>
      </c>
      <c r="J18" s="14" t="str">
        <f aca="true">IF($A18="","",IF(AND($G18&gt;0,TODAY()&gt;$H18),TODAY()-$H18,""))</f>
        <v/>
      </c>
      <c r="K18" s="2" t="n">
        <f aca="false">IFERROR(MATCH(ROWS($K$5:$K18),Jobs!$Q$5:$Q$504,0),"")</f>
        <v>14</v>
      </c>
      <c r="M18" s="16" t="n">
        <v>46252</v>
      </c>
      <c r="N18" s="12" t="s">
        <v>184</v>
      </c>
      <c r="O18" s="12" t="s">
        <v>66</v>
      </c>
      <c r="P18" s="13" t="n">
        <v>95.4</v>
      </c>
      <c r="Q18" s="19" t="str">
        <f aca="false">IF($N18="","",IFERROR(INDEX($C$5:$C$504,MATCH($N18,$A$5:$A$504,0)),"Invoice not found"))</f>
        <v>Marcus &amp; Elena Ortiz</v>
      </c>
    </row>
    <row r="19" customFormat="false" ht="15" hidden="false" customHeight="false" outlineLevel="0" collapsed="false">
      <c r="A19" s="19" t="str">
        <f aca="false">IF($K19="","",INDEX(Jobs!$O$5:$O$504,$K19))</f>
        <v>INV-0015</v>
      </c>
      <c r="B19" s="22" t="n">
        <f aca="false">IF($K19="","",INDEX(Jobs!$A$5:$A$504,$K19))</f>
        <v>46244</v>
      </c>
      <c r="C19" s="19" t="str">
        <f aca="false">IF($K19="","",INDEX(Jobs!$B$5:$B$504,$K19))</f>
        <v>Marcus &amp; Elena Ortiz</v>
      </c>
      <c r="D19" s="19" t="str">
        <f aca="false">IF($K19="","",INDEX(Jobs!$J$5:$J$504,$K19))</f>
        <v>Recurring Weekly</v>
      </c>
      <c r="E19" s="15" t="n">
        <f aca="false">IF($K19="","",INDEX(Jobs!$N$5:$N$504,$K19))</f>
        <v>95.4</v>
      </c>
      <c r="F19" s="15" t="n">
        <f aca="false">IF($A19="","",SUMIFS($P$5:$P$1004,$N$5:$N$1004,$A19))</f>
        <v>95.4</v>
      </c>
      <c r="G19" s="15" t="n">
        <f aca="false">IF($A19="","",$E19-$F19)</f>
        <v>0</v>
      </c>
      <c r="H19" s="22" t="n">
        <f aca="false">IF($A19="","",$B19+Settings!$B$11)</f>
        <v>46258</v>
      </c>
      <c r="I19" s="19" t="str">
        <f aca="true">IF($A19="","",IF($G19&lt;=0,"Paid",IF(TODAY()&gt;$H19,"Overdue",IF($F19&gt;0,"Partial","Unpaid"))))</f>
        <v>Paid</v>
      </c>
      <c r="J19" s="14" t="str">
        <f aca="true">IF($A19="","",IF(AND($G19&gt;0,TODAY()&gt;$H19),TODAY()-$H19,""))</f>
        <v/>
      </c>
      <c r="K19" s="2" t="n">
        <f aca="false">IFERROR(MATCH(ROWS($K$5:$K19),Jobs!$Q$5:$Q$504,0),"")</f>
        <v>15</v>
      </c>
      <c r="M19" s="16" t="n">
        <v>46254</v>
      </c>
      <c r="N19" s="12" t="s">
        <v>185</v>
      </c>
      <c r="O19" s="12" t="s">
        <v>61</v>
      </c>
      <c r="P19" s="13" t="n">
        <v>127.2</v>
      </c>
      <c r="Q19" s="19" t="str">
        <f aca="false">IF($N19="","",IFERROR(INDEX($C$5:$C$504,MATCH($N19,$A$5:$A$504,0)),"Invoice not found"))</f>
        <v>Priya Raman</v>
      </c>
    </row>
    <row r="20" customFormat="false" ht="15" hidden="false" customHeight="false" outlineLevel="0" collapsed="false">
      <c r="A20" s="19" t="str">
        <f aca="false">IF($K20="","",INDEX(Jobs!$O$5:$O$504,$K20))</f>
        <v>INV-0016</v>
      </c>
      <c r="B20" s="22" t="n">
        <f aca="false">IF($K20="","",INDEX(Jobs!$A$5:$A$504,$K20))</f>
        <v>46247</v>
      </c>
      <c r="C20" s="19" t="str">
        <f aca="false">IF($K20="","",INDEX(Jobs!$B$5:$B$504,$K20))</f>
        <v>Hannah Whitfield</v>
      </c>
      <c r="D20" s="19" t="str">
        <f aca="false">IF($K20="","",INDEX(Jobs!$J$5:$J$504,$K20))</f>
        <v>Recurring Every 2 Weeks</v>
      </c>
      <c r="E20" s="15" t="n">
        <f aca="false">IF($K20="","",INDEX(Jobs!$N$5:$N$504,$K20))</f>
        <v>116.6</v>
      </c>
      <c r="F20" s="15" t="n">
        <f aca="false">IF($A20="","",SUMIFS($P$5:$P$1004,$N$5:$N$1004,$A20))</f>
        <v>116.6</v>
      </c>
      <c r="G20" s="15" t="n">
        <f aca="false">IF($A20="","",$E20-$F20)</f>
        <v>0</v>
      </c>
      <c r="H20" s="22" t="n">
        <f aca="false">IF($A20="","",$B20+Settings!$B$11)</f>
        <v>46261</v>
      </c>
      <c r="I20" s="19" t="str">
        <f aca="true">IF($A20="","",IF($G20&lt;=0,"Paid",IF(TODAY()&gt;$H20,"Overdue",IF($F20&gt;0,"Partial","Unpaid"))))</f>
        <v>Paid</v>
      </c>
      <c r="J20" s="14" t="str">
        <f aca="true">IF($A20="","",IF(AND($G20&gt;0,TODAY()&gt;$H20),TODAY()-$H20,""))</f>
        <v/>
      </c>
      <c r="K20" s="2" t="n">
        <f aca="false">IFERROR(MATCH(ROWS($K$5:$K20),Jobs!$Q$5:$Q$504,0),"")</f>
        <v>16</v>
      </c>
      <c r="M20" s="16" t="n">
        <v>46256</v>
      </c>
      <c r="N20" s="12" t="s">
        <v>186</v>
      </c>
      <c r="O20" s="12" t="s">
        <v>51</v>
      </c>
      <c r="P20" s="13" t="n">
        <v>116.6</v>
      </c>
      <c r="Q20" s="19" t="str">
        <f aca="false">IF($N20="","",IFERROR(INDEX($C$5:$C$504,MATCH($N20,$A$5:$A$504,0)),"Invoice not found"))</f>
        <v>Hannah Whitfield</v>
      </c>
    </row>
    <row r="21" customFormat="false" ht="15" hidden="false" customHeight="false" outlineLevel="0" collapsed="false">
      <c r="A21" s="19" t="str">
        <f aca="false">IF($K21="","",INDEX(Jobs!$O$5:$O$504,$K21))</f>
        <v>INV-0017</v>
      </c>
      <c r="B21" s="22" t="n">
        <f aca="false">IF($K21="","",INDEX(Jobs!$A$5:$A$504,$K21))</f>
        <v>46248</v>
      </c>
      <c r="C21" s="19" t="str">
        <f aca="false">IF($K21="","",INDEX(Jobs!$B$5:$B$504,$K21))</f>
        <v>Greenleaf Property Mgmt</v>
      </c>
      <c r="D21" s="19" t="str">
        <f aca="false">IF($K21="","",INDEX(Jobs!$J$5:$J$504,$K21))</f>
        <v>Move-In / Move-Out</v>
      </c>
      <c r="E21" s="15" t="n">
        <f aca="false">IF($K21="","",INDEX(Jobs!$N$5:$N$504,$K21))</f>
        <v>360.4</v>
      </c>
      <c r="F21" s="15" t="n">
        <f aca="false">IF($A21="","",SUMIFS($P$5:$P$1004,$N$5:$N$1004,$A21))</f>
        <v>200</v>
      </c>
      <c r="G21" s="15" t="n">
        <f aca="false">IF($A21="","",$E21-$F21)</f>
        <v>160.4</v>
      </c>
      <c r="H21" s="22" t="n">
        <f aca="false">IF($A21="","",$B21+Settings!$B$11)</f>
        <v>46262</v>
      </c>
      <c r="I21" s="19" t="str">
        <f aca="true">IF($A21="","",IF($G21&lt;=0,"Paid",IF(TODAY()&gt;$H21,"Overdue",IF($F21&gt;0,"Partial","Unpaid"))))</f>
        <v>Overdue</v>
      </c>
      <c r="J21" s="14" t="n">
        <f aca="true">IF($A21="","",IF(AND($G21&gt;0,TODAY()&gt;$H21),TODAY()-$H21,""))</f>
        <v>35</v>
      </c>
      <c r="K21" s="2" t="n">
        <f aca="false">IFERROR(MATCH(ROWS($K$5:$K21),Jobs!$Q$5:$Q$504,0),"")</f>
        <v>17</v>
      </c>
      <c r="M21" s="16" t="n">
        <v>46258</v>
      </c>
      <c r="N21" s="12" t="s">
        <v>187</v>
      </c>
      <c r="O21" s="12" t="s">
        <v>56</v>
      </c>
      <c r="P21" s="13" t="n">
        <v>200</v>
      </c>
      <c r="Q21" s="19" t="str">
        <f aca="false">IF($N21="","",IFERROR(INDEX($C$5:$C$504,MATCH($N21,$A$5:$A$504,0)),"Invoice not found"))</f>
        <v>Greenleaf Property Mgmt</v>
      </c>
    </row>
    <row r="22" customFormat="false" ht="15" hidden="false" customHeight="false" outlineLevel="0" collapsed="false">
      <c r="A22" s="19" t="str">
        <f aca="false">IF($K22="","",INDEX(Jobs!$O$5:$O$504,$K22))</f>
        <v>INV-0018</v>
      </c>
      <c r="B22" s="22" t="n">
        <f aca="false">IF($K22="","",INDEX(Jobs!$A$5:$A$504,$K22))</f>
        <v>46252</v>
      </c>
      <c r="C22" s="19" t="str">
        <f aca="false">IF($K22="","",INDEX(Jobs!$B$5:$B$504,$K22))</f>
        <v>Priya Raman</v>
      </c>
      <c r="D22" s="19" t="str">
        <f aca="false">IF($K22="","",INDEX(Jobs!$J$5:$J$504,$K22))</f>
        <v>Standard Clean</v>
      </c>
      <c r="E22" s="15" t="n">
        <f aca="false">IF($K22="","",INDEX(Jobs!$N$5:$N$504,$K22))</f>
        <v>127.2</v>
      </c>
      <c r="F22" s="15" t="n">
        <f aca="false">IF($A22="","",SUMIFS($P$5:$P$1004,$N$5:$N$1004,$A22))</f>
        <v>127.2</v>
      </c>
      <c r="G22" s="15" t="n">
        <f aca="false">IF($A22="","",$E22-$F22)</f>
        <v>0</v>
      </c>
      <c r="H22" s="22" t="n">
        <f aca="false">IF($A22="","",$B22+Settings!$B$11)</f>
        <v>46266</v>
      </c>
      <c r="I22" s="19" t="str">
        <f aca="true">IF($A22="","",IF($G22&lt;=0,"Paid",IF(TODAY()&gt;$H22,"Overdue",IF($F22&gt;0,"Partial","Unpaid"))))</f>
        <v>Paid</v>
      </c>
      <c r="J22" s="14" t="str">
        <f aca="true">IF($A22="","",IF(AND($G22&gt;0,TODAY()&gt;$H22),TODAY()-$H22,""))</f>
        <v/>
      </c>
      <c r="K22" s="2" t="n">
        <f aca="false">IFERROR(MATCH(ROWS($K$5:$K22),Jobs!$Q$5:$Q$504,0),"")</f>
        <v>18</v>
      </c>
      <c r="M22" s="16" t="n">
        <v>46265</v>
      </c>
      <c r="N22" s="12" t="s">
        <v>188</v>
      </c>
      <c r="O22" s="12" t="s">
        <v>51</v>
      </c>
      <c r="P22" s="13" t="n">
        <v>127.2</v>
      </c>
      <c r="Q22" s="19" t="str">
        <f aca="false">IF($N22="","",IFERROR(INDEX($C$5:$C$504,MATCH($N22,$A$5:$A$504,0)),"Invoice not found"))</f>
        <v>Danielle Brooks</v>
      </c>
    </row>
    <row r="23" customFormat="false" ht="15" hidden="false" customHeight="false" outlineLevel="0" collapsed="false">
      <c r="A23" s="19" t="str">
        <f aca="false">IF($K23="","",INDEX(Jobs!$O$5:$O$504,$K23))</f>
        <v>INV-0020</v>
      </c>
      <c r="B23" s="22" t="n">
        <f aca="false">IF($K23="","",INDEX(Jobs!$A$5:$A$504,$K23))</f>
        <v>46261</v>
      </c>
      <c r="C23" s="19" t="str">
        <f aca="false">IF($K23="","",INDEX(Jobs!$B$5:$B$504,$K23))</f>
        <v>Danielle Brooks</v>
      </c>
      <c r="D23" s="19" t="str">
        <f aca="false">IF($K23="","",INDEX(Jobs!$J$5:$J$504,$K23))</f>
        <v>Standard Clean</v>
      </c>
      <c r="E23" s="15" t="n">
        <f aca="false">IF($K23="","",INDEX(Jobs!$N$5:$N$504,$K23))</f>
        <v>127.2</v>
      </c>
      <c r="F23" s="15" t="n">
        <f aca="false">IF($A23="","",SUMIFS($P$5:$P$1004,$N$5:$N$1004,$A23))</f>
        <v>127.2</v>
      </c>
      <c r="G23" s="15" t="n">
        <f aca="false">IF($A23="","",$E23-$F23)</f>
        <v>0</v>
      </c>
      <c r="H23" s="22" t="n">
        <f aca="false">IF($A23="","",$B23+Settings!$B$11)</f>
        <v>46275</v>
      </c>
      <c r="I23" s="19" t="str">
        <f aca="true">IF($A23="","",IF($G23&lt;=0,"Paid",IF(TODAY()&gt;$H23,"Overdue",IF($F23&gt;0,"Partial","Unpaid"))))</f>
        <v>Paid</v>
      </c>
      <c r="J23" s="14" t="str">
        <f aca="true">IF($A23="","",IF(AND($G23&gt;0,TODAY()&gt;$H23),TODAY()-$H23,""))</f>
        <v/>
      </c>
      <c r="K23" s="2" t="n">
        <f aca="false">IFERROR(MATCH(ROWS($K$5:$K23),Jobs!$Q$5:$Q$504,0),"")</f>
        <v>20</v>
      </c>
      <c r="M23" s="16" t="n">
        <v>46271</v>
      </c>
      <c r="N23" s="12" t="s">
        <v>189</v>
      </c>
      <c r="O23" s="12" t="s">
        <v>56</v>
      </c>
      <c r="P23" s="13" t="n">
        <v>95.4</v>
      </c>
      <c r="Q23" s="19" t="str">
        <f aca="false">IF($N23="","",IFERROR(INDEX($C$5:$C$504,MATCH($N23,$A$5:$A$504,0)),"Invoice not found"))</f>
        <v>Marcus &amp; Elena Ortiz</v>
      </c>
    </row>
    <row r="24" customFormat="false" ht="15" hidden="false" customHeight="false" outlineLevel="0" collapsed="false">
      <c r="A24" s="19" t="str">
        <f aca="false">IF($K24="","",INDEX(Jobs!$O$5:$O$504,$K24))</f>
        <v>INV-0021</v>
      </c>
      <c r="B24" s="22" t="n">
        <f aca="false">IF($K24="","",INDEX(Jobs!$A$5:$A$504,$K24))</f>
        <v>46266</v>
      </c>
      <c r="C24" s="19" t="str">
        <f aca="false">IF($K24="","",INDEX(Jobs!$B$5:$B$504,$K24))</f>
        <v>Marcus &amp; Elena Ortiz</v>
      </c>
      <c r="D24" s="19" t="str">
        <f aca="false">IF($K24="","",INDEX(Jobs!$J$5:$J$504,$K24))</f>
        <v>Recurring Weekly</v>
      </c>
      <c r="E24" s="15" t="n">
        <f aca="false">IF($K24="","",INDEX(Jobs!$N$5:$N$504,$K24))</f>
        <v>95.4</v>
      </c>
      <c r="F24" s="15" t="n">
        <f aca="false">IF($A24="","",SUMIFS($P$5:$P$1004,$N$5:$N$1004,$A24))</f>
        <v>95.4</v>
      </c>
      <c r="G24" s="15" t="n">
        <f aca="false">IF($A24="","",$E24-$F24)</f>
        <v>0</v>
      </c>
      <c r="H24" s="22" t="n">
        <f aca="false">IF($A24="","",$B24+Settings!$B$11)</f>
        <v>46280</v>
      </c>
      <c r="I24" s="19" t="str">
        <f aca="true">IF($A24="","",IF($G24&lt;=0,"Paid",IF(TODAY()&gt;$H24,"Overdue",IF($F24&gt;0,"Partial","Unpaid"))))</f>
        <v>Paid</v>
      </c>
      <c r="J24" s="14" t="str">
        <f aca="true">IF($A24="","",IF(AND($G24&gt;0,TODAY()&gt;$H24),TODAY()-$H24,""))</f>
        <v/>
      </c>
      <c r="K24" s="2" t="n">
        <f aca="false">IFERROR(MATCH(ROWS($K$5:$K24),Jobs!$Q$5:$Q$504,0),"")</f>
        <v>21</v>
      </c>
      <c r="M24" s="16" t="n">
        <v>46274</v>
      </c>
      <c r="N24" s="12" t="s">
        <v>190</v>
      </c>
      <c r="O24" s="12" t="s">
        <v>61</v>
      </c>
      <c r="P24" s="13" t="n">
        <v>166.95</v>
      </c>
      <c r="Q24" s="19" t="str">
        <f aca="false">IF($N24="","",IFERROR(INDEX($C$5:$C$504,MATCH($N24,$A$5:$A$504,0)),"Invoice not found"))</f>
        <v>Brightpath Dental Office</v>
      </c>
    </row>
    <row r="25" customFormat="false" ht="15" hidden="false" customHeight="false" outlineLevel="0" collapsed="false">
      <c r="A25" s="19" t="str">
        <f aca="false">IF($K25="","",INDEX(Jobs!$O$5:$O$504,$K25))</f>
        <v>INV-0022</v>
      </c>
      <c r="B25" s="22" t="n">
        <f aca="false">IF($K25="","",INDEX(Jobs!$A$5:$A$504,$K25))</f>
        <v>46268</v>
      </c>
      <c r="C25" s="19" t="str">
        <f aca="false">IF($K25="","",INDEX(Jobs!$B$5:$B$504,$K25))</f>
        <v>Brightpath Dental Office</v>
      </c>
      <c r="D25" s="19" t="str">
        <f aca="false">IF($K25="","",INDEX(Jobs!$J$5:$J$504,$K25))</f>
        <v>Office Clean (hourly)</v>
      </c>
      <c r="E25" s="15" t="n">
        <f aca="false">IF($K25="","",INDEX(Jobs!$N$5:$N$504,$K25))</f>
        <v>166.95</v>
      </c>
      <c r="F25" s="15" t="n">
        <f aca="false">IF($A25="","",SUMIFS($P$5:$P$1004,$N$5:$N$1004,$A25))</f>
        <v>166.95</v>
      </c>
      <c r="G25" s="15" t="n">
        <f aca="false">IF($A25="","",$E25-$F25)</f>
        <v>0</v>
      </c>
      <c r="H25" s="22" t="n">
        <f aca="false">IF($A25="","",$B25+Settings!$B$11)</f>
        <v>46282</v>
      </c>
      <c r="I25" s="19" t="str">
        <f aca="true">IF($A25="","",IF($G25&lt;=0,"Paid",IF(TODAY()&gt;$H25,"Overdue",IF($F25&gt;0,"Partial","Unpaid"))))</f>
        <v>Paid</v>
      </c>
      <c r="J25" s="14" t="str">
        <f aca="true">IF($A25="","",IF(AND($G25&gt;0,TODAY()&gt;$H25),TODAY()-$H25,""))</f>
        <v/>
      </c>
      <c r="K25" s="2" t="n">
        <f aca="false">IFERROR(MATCH(ROWS($K$5:$K25),Jobs!$Q$5:$Q$504,0),"")</f>
        <v>22</v>
      </c>
      <c r="M25" s="16" t="n">
        <v>46280</v>
      </c>
      <c r="N25" s="12" t="s">
        <v>191</v>
      </c>
      <c r="O25" s="12" t="s">
        <v>66</v>
      </c>
      <c r="P25" s="13" t="n">
        <v>116.6</v>
      </c>
      <c r="Q25" s="19" t="str">
        <f aca="false">IF($N25="","",IFERROR(INDEX($C$5:$C$504,MATCH($N25,$A$5:$A$504,0)),"Invoice not found"))</f>
        <v>Hannah Whitfield</v>
      </c>
    </row>
    <row r="26" customFormat="false" ht="15" hidden="false" customHeight="false" outlineLevel="0" collapsed="false">
      <c r="A26" s="19" t="str">
        <f aca="false">IF($K26="","",INDEX(Jobs!$O$5:$O$504,$K26))</f>
        <v>INV-0023</v>
      </c>
      <c r="B26" s="22" t="n">
        <f aca="false">IF($K26="","",INDEX(Jobs!$A$5:$A$504,$K26))</f>
        <v>46273</v>
      </c>
      <c r="C26" s="19" t="str">
        <f aca="false">IF($K26="","",INDEX(Jobs!$B$5:$B$504,$K26))</f>
        <v>Hannah Whitfield</v>
      </c>
      <c r="D26" s="19" t="str">
        <f aca="false">IF($K26="","",INDEX(Jobs!$J$5:$J$504,$K26))</f>
        <v>Recurring Every 2 Weeks</v>
      </c>
      <c r="E26" s="15" t="n">
        <f aca="false">IF($K26="","",INDEX(Jobs!$N$5:$N$504,$K26))</f>
        <v>116.6</v>
      </c>
      <c r="F26" s="15" t="n">
        <f aca="false">IF($A26="","",SUMIFS($P$5:$P$1004,$N$5:$N$1004,$A26))</f>
        <v>116.6</v>
      </c>
      <c r="G26" s="15" t="n">
        <f aca="false">IF($A26="","",$E26-$F26)</f>
        <v>0</v>
      </c>
      <c r="H26" s="22" t="n">
        <f aca="false">IF($A26="","",$B26+Settings!$B$11)</f>
        <v>46287</v>
      </c>
      <c r="I26" s="19" t="str">
        <f aca="true">IF($A26="","",IF($G26&lt;=0,"Paid",IF(TODAY()&gt;$H26,"Overdue",IF($F26&gt;0,"Partial","Unpaid"))))</f>
        <v>Paid</v>
      </c>
      <c r="J26" s="14" t="str">
        <f aca="true">IF($A26="","",IF(AND($G26&gt;0,TODAY()&gt;$H26),TODAY()-$H26,""))</f>
        <v/>
      </c>
      <c r="K26" s="2" t="n">
        <f aca="false">IFERROR(MATCH(ROWS($K$5:$K26),Jobs!$Q$5:$Q$504,0),"")</f>
        <v>23</v>
      </c>
      <c r="M26" s="16" t="n">
        <v>46283</v>
      </c>
      <c r="N26" s="12" t="s">
        <v>192</v>
      </c>
      <c r="O26" s="12" t="s">
        <v>51</v>
      </c>
      <c r="P26" s="13" t="n">
        <v>106</v>
      </c>
      <c r="Q26" s="19" t="str">
        <f aca="false">IF($N26="","",IFERROR(INDEX($C$5:$C$504,MATCH($N26,$A$5:$A$504,0)),"Invoice not found"))</f>
        <v>Riverside Yoga Studio</v>
      </c>
    </row>
    <row r="27" customFormat="false" ht="15" hidden="false" customHeight="false" outlineLevel="0" collapsed="false">
      <c r="A27" s="19" t="str">
        <f aca="false">IF($K27="","",INDEX(Jobs!$O$5:$O$504,$K27))</f>
        <v>INV-0024</v>
      </c>
      <c r="B27" s="22" t="n">
        <f aca="false">IF($K27="","",INDEX(Jobs!$A$5:$A$504,$K27))</f>
        <v>46275</v>
      </c>
      <c r="C27" s="19" t="str">
        <f aca="false">IF($K27="","",INDEX(Jobs!$B$5:$B$504,$K27))</f>
        <v>Riverside Yoga Studio</v>
      </c>
      <c r="D27" s="19" t="str">
        <f aca="false">IF($K27="","",INDEX(Jobs!$J$5:$J$504,$K27))</f>
        <v>Office Clean (hourly)</v>
      </c>
      <c r="E27" s="15" t="n">
        <f aca="false">IF($K27="","",INDEX(Jobs!$N$5:$N$504,$K27))</f>
        <v>106</v>
      </c>
      <c r="F27" s="15" t="n">
        <f aca="false">IF($A27="","",SUMIFS($P$5:$P$1004,$N$5:$N$1004,$A27))</f>
        <v>106</v>
      </c>
      <c r="G27" s="15" t="n">
        <f aca="false">IF($A27="","",$E27-$F27)</f>
        <v>0</v>
      </c>
      <c r="H27" s="22" t="n">
        <f aca="false">IF($A27="","",$B27+Settings!$B$11)</f>
        <v>46289</v>
      </c>
      <c r="I27" s="19" t="str">
        <f aca="true">IF($A27="","",IF($G27&lt;=0,"Paid",IF(TODAY()&gt;$H27,"Overdue",IF($F27&gt;0,"Partial","Unpaid"))))</f>
        <v>Paid</v>
      </c>
      <c r="J27" s="14" t="str">
        <f aca="true">IF($A27="","",IF(AND($G27&gt;0,TODAY()&gt;$H27),TODAY()-$H27,""))</f>
        <v/>
      </c>
      <c r="K27" s="2" t="n">
        <f aca="false">IFERROR(MATCH(ROWS($K$5:$K27),Jobs!$Q$5:$Q$504,0),"")</f>
        <v>24</v>
      </c>
      <c r="M27" s="16"/>
      <c r="N27" s="12"/>
      <c r="O27" s="12"/>
      <c r="P27" s="13"/>
      <c r="Q27" s="19" t="str">
        <f aca="false">IF($N27="","",IFERROR(INDEX($C$5:$C$504,MATCH($N27,$A$5:$A$504,0)),"Invoice not found"))</f>
        <v/>
      </c>
    </row>
    <row r="28" customFormat="false" ht="15" hidden="false" customHeight="false" outlineLevel="0" collapsed="false">
      <c r="A28" s="19" t="str">
        <f aca="false">IF($K28="","",INDEX(Jobs!$O$5:$O$504,$K28))</f>
        <v>INV-0025</v>
      </c>
      <c r="B28" s="22" t="n">
        <f aca="false">IF($K28="","",INDEX(Jobs!$A$5:$A$504,$K28))</f>
        <v>46277</v>
      </c>
      <c r="C28" s="19" t="str">
        <f aca="false">IF($K28="","",INDEX(Jobs!$B$5:$B$504,$K28))</f>
        <v>Greenleaf Property Mgmt</v>
      </c>
      <c r="D28" s="19" t="str">
        <f aca="false">IF($K28="","",INDEX(Jobs!$J$5:$J$504,$K28))</f>
        <v>Move-In / Move-Out</v>
      </c>
      <c r="E28" s="15" t="n">
        <f aca="false">IF($K28="","",INDEX(Jobs!$N$5:$N$504,$K28))</f>
        <v>318</v>
      </c>
      <c r="F28" s="15" t="n">
        <f aca="false">IF($A28="","",SUMIFS($P$5:$P$1004,$N$5:$N$1004,$A28))</f>
        <v>0</v>
      </c>
      <c r="G28" s="15" t="n">
        <f aca="false">IF($A28="","",$E28-$F28)</f>
        <v>318</v>
      </c>
      <c r="H28" s="22" t="n">
        <f aca="false">IF($A28="","",$B28+Settings!$B$11)</f>
        <v>46291</v>
      </c>
      <c r="I28" s="19" t="str">
        <f aca="true">IF($A28="","",IF($G28&lt;=0,"Paid",IF(TODAY()&gt;$H28,"Overdue",IF($F28&gt;0,"Partial","Unpaid"))))</f>
        <v>Overdue</v>
      </c>
      <c r="J28" s="14" t="n">
        <f aca="true">IF($A28="","",IF(AND($G28&gt;0,TODAY()&gt;$H28),TODAY()-$H28,""))</f>
        <v>6</v>
      </c>
      <c r="K28" s="2" t="n">
        <f aca="false">IFERROR(MATCH(ROWS($K$5:$K28),Jobs!$Q$5:$Q$504,0),"")</f>
        <v>25</v>
      </c>
      <c r="M28" s="16"/>
      <c r="N28" s="12"/>
      <c r="O28" s="12"/>
      <c r="P28" s="13"/>
      <c r="Q28" s="19" t="str">
        <f aca="false">IF($N28="","",IFERROR(INDEX($C$5:$C$504,MATCH($N28,$A$5:$A$504,0)),"Invoice not found"))</f>
        <v/>
      </c>
    </row>
    <row r="29" customFormat="false" ht="15" hidden="false" customHeight="false" outlineLevel="0" collapsed="false">
      <c r="A29" s="19" t="str">
        <f aca="false">IF($K29="","",INDEX(Jobs!$O$5:$O$504,$K29))</f>
        <v>INV-0026</v>
      </c>
      <c r="B29" s="22" t="n">
        <f aca="false">IF($K29="","",INDEX(Jobs!$A$5:$A$504,$K29))</f>
        <v>46280</v>
      </c>
      <c r="C29" s="19" t="str">
        <f aca="false">IF($K29="","",INDEX(Jobs!$B$5:$B$504,$K29))</f>
        <v>Priya Raman</v>
      </c>
      <c r="D29" s="19" t="str">
        <f aca="false">IF($K29="","",INDEX(Jobs!$J$5:$J$504,$K29))</f>
        <v>Deep Clean</v>
      </c>
      <c r="E29" s="15" t="n">
        <f aca="false">IF($K29="","",INDEX(Jobs!$N$5:$N$504,$K29))</f>
        <v>233.2</v>
      </c>
      <c r="F29" s="15" t="n">
        <f aca="false">IF($A29="","",SUMIFS($P$5:$P$1004,$N$5:$N$1004,$A29))</f>
        <v>0</v>
      </c>
      <c r="G29" s="15" t="n">
        <f aca="false">IF($A29="","",$E29-$F29)</f>
        <v>233.2</v>
      </c>
      <c r="H29" s="22" t="n">
        <f aca="false">IF($A29="","",$B29+Settings!$B$11)</f>
        <v>46294</v>
      </c>
      <c r="I29" s="19" t="str">
        <f aca="true">IF($A29="","",IF($G29&lt;=0,"Paid",IF(TODAY()&gt;$H29,"Overdue",IF($F29&gt;0,"Partial","Unpaid"))))</f>
        <v>Overdue</v>
      </c>
      <c r="J29" s="14" t="n">
        <f aca="true">IF($A29="","",IF(AND($G29&gt;0,TODAY()&gt;$H29),TODAY()-$H29,""))</f>
        <v>3</v>
      </c>
      <c r="K29" s="2" t="n">
        <f aca="false">IFERROR(MATCH(ROWS($K$5:$K29),Jobs!$Q$5:$Q$504,0),"")</f>
        <v>26</v>
      </c>
      <c r="M29" s="16"/>
      <c r="N29" s="12"/>
      <c r="O29" s="12"/>
      <c r="P29" s="13"/>
      <c r="Q29" s="19" t="str">
        <f aca="false">IF($N29="","",IFERROR(INDEX($C$5:$C$504,MATCH($N29,$A$5:$A$504,0)),"Invoice not found"))</f>
        <v/>
      </c>
    </row>
    <row r="30" customFormat="false" ht="15" hidden="false" customHeight="false" outlineLevel="0" collapsed="false">
      <c r="A30" s="19" t="str">
        <f aca="false">IF($K30="","",INDEX(Jobs!$O$5:$O$504,$K30))</f>
        <v>INV-0027</v>
      </c>
      <c r="B30" s="22" t="n">
        <f aca="false">IF($K30="","",INDEX(Jobs!$A$5:$A$504,$K30))</f>
        <v>46282</v>
      </c>
      <c r="C30" s="19" t="str">
        <f aca="false">IF($K30="","",INDEX(Jobs!$B$5:$B$504,$K30))</f>
        <v>Tom Kessler</v>
      </c>
      <c r="D30" s="19" t="str">
        <f aca="false">IF($K30="","",INDEX(Jobs!$J$5:$J$504,$K30))</f>
        <v>Window Cleaning</v>
      </c>
      <c r="E30" s="15" t="n">
        <f aca="false">IF($K30="","",INDEX(Jobs!$N$5:$N$504,$K30))</f>
        <v>100.7</v>
      </c>
      <c r="F30" s="15" t="n">
        <f aca="false">IF($A30="","",SUMIFS($P$5:$P$1004,$N$5:$N$1004,$A30))</f>
        <v>0</v>
      </c>
      <c r="G30" s="15" t="n">
        <f aca="false">IF($A30="","",$E30-$F30)</f>
        <v>100.7</v>
      </c>
      <c r="H30" s="22" t="n">
        <f aca="false">IF($A30="","",$B30+Settings!$B$11)</f>
        <v>46296</v>
      </c>
      <c r="I30" s="19" t="str">
        <f aca="true">IF($A30="","",IF($G30&lt;=0,"Paid",IF(TODAY()&gt;$H30,"Overdue",IF($F30&gt;0,"Partial","Unpaid"))))</f>
        <v>Overdue</v>
      </c>
      <c r="J30" s="14" t="n">
        <f aca="true">IF($A30="","",IF(AND($G30&gt;0,TODAY()&gt;$H30),TODAY()-$H30,""))</f>
        <v>1</v>
      </c>
      <c r="K30" s="2" t="n">
        <f aca="false">IFERROR(MATCH(ROWS($K$5:$K30),Jobs!$Q$5:$Q$504,0),"")</f>
        <v>27</v>
      </c>
      <c r="M30" s="16"/>
      <c r="N30" s="12"/>
      <c r="O30" s="12"/>
      <c r="P30" s="13"/>
      <c r="Q30" s="19" t="str">
        <f aca="false">IF($N30="","",IFERROR(INDEX($C$5:$C$504,MATCH($N30,$A$5:$A$504,0)),"Invoice not found"))</f>
        <v/>
      </c>
    </row>
    <row r="31" customFormat="false" ht="15" hidden="false" customHeight="false" outlineLevel="0" collapsed="false">
      <c r="A31" s="19" t="str">
        <f aca="false">IF($K31="","",INDEX(Jobs!$O$5:$O$504,$K31))</f>
        <v>INV-0028</v>
      </c>
      <c r="B31" s="22" t="n">
        <f aca="false">IF($K31="","",INDEX(Jobs!$A$5:$A$504,$K31))</f>
        <v>46287</v>
      </c>
      <c r="C31" s="19" t="str">
        <f aca="false">IF($K31="","",INDEX(Jobs!$B$5:$B$504,$K31))</f>
        <v>Hannah Whitfield</v>
      </c>
      <c r="D31" s="19" t="str">
        <f aca="false">IF($K31="","",INDEX(Jobs!$J$5:$J$504,$K31))</f>
        <v>Recurring Every 2 Weeks</v>
      </c>
      <c r="E31" s="15" t="n">
        <f aca="false">IF($K31="","",INDEX(Jobs!$N$5:$N$504,$K31))</f>
        <v>116.6</v>
      </c>
      <c r="F31" s="15" t="n">
        <f aca="false">IF($A31="","",SUMIFS($P$5:$P$1004,$N$5:$N$1004,$A31))</f>
        <v>0</v>
      </c>
      <c r="G31" s="15" t="n">
        <f aca="false">IF($A31="","",$E31-$F31)</f>
        <v>116.6</v>
      </c>
      <c r="H31" s="22" t="n">
        <f aca="false">IF($A31="","",$B31+Settings!$B$11)</f>
        <v>46301</v>
      </c>
      <c r="I31" s="19" t="str">
        <f aca="true">IF($A31="","",IF($G31&lt;=0,"Paid",IF(TODAY()&gt;$H31,"Overdue",IF($F31&gt;0,"Partial","Unpaid"))))</f>
        <v>Unpaid</v>
      </c>
      <c r="J31" s="14" t="str">
        <f aca="true">IF($A31="","",IF(AND($G31&gt;0,TODAY()&gt;$H31),TODAY()-$H31,""))</f>
        <v/>
      </c>
      <c r="K31" s="2" t="n">
        <f aca="false">IFERROR(MATCH(ROWS($K$5:$K31),Jobs!$Q$5:$Q$504,0),"")</f>
        <v>28</v>
      </c>
      <c r="M31" s="16"/>
      <c r="N31" s="12"/>
      <c r="O31" s="12"/>
      <c r="P31" s="13"/>
      <c r="Q31" s="19" t="str">
        <f aca="false">IF($N31="","",IFERROR(INDEX($C$5:$C$504,MATCH($N31,$A$5:$A$504,0)),"Invoice not found"))</f>
        <v/>
      </c>
    </row>
    <row r="32" customFormat="false" ht="15" hidden="false" customHeight="false" outlineLevel="0" collapsed="false">
      <c r="A32" s="19" t="str">
        <f aca="false">IF($K32="","",INDEX(Jobs!$O$5:$O$504,$K32))</f>
        <v/>
      </c>
      <c r="B32" s="22" t="str">
        <f aca="false">IF($K32="","",INDEX(Jobs!$A$5:$A$504,$K32))</f>
        <v/>
      </c>
      <c r="C32" s="19" t="str">
        <f aca="false">IF($K32="","",INDEX(Jobs!$B$5:$B$504,$K32))</f>
        <v/>
      </c>
      <c r="D32" s="19" t="str">
        <f aca="false">IF($K32="","",INDEX(Jobs!$J$5:$J$504,$K32))</f>
        <v/>
      </c>
      <c r="E32" s="15" t="str">
        <f aca="false">IF($K32="","",INDEX(Jobs!$N$5:$N$504,$K32))</f>
        <v/>
      </c>
      <c r="F32" s="15" t="str">
        <f aca="false">IF($A32="","",SUMIFS($P$5:$P$1004,$N$5:$N$1004,$A32))</f>
        <v/>
      </c>
      <c r="G32" s="15" t="str">
        <f aca="false">IF($A32="","",$E32-$F32)</f>
        <v/>
      </c>
      <c r="H32" s="22" t="str">
        <f aca="false">IF($A32="","",$B32+Settings!$B$11)</f>
        <v/>
      </c>
      <c r="I32" s="19" t="str">
        <f aca="true">IF($A32="","",IF($G32&lt;=0,"Paid",IF(TODAY()&gt;$H32,"Overdue",IF($F32&gt;0,"Partial","Unpaid"))))</f>
        <v/>
      </c>
      <c r="J32" s="14" t="str">
        <f aca="true">IF($A32="","",IF(AND($G32&gt;0,TODAY()&gt;$H32),TODAY()-$H32,""))</f>
        <v/>
      </c>
      <c r="K32" s="2" t="str">
        <f aca="false">IFERROR(MATCH(ROWS($K$5:$K32),Jobs!$Q$5:$Q$504,0),"")</f>
        <v/>
      </c>
      <c r="M32" s="16"/>
      <c r="N32" s="12"/>
      <c r="O32" s="12"/>
      <c r="P32" s="13"/>
      <c r="Q32" s="19" t="str">
        <f aca="false">IF($N32="","",IFERROR(INDEX($C$5:$C$504,MATCH($N32,$A$5:$A$504,0)),"Invoice not found"))</f>
        <v/>
      </c>
    </row>
    <row r="33" customFormat="false" ht="15" hidden="false" customHeight="false" outlineLevel="0" collapsed="false">
      <c r="A33" s="19" t="str">
        <f aca="false">IF($K33="","",INDEX(Jobs!$O$5:$O$504,$K33))</f>
        <v/>
      </c>
      <c r="B33" s="22" t="str">
        <f aca="false">IF($K33="","",INDEX(Jobs!$A$5:$A$504,$K33))</f>
        <v/>
      </c>
      <c r="C33" s="19" t="str">
        <f aca="false">IF($K33="","",INDEX(Jobs!$B$5:$B$504,$K33))</f>
        <v/>
      </c>
      <c r="D33" s="19" t="str">
        <f aca="false">IF($K33="","",INDEX(Jobs!$J$5:$J$504,$K33))</f>
        <v/>
      </c>
      <c r="E33" s="15" t="str">
        <f aca="false">IF($K33="","",INDEX(Jobs!$N$5:$N$504,$K33))</f>
        <v/>
      </c>
      <c r="F33" s="15" t="str">
        <f aca="false">IF($A33="","",SUMIFS($P$5:$P$1004,$N$5:$N$1004,$A33))</f>
        <v/>
      </c>
      <c r="G33" s="15" t="str">
        <f aca="false">IF($A33="","",$E33-$F33)</f>
        <v/>
      </c>
      <c r="H33" s="22" t="str">
        <f aca="false">IF($A33="","",$B33+Settings!$B$11)</f>
        <v/>
      </c>
      <c r="I33" s="19" t="str">
        <f aca="true">IF($A33="","",IF($G33&lt;=0,"Paid",IF(TODAY()&gt;$H33,"Overdue",IF($F33&gt;0,"Partial","Unpaid"))))</f>
        <v/>
      </c>
      <c r="J33" s="14" t="str">
        <f aca="true">IF($A33="","",IF(AND($G33&gt;0,TODAY()&gt;$H33),TODAY()-$H33,""))</f>
        <v/>
      </c>
      <c r="K33" s="2" t="str">
        <f aca="false">IFERROR(MATCH(ROWS($K$5:$K33),Jobs!$Q$5:$Q$504,0),"")</f>
        <v/>
      </c>
      <c r="M33" s="16"/>
      <c r="N33" s="12"/>
      <c r="O33" s="12"/>
      <c r="P33" s="13"/>
      <c r="Q33" s="19" t="str">
        <f aca="false">IF($N33="","",IFERROR(INDEX($C$5:$C$504,MATCH($N33,$A$5:$A$504,0)),"Invoice not found"))</f>
        <v/>
      </c>
    </row>
    <row r="34" customFormat="false" ht="15" hidden="false" customHeight="false" outlineLevel="0" collapsed="false">
      <c r="A34" s="19" t="str">
        <f aca="false">IF($K34="","",INDEX(Jobs!$O$5:$O$504,$K34))</f>
        <v/>
      </c>
      <c r="B34" s="22" t="str">
        <f aca="false">IF($K34="","",INDEX(Jobs!$A$5:$A$504,$K34))</f>
        <v/>
      </c>
      <c r="C34" s="19" t="str">
        <f aca="false">IF($K34="","",INDEX(Jobs!$B$5:$B$504,$K34))</f>
        <v/>
      </c>
      <c r="D34" s="19" t="str">
        <f aca="false">IF($K34="","",INDEX(Jobs!$J$5:$J$504,$K34))</f>
        <v/>
      </c>
      <c r="E34" s="15" t="str">
        <f aca="false">IF($K34="","",INDEX(Jobs!$N$5:$N$504,$K34))</f>
        <v/>
      </c>
      <c r="F34" s="15" t="str">
        <f aca="false">IF($A34="","",SUMIFS($P$5:$P$1004,$N$5:$N$1004,$A34))</f>
        <v/>
      </c>
      <c r="G34" s="15" t="str">
        <f aca="false">IF($A34="","",$E34-$F34)</f>
        <v/>
      </c>
      <c r="H34" s="22" t="str">
        <f aca="false">IF($A34="","",$B34+Settings!$B$11)</f>
        <v/>
      </c>
      <c r="I34" s="19" t="str">
        <f aca="true">IF($A34="","",IF($G34&lt;=0,"Paid",IF(TODAY()&gt;$H34,"Overdue",IF($F34&gt;0,"Partial","Unpaid"))))</f>
        <v/>
      </c>
      <c r="J34" s="14" t="str">
        <f aca="true">IF($A34="","",IF(AND($G34&gt;0,TODAY()&gt;$H34),TODAY()-$H34,""))</f>
        <v/>
      </c>
      <c r="K34" s="2" t="str">
        <f aca="false">IFERROR(MATCH(ROWS($K$5:$K34),Jobs!$Q$5:$Q$504,0),"")</f>
        <v/>
      </c>
      <c r="M34" s="16"/>
      <c r="N34" s="12"/>
      <c r="O34" s="12"/>
      <c r="P34" s="13"/>
      <c r="Q34" s="19" t="str">
        <f aca="false">IF($N34="","",IFERROR(INDEX($C$5:$C$504,MATCH($N34,$A$5:$A$504,0)),"Invoice not found"))</f>
        <v/>
      </c>
    </row>
    <row r="35" customFormat="false" ht="15" hidden="false" customHeight="false" outlineLevel="0" collapsed="false">
      <c r="A35" s="19" t="str">
        <f aca="false">IF($K35="","",INDEX(Jobs!$O$5:$O$504,$K35))</f>
        <v/>
      </c>
      <c r="B35" s="22" t="str">
        <f aca="false">IF($K35="","",INDEX(Jobs!$A$5:$A$504,$K35))</f>
        <v/>
      </c>
      <c r="C35" s="19" t="str">
        <f aca="false">IF($K35="","",INDEX(Jobs!$B$5:$B$504,$K35))</f>
        <v/>
      </c>
      <c r="D35" s="19" t="str">
        <f aca="false">IF($K35="","",INDEX(Jobs!$J$5:$J$504,$K35))</f>
        <v/>
      </c>
      <c r="E35" s="15" t="str">
        <f aca="false">IF($K35="","",INDEX(Jobs!$N$5:$N$504,$K35))</f>
        <v/>
      </c>
      <c r="F35" s="15" t="str">
        <f aca="false">IF($A35="","",SUMIFS($P$5:$P$1004,$N$5:$N$1004,$A35))</f>
        <v/>
      </c>
      <c r="G35" s="15" t="str">
        <f aca="false">IF($A35="","",$E35-$F35)</f>
        <v/>
      </c>
      <c r="H35" s="22" t="str">
        <f aca="false">IF($A35="","",$B35+Settings!$B$11)</f>
        <v/>
      </c>
      <c r="I35" s="19" t="str">
        <f aca="true">IF($A35="","",IF($G35&lt;=0,"Paid",IF(TODAY()&gt;$H35,"Overdue",IF($F35&gt;0,"Partial","Unpaid"))))</f>
        <v/>
      </c>
      <c r="J35" s="14" t="str">
        <f aca="true">IF($A35="","",IF(AND($G35&gt;0,TODAY()&gt;$H35),TODAY()-$H35,""))</f>
        <v/>
      </c>
      <c r="K35" s="2" t="str">
        <f aca="false">IFERROR(MATCH(ROWS($K$5:$K35),Jobs!$Q$5:$Q$504,0),"")</f>
        <v/>
      </c>
      <c r="M35" s="16"/>
      <c r="N35" s="12"/>
      <c r="O35" s="12"/>
      <c r="P35" s="13"/>
      <c r="Q35" s="19" t="str">
        <f aca="false">IF($N35="","",IFERROR(INDEX($C$5:$C$504,MATCH($N35,$A$5:$A$504,0)),"Invoice not found"))</f>
        <v/>
      </c>
    </row>
    <row r="36" customFormat="false" ht="15" hidden="false" customHeight="false" outlineLevel="0" collapsed="false">
      <c r="A36" s="19" t="str">
        <f aca="false">IF($K36="","",INDEX(Jobs!$O$5:$O$504,$K36))</f>
        <v/>
      </c>
      <c r="B36" s="22" t="str">
        <f aca="false">IF($K36="","",INDEX(Jobs!$A$5:$A$504,$K36))</f>
        <v/>
      </c>
      <c r="C36" s="19" t="str">
        <f aca="false">IF($K36="","",INDEX(Jobs!$B$5:$B$504,$K36))</f>
        <v/>
      </c>
      <c r="D36" s="19" t="str">
        <f aca="false">IF($K36="","",INDEX(Jobs!$J$5:$J$504,$K36))</f>
        <v/>
      </c>
      <c r="E36" s="15" t="str">
        <f aca="false">IF($K36="","",INDEX(Jobs!$N$5:$N$504,$K36))</f>
        <v/>
      </c>
      <c r="F36" s="15" t="str">
        <f aca="false">IF($A36="","",SUMIFS($P$5:$P$1004,$N$5:$N$1004,$A36))</f>
        <v/>
      </c>
      <c r="G36" s="15" t="str">
        <f aca="false">IF($A36="","",$E36-$F36)</f>
        <v/>
      </c>
      <c r="H36" s="22" t="str">
        <f aca="false">IF($A36="","",$B36+Settings!$B$11)</f>
        <v/>
      </c>
      <c r="I36" s="19" t="str">
        <f aca="true">IF($A36="","",IF($G36&lt;=0,"Paid",IF(TODAY()&gt;$H36,"Overdue",IF($F36&gt;0,"Partial","Unpaid"))))</f>
        <v/>
      </c>
      <c r="J36" s="14" t="str">
        <f aca="true">IF($A36="","",IF(AND($G36&gt;0,TODAY()&gt;$H36),TODAY()-$H36,""))</f>
        <v/>
      </c>
      <c r="K36" s="2" t="str">
        <f aca="false">IFERROR(MATCH(ROWS($K$5:$K36),Jobs!$Q$5:$Q$504,0),"")</f>
        <v/>
      </c>
      <c r="M36" s="16"/>
      <c r="N36" s="12"/>
      <c r="O36" s="12"/>
      <c r="P36" s="13"/>
      <c r="Q36" s="19" t="str">
        <f aca="false">IF($N36="","",IFERROR(INDEX($C$5:$C$504,MATCH($N36,$A$5:$A$504,0)),"Invoice not found"))</f>
        <v/>
      </c>
    </row>
    <row r="37" customFormat="false" ht="15" hidden="false" customHeight="false" outlineLevel="0" collapsed="false">
      <c r="A37" s="19" t="str">
        <f aca="false">IF($K37="","",INDEX(Jobs!$O$5:$O$504,$K37))</f>
        <v/>
      </c>
      <c r="B37" s="22" t="str">
        <f aca="false">IF($K37="","",INDEX(Jobs!$A$5:$A$504,$K37))</f>
        <v/>
      </c>
      <c r="C37" s="19" t="str">
        <f aca="false">IF($K37="","",INDEX(Jobs!$B$5:$B$504,$K37))</f>
        <v/>
      </c>
      <c r="D37" s="19" t="str">
        <f aca="false">IF($K37="","",INDEX(Jobs!$J$5:$J$504,$K37))</f>
        <v/>
      </c>
      <c r="E37" s="15" t="str">
        <f aca="false">IF($K37="","",INDEX(Jobs!$N$5:$N$504,$K37))</f>
        <v/>
      </c>
      <c r="F37" s="15" t="str">
        <f aca="false">IF($A37="","",SUMIFS($P$5:$P$1004,$N$5:$N$1004,$A37))</f>
        <v/>
      </c>
      <c r="G37" s="15" t="str">
        <f aca="false">IF($A37="","",$E37-$F37)</f>
        <v/>
      </c>
      <c r="H37" s="22" t="str">
        <f aca="false">IF($A37="","",$B37+Settings!$B$11)</f>
        <v/>
      </c>
      <c r="I37" s="19" t="str">
        <f aca="true">IF($A37="","",IF($G37&lt;=0,"Paid",IF(TODAY()&gt;$H37,"Overdue",IF($F37&gt;0,"Partial","Unpaid"))))</f>
        <v/>
      </c>
      <c r="J37" s="14" t="str">
        <f aca="true">IF($A37="","",IF(AND($G37&gt;0,TODAY()&gt;$H37),TODAY()-$H37,""))</f>
        <v/>
      </c>
      <c r="K37" s="2" t="str">
        <f aca="false">IFERROR(MATCH(ROWS($K$5:$K37),Jobs!$Q$5:$Q$504,0),"")</f>
        <v/>
      </c>
      <c r="M37" s="16"/>
      <c r="N37" s="12"/>
      <c r="O37" s="12"/>
      <c r="P37" s="13"/>
      <c r="Q37" s="19" t="str">
        <f aca="false">IF($N37="","",IFERROR(INDEX($C$5:$C$504,MATCH($N37,$A$5:$A$504,0)),"Invoice not found"))</f>
        <v/>
      </c>
    </row>
    <row r="38" customFormat="false" ht="15" hidden="false" customHeight="false" outlineLevel="0" collapsed="false">
      <c r="A38" s="19" t="str">
        <f aca="false">IF($K38="","",INDEX(Jobs!$O$5:$O$504,$K38))</f>
        <v/>
      </c>
      <c r="B38" s="22" t="str">
        <f aca="false">IF($K38="","",INDEX(Jobs!$A$5:$A$504,$K38))</f>
        <v/>
      </c>
      <c r="C38" s="19" t="str">
        <f aca="false">IF($K38="","",INDEX(Jobs!$B$5:$B$504,$K38))</f>
        <v/>
      </c>
      <c r="D38" s="19" t="str">
        <f aca="false">IF($K38="","",INDEX(Jobs!$J$5:$J$504,$K38))</f>
        <v/>
      </c>
      <c r="E38" s="15" t="str">
        <f aca="false">IF($K38="","",INDEX(Jobs!$N$5:$N$504,$K38))</f>
        <v/>
      </c>
      <c r="F38" s="15" t="str">
        <f aca="false">IF($A38="","",SUMIFS($P$5:$P$1004,$N$5:$N$1004,$A38))</f>
        <v/>
      </c>
      <c r="G38" s="15" t="str">
        <f aca="false">IF($A38="","",$E38-$F38)</f>
        <v/>
      </c>
      <c r="H38" s="22" t="str">
        <f aca="false">IF($A38="","",$B38+Settings!$B$11)</f>
        <v/>
      </c>
      <c r="I38" s="19" t="str">
        <f aca="true">IF($A38="","",IF($G38&lt;=0,"Paid",IF(TODAY()&gt;$H38,"Overdue",IF($F38&gt;0,"Partial","Unpaid"))))</f>
        <v/>
      </c>
      <c r="J38" s="14" t="str">
        <f aca="true">IF($A38="","",IF(AND($G38&gt;0,TODAY()&gt;$H38),TODAY()-$H38,""))</f>
        <v/>
      </c>
      <c r="K38" s="2" t="str">
        <f aca="false">IFERROR(MATCH(ROWS($K$5:$K38),Jobs!$Q$5:$Q$504,0),"")</f>
        <v/>
      </c>
      <c r="M38" s="16"/>
      <c r="N38" s="12"/>
      <c r="O38" s="12"/>
      <c r="P38" s="13"/>
      <c r="Q38" s="19" t="str">
        <f aca="false">IF($N38="","",IFERROR(INDEX($C$5:$C$504,MATCH($N38,$A$5:$A$504,0)),"Invoice not found"))</f>
        <v/>
      </c>
    </row>
    <row r="39" customFormat="false" ht="15" hidden="false" customHeight="false" outlineLevel="0" collapsed="false">
      <c r="A39" s="19" t="str">
        <f aca="false">IF($K39="","",INDEX(Jobs!$O$5:$O$504,$K39))</f>
        <v/>
      </c>
      <c r="B39" s="22" t="str">
        <f aca="false">IF($K39="","",INDEX(Jobs!$A$5:$A$504,$K39))</f>
        <v/>
      </c>
      <c r="C39" s="19" t="str">
        <f aca="false">IF($K39="","",INDEX(Jobs!$B$5:$B$504,$K39))</f>
        <v/>
      </c>
      <c r="D39" s="19" t="str">
        <f aca="false">IF($K39="","",INDEX(Jobs!$J$5:$J$504,$K39))</f>
        <v/>
      </c>
      <c r="E39" s="15" t="str">
        <f aca="false">IF($K39="","",INDEX(Jobs!$N$5:$N$504,$K39))</f>
        <v/>
      </c>
      <c r="F39" s="15" t="str">
        <f aca="false">IF($A39="","",SUMIFS($P$5:$P$1004,$N$5:$N$1004,$A39))</f>
        <v/>
      </c>
      <c r="G39" s="15" t="str">
        <f aca="false">IF($A39="","",$E39-$F39)</f>
        <v/>
      </c>
      <c r="H39" s="22" t="str">
        <f aca="false">IF($A39="","",$B39+Settings!$B$11)</f>
        <v/>
      </c>
      <c r="I39" s="19" t="str">
        <f aca="true">IF($A39="","",IF($G39&lt;=0,"Paid",IF(TODAY()&gt;$H39,"Overdue",IF($F39&gt;0,"Partial","Unpaid"))))</f>
        <v/>
      </c>
      <c r="J39" s="14" t="str">
        <f aca="true">IF($A39="","",IF(AND($G39&gt;0,TODAY()&gt;$H39),TODAY()-$H39,""))</f>
        <v/>
      </c>
      <c r="K39" s="2" t="str">
        <f aca="false">IFERROR(MATCH(ROWS($K$5:$K39),Jobs!$Q$5:$Q$504,0),"")</f>
        <v/>
      </c>
      <c r="M39" s="16"/>
      <c r="N39" s="12"/>
      <c r="O39" s="12"/>
      <c r="P39" s="13"/>
      <c r="Q39" s="19" t="str">
        <f aca="false">IF($N39="","",IFERROR(INDEX($C$5:$C$504,MATCH($N39,$A$5:$A$504,0)),"Invoice not found"))</f>
        <v/>
      </c>
    </row>
    <row r="40" customFormat="false" ht="15" hidden="false" customHeight="false" outlineLevel="0" collapsed="false">
      <c r="A40" s="19" t="str">
        <f aca="false">IF($K40="","",INDEX(Jobs!$O$5:$O$504,$K40))</f>
        <v/>
      </c>
      <c r="B40" s="22" t="str">
        <f aca="false">IF($K40="","",INDEX(Jobs!$A$5:$A$504,$K40))</f>
        <v/>
      </c>
      <c r="C40" s="19" t="str">
        <f aca="false">IF($K40="","",INDEX(Jobs!$B$5:$B$504,$K40))</f>
        <v/>
      </c>
      <c r="D40" s="19" t="str">
        <f aca="false">IF($K40="","",INDEX(Jobs!$J$5:$J$504,$K40))</f>
        <v/>
      </c>
      <c r="E40" s="15" t="str">
        <f aca="false">IF($K40="","",INDEX(Jobs!$N$5:$N$504,$K40))</f>
        <v/>
      </c>
      <c r="F40" s="15" t="str">
        <f aca="false">IF($A40="","",SUMIFS($P$5:$P$1004,$N$5:$N$1004,$A40))</f>
        <v/>
      </c>
      <c r="G40" s="15" t="str">
        <f aca="false">IF($A40="","",$E40-$F40)</f>
        <v/>
      </c>
      <c r="H40" s="22" t="str">
        <f aca="false">IF($A40="","",$B40+Settings!$B$11)</f>
        <v/>
      </c>
      <c r="I40" s="19" t="str">
        <f aca="true">IF($A40="","",IF($G40&lt;=0,"Paid",IF(TODAY()&gt;$H40,"Overdue",IF($F40&gt;0,"Partial","Unpaid"))))</f>
        <v/>
      </c>
      <c r="J40" s="14" t="str">
        <f aca="true">IF($A40="","",IF(AND($G40&gt;0,TODAY()&gt;$H40),TODAY()-$H40,""))</f>
        <v/>
      </c>
      <c r="K40" s="2" t="str">
        <f aca="false">IFERROR(MATCH(ROWS($K$5:$K40),Jobs!$Q$5:$Q$504,0),"")</f>
        <v/>
      </c>
      <c r="M40" s="16"/>
      <c r="N40" s="12"/>
      <c r="O40" s="12"/>
      <c r="P40" s="13"/>
      <c r="Q40" s="19" t="str">
        <f aca="false">IF($N40="","",IFERROR(INDEX($C$5:$C$504,MATCH($N40,$A$5:$A$504,0)),"Invoice not found"))</f>
        <v/>
      </c>
    </row>
    <row r="41" customFormat="false" ht="15" hidden="false" customHeight="false" outlineLevel="0" collapsed="false">
      <c r="A41" s="19" t="str">
        <f aca="false">IF($K41="","",INDEX(Jobs!$O$5:$O$504,$K41))</f>
        <v/>
      </c>
      <c r="B41" s="22" t="str">
        <f aca="false">IF($K41="","",INDEX(Jobs!$A$5:$A$504,$K41))</f>
        <v/>
      </c>
      <c r="C41" s="19" t="str">
        <f aca="false">IF($K41="","",INDEX(Jobs!$B$5:$B$504,$K41))</f>
        <v/>
      </c>
      <c r="D41" s="19" t="str">
        <f aca="false">IF($K41="","",INDEX(Jobs!$J$5:$J$504,$K41))</f>
        <v/>
      </c>
      <c r="E41" s="15" t="str">
        <f aca="false">IF($K41="","",INDEX(Jobs!$N$5:$N$504,$K41))</f>
        <v/>
      </c>
      <c r="F41" s="15" t="str">
        <f aca="false">IF($A41="","",SUMIFS($P$5:$P$1004,$N$5:$N$1004,$A41))</f>
        <v/>
      </c>
      <c r="G41" s="15" t="str">
        <f aca="false">IF($A41="","",$E41-$F41)</f>
        <v/>
      </c>
      <c r="H41" s="22" t="str">
        <f aca="false">IF($A41="","",$B41+Settings!$B$11)</f>
        <v/>
      </c>
      <c r="I41" s="19" t="str">
        <f aca="true">IF($A41="","",IF($G41&lt;=0,"Paid",IF(TODAY()&gt;$H41,"Overdue",IF($F41&gt;0,"Partial","Unpaid"))))</f>
        <v/>
      </c>
      <c r="J41" s="14" t="str">
        <f aca="true">IF($A41="","",IF(AND($G41&gt;0,TODAY()&gt;$H41),TODAY()-$H41,""))</f>
        <v/>
      </c>
      <c r="K41" s="2" t="str">
        <f aca="false">IFERROR(MATCH(ROWS($K$5:$K41),Jobs!$Q$5:$Q$504,0),"")</f>
        <v/>
      </c>
      <c r="M41" s="16"/>
      <c r="N41" s="12"/>
      <c r="O41" s="12"/>
      <c r="P41" s="13"/>
      <c r="Q41" s="19" t="str">
        <f aca="false">IF($N41="","",IFERROR(INDEX($C$5:$C$504,MATCH($N41,$A$5:$A$504,0)),"Invoice not found"))</f>
        <v/>
      </c>
    </row>
    <row r="42" customFormat="false" ht="15" hidden="false" customHeight="false" outlineLevel="0" collapsed="false">
      <c r="A42" s="19" t="str">
        <f aca="false">IF($K42="","",INDEX(Jobs!$O$5:$O$504,$K42))</f>
        <v/>
      </c>
      <c r="B42" s="22" t="str">
        <f aca="false">IF($K42="","",INDEX(Jobs!$A$5:$A$504,$K42))</f>
        <v/>
      </c>
      <c r="C42" s="19" t="str">
        <f aca="false">IF($K42="","",INDEX(Jobs!$B$5:$B$504,$K42))</f>
        <v/>
      </c>
      <c r="D42" s="19" t="str">
        <f aca="false">IF($K42="","",INDEX(Jobs!$J$5:$J$504,$K42))</f>
        <v/>
      </c>
      <c r="E42" s="15" t="str">
        <f aca="false">IF($K42="","",INDEX(Jobs!$N$5:$N$504,$K42))</f>
        <v/>
      </c>
      <c r="F42" s="15" t="str">
        <f aca="false">IF($A42="","",SUMIFS($P$5:$P$1004,$N$5:$N$1004,$A42))</f>
        <v/>
      </c>
      <c r="G42" s="15" t="str">
        <f aca="false">IF($A42="","",$E42-$F42)</f>
        <v/>
      </c>
      <c r="H42" s="22" t="str">
        <f aca="false">IF($A42="","",$B42+Settings!$B$11)</f>
        <v/>
      </c>
      <c r="I42" s="19" t="str">
        <f aca="true">IF($A42="","",IF($G42&lt;=0,"Paid",IF(TODAY()&gt;$H42,"Overdue",IF($F42&gt;0,"Partial","Unpaid"))))</f>
        <v/>
      </c>
      <c r="J42" s="14" t="str">
        <f aca="true">IF($A42="","",IF(AND($G42&gt;0,TODAY()&gt;$H42),TODAY()-$H42,""))</f>
        <v/>
      </c>
      <c r="K42" s="2" t="str">
        <f aca="false">IFERROR(MATCH(ROWS($K$5:$K42),Jobs!$Q$5:$Q$504,0),"")</f>
        <v/>
      </c>
      <c r="M42" s="16"/>
      <c r="N42" s="12"/>
      <c r="O42" s="12"/>
      <c r="P42" s="13"/>
      <c r="Q42" s="19" t="str">
        <f aca="false">IF($N42="","",IFERROR(INDEX($C$5:$C$504,MATCH($N42,$A$5:$A$504,0)),"Invoice not found"))</f>
        <v/>
      </c>
    </row>
    <row r="43" customFormat="false" ht="15" hidden="false" customHeight="false" outlineLevel="0" collapsed="false">
      <c r="A43" s="19" t="str">
        <f aca="false">IF($K43="","",INDEX(Jobs!$O$5:$O$504,$K43))</f>
        <v/>
      </c>
      <c r="B43" s="22" t="str">
        <f aca="false">IF($K43="","",INDEX(Jobs!$A$5:$A$504,$K43))</f>
        <v/>
      </c>
      <c r="C43" s="19" t="str">
        <f aca="false">IF($K43="","",INDEX(Jobs!$B$5:$B$504,$K43))</f>
        <v/>
      </c>
      <c r="D43" s="19" t="str">
        <f aca="false">IF($K43="","",INDEX(Jobs!$J$5:$J$504,$K43))</f>
        <v/>
      </c>
      <c r="E43" s="15" t="str">
        <f aca="false">IF($K43="","",INDEX(Jobs!$N$5:$N$504,$K43))</f>
        <v/>
      </c>
      <c r="F43" s="15" t="str">
        <f aca="false">IF($A43="","",SUMIFS($P$5:$P$1004,$N$5:$N$1004,$A43))</f>
        <v/>
      </c>
      <c r="G43" s="15" t="str">
        <f aca="false">IF($A43="","",$E43-$F43)</f>
        <v/>
      </c>
      <c r="H43" s="22" t="str">
        <f aca="false">IF($A43="","",$B43+Settings!$B$11)</f>
        <v/>
      </c>
      <c r="I43" s="19" t="str">
        <f aca="true">IF($A43="","",IF($G43&lt;=0,"Paid",IF(TODAY()&gt;$H43,"Overdue",IF($F43&gt;0,"Partial","Unpaid"))))</f>
        <v/>
      </c>
      <c r="J43" s="14" t="str">
        <f aca="true">IF($A43="","",IF(AND($G43&gt;0,TODAY()&gt;$H43),TODAY()-$H43,""))</f>
        <v/>
      </c>
      <c r="K43" s="2" t="str">
        <f aca="false">IFERROR(MATCH(ROWS($K$5:$K43),Jobs!$Q$5:$Q$504,0),"")</f>
        <v/>
      </c>
      <c r="M43" s="16"/>
      <c r="N43" s="12"/>
      <c r="O43" s="12"/>
      <c r="P43" s="13"/>
      <c r="Q43" s="19" t="str">
        <f aca="false">IF($N43="","",IFERROR(INDEX($C$5:$C$504,MATCH($N43,$A$5:$A$504,0)),"Invoice not found"))</f>
        <v/>
      </c>
    </row>
    <row r="44" customFormat="false" ht="15" hidden="false" customHeight="false" outlineLevel="0" collapsed="false">
      <c r="A44" s="19" t="str">
        <f aca="false">IF($K44="","",INDEX(Jobs!$O$5:$O$504,$K44))</f>
        <v/>
      </c>
      <c r="B44" s="22" t="str">
        <f aca="false">IF($K44="","",INDEX(Jobs!$A$5:$A$504,$K44))</f>
        <v/>
      </c>
      <c r="C44" s="19" t="str">
        <f aca="false">IF($K44="","",INDEX(Jobs!$B$5:$B$504,$K44))</f>
        <v/>
      </c>
      <c r="D44" s="19" t="str">
        <f aca="false">IF($K44="","",INDEX(Jobs!$J$5:$J$504,$K44))</f>
        <v/>
      </c>
      <c r="E44" s="15" t="str">
        <f aca="false">IF($K44="","",INDEX(Jobs!$N$5:$N$504,$K44))</f>
        <v/>
      </c>
      <c r="F44" s="15" t="str">
        <f aca="false">IF($A44="","",SUMIFS($P$5:$P$1004,$N$5:$N$1004,$A44))</f>
        <v/>
      </c>
      <c r="G44" s="15" t="str">
        <f aca="false">IF($A44="","",$E44-$F44)</f>
        <v/>
      </c>
      <c r="H44" s="22" t="str">
        <f aca="false">IF($A44="","",$B44+Settings!$B$11)</f>
        <v/>
      </c>
      <c r="I44" s="19" t="str">
        <f aca="true">IF($A44="","",IF($G44&lt;=0,"Paid",IF(TODAY()&gt;$H44,"Overdue",IF($F44&gt;0,"Partial","Unpaid"))))</f>
        <v/>
      </c>
      <c r="J44" s="14" t="str">
        <f aca="true">IF($A44="","",IF(AND($G44&gt;0,TODAY()&gt;$H44),TODAY()-$H44,""))</f>
        <v/>
      </c>
      <c r="K44" s="2" t="str">
        <f aca="false">IFERROR(MATCH(ROWS($K$5:$K44),Jobs!$Q$5:$Q$504,0),"")</f>
        <v/>
      </c>
      <c r="M44" s="16"/>
      <c r="N44" s="12"/>
      <c r="O44" s="12"/>
      <c r="P44" s="13"/>
      <c r="Q44" s="19" t="str">
        <f aca="false">IF($N44="","",IFERROR(INDEX($C$5:$C$504,MATCH($N44,$A$5:$A$504,0)),"Invoice not found"))</f>
        <v/>
      </c>
    </row>
    <row r="45" customFormat="false" ht="15" hidden="false" customHeight="false" outlineLevel="0" collapsed="false">
      <c r="A45" s="19" t="str">
        <f aca="false">IF($K45="","",INDEX(Jobs!$O$5:$O$504,$K45))</f>
        <v/>
      </c>
      <c r="B45" s="22" t="str">
        <f aca="false">IF($K45="","",INDEX(Jobs!$A$5:$A$504,$K45))</f>
        <v/>
      </c>
      <c r="C45" s="19" t="str">
        <f aca="false">IF($K45="","",INDEX(Jobs!$B$5:$B$504,$K45))</f>
        <v/>
      </c>
      <c r="D45" s="19" t="str">
        <f aca="false">IF($K45="","",INDEX(Jobs!$J$5:$J$504,$K45))</f>
        <v/>
      </c>
      <c r="E45" s="15" t="str">
        <f aca="false">IF($K45="","",INDEX(Jobs!$N$5:$N$504,$K45))</f>
        <v/>
      </c>
      <c r="F45" s="15" t="str">
        <f aca="false">IF($A45="","",SUMIFS($P$5:$P$1004,$N$5:$N$1004,$A45))</f>
        <v/>
      </c>
      <c r="G45" s="15" t="str">
        <f aca="false">IF($A45="","",$E45-$F45)</f>
        <v/>
      </c>
      <c r="H45" s="22" t="str">
        <f aca="false">IF($A45="","",$B45+Settings!$B$11)</f>
        <v/>
      </c>
      <c r="I45" s="19" t="str">
        <f aca="true">IF($A45="","",IF($G45&lt;=0,"Paid",IF(TODAY()&gt;$H45,"Overdue",IF($F45&gt;0,"Partial","Unpaid"))))</f>
        <v/>
      </c>
      <c r="J45" s="14" t="str">
        <f aca="true">IF($A45="","",IF(AND($G45&gt;0,TODAY()&gt;$H45),TODAY()-$H45,""))</f>
        <v/>
      </c>
      <c r="K45" s="2" t="str">
        <f aca="false">IFERROR(MATCH(ROWS($K$5:$K45),Jobs!$Q$5:$Q$504,0),"")</f>
        <v/>
      </c>
      <c r="M45" s="16"/>
      <c r="N45" s="12"/>
      <c r="O45" s="12"/>
      <c r="P45" s="13"/>
      <c r="Q45" s="19" t="str">
        <f aca="false">IF($N45="","",IFERROR(INDEX($C$5:$C$504,MATCH($N45,$A$5:$A$504,0)),"Invoice not found"))</f>
        <v/>
      </c>
    </row>
    <row r="46" customFormat="false" ht="15" hidden="false" customHeight="false" outlineLevel="0" collapsed="false">
      <c r="A46" s="19" t="str">
        <f aca="false">IF($K46="","",INDEX(Jobs!$O$5:$O$504,$K46))</f>
        <v/>
      </c>
      <c r="B46" s="22" t="str">
        <f aca="false">IF($K46="","",INDEX(Jobs!$A$5:$A$504,$K46))</f>
        <v/>
      </c>
      <c r="C46" s="19" t="str">
        <f aca="false">IF($K46="","",INDEX(Jobs!$B$5:$B$504,$K46))</f>
        <v/>
      </c>
      <c r="D46" s="19" t="str">
        <f aca="false">IF($K46="","",INDEX(Jobs!$J$5:$J$504,$K46))</f>
        <v/>
      </c>
      <c r="E46" s="15" t="str">
        <f aca="false">IF($K46="","",INDEX(Jobs!$N$5:$N$504,$K46))</f>
        <v/>
      </c>
      <c r="F46" s="15" t="str">
        <f aca="false">IF($A46="","",SUMIFS($P$5:$P$1004,$N$5:$N$1004,$A46))</f>
        <v/>
      </c>
      <c r="G46" s="15" t="str">
        <f aca="false">IF($A46="","",$E46-$F46)</f>
        <v/>
      </c>
      <c r="H46" s="22" t="str">
        <f aca="false">IF($A46="","",$B46+Settings!$B$11)</f>
        <v/>
      </c>
      <c r="I46" s="19" t="str">
        <f aca="true">IF($A46="","",IF($G46&lt;=0,"Paid",IF(TODAY()&gt;$H46,"Overdue",IF($F46&gt;0,"Partial","Unpaid"))))</f>
        <v/>
      </c>
      <c r="J46" s="14" t="str">
        <f aca="true">IF($A46="","",IF(AND($G46&gt;0,TODAY()&gt;$H46),TODAY()-$H46,""))</f>
        <v/>
      </c>
      <c r="K46" s="2" t="str">
        <f aca="false">IFERROR(MATCH(ROWS($K$5:$K46),Jobs!$Q$5:$Q$504,0),"")</f>
        <v/>
      </c>
      <c r="M46" s="16"/>
      <c r="N46" s="12"/>
      <c r="O46" s="12"/>
      <c r="P46" s="13"/>
      <c r="Q46" s="19" t="str">
        <f aca="false">IF($N46="","",IFERROR(INDEX($C$5:$C$504,MATCH($N46,$A$5:$A$504,0)),"Invoice not found"))</f>
        <v/>
      </c>
    </row>
    <row r="47" customFormat="false" ht="15" hidden="false" customHeight="false" outlineLevel="0" collapsed="false">
      <c r="A47" s="19" t="str">
        <f aca="false">IF($K47="","",INDEX(Jobs!$O$5:$O$504,$K47))</f>
        <v/>
      </c>
      <c r="B47" s="22" t="str">
        <f aca="false">IF($K47="","",INDEX(Jobs!$A$5:$A$504,$K47))</f>
        <v/>
      </c>
      <c r="C47" s="19" t="str">
        <f aca="false">IF($K47="","",INDEX(Jobs!$B$5:$B$504,$K47))</f>
        <v/>
      </c>
      <c r="D47" s="19" t="str">
        <f aca="false">IF($K47="","",INDEX(Jobs!$J$5:$J$504,$K47))</f>
        <v/>
      </c>
      <c r="E47" s="15" t="str">
        <f aca="false">IF($K47="","",INDEX(Jobs!$N$5:$N$504,$K47))</f>
        <v/>
      </c>
      <c r="F47" s="15" t="str">
        <f aca="false">IF($A47="","",SUMIFS($P$5:$P$1004,$N$5:$N$1004,$A47))</f>
        <v/>
      </c>
      <c r="G47" s="15" t="str">
        <f aca="false">IF($A47="","",$E47-$F47)</f>
        <v/>
      </c>
      <c r="H47" s="22" t="str">
        <f aca="false">IF($A47="","",$B47+Settings!$B$11)</f>
        <v/>
      </c>
      <c r="I47" s="19" t="str">
        <f aca="true">IF($A47="","",IF($G47&lt;=0,"Paid",IF(TODAY()&gt;$H47,"Overdue",IF($F47&gt;0,"Partial","Unpaid"))))</f>
        <v/>
      </c>
      <c r="J47" s="14" t="str">
        <f aca="true">IF($A47="","",IF(AND($G47&gt;0,TODAY()&gt;$H47),TODAY()-$H47,""))</f>
        <v/>
      </c>
      <c r="K47" s="2" t="str">
        <f aca="false">IFERROR(MATCH(ROWS($K$5:$K47),Jobs!$Q$5:$Q$504,0),"")</f>
        <v/>
      </c>
      <c r="M47" s="16"/>
      <c r="N47" s="12"/>
      <c r="O47" s="12"/>
      <c r="P47" s="13"/>
      <c r="Q47" s="19" t="str">
        <f aca="false">IF($N47="","",IFERROR(INDEX($C$5:$C$504,MATCH($N47,$A$5:$A$504,0)),"Invoice not found"))</f>
        <v/>
      </c>
    </row>
    <row r="48" customFormat="false" ht="15" hidden="false" customHeight="false" outlineLevel="0" collapsed="false">
      <c r="A48" s="19" t="str">
        <f aca="false">IF($K48="","",INDEX(Jobs!$O$5:$O$504,$K48))</f>
        <v/>
      </c>
      <c r="B48" s="22" t="str">
        <f aca="false">IF($K48="","",INDEX(Jobs!$A$5:$A$504,$K48))</f>
        <v/>
      </c>
      <c r="C48" s="19" t="str">
        <f aca="false">IF($K48="","",INDEX(Jobs!$B$5:$B$504,$K48))</f>
        <v/>
      </c>
      <c r="D48" s="19" t="str">
        <f aca="false">IF($K48="","",INDEX(Jobs!$J$5:$J$504,$K48))</f>
        <v/>
      </c>
      <c r="E48" s="15" t="str">
        <f aca="false">IF($K48="","",INDEX(Jobs!$N$5:$N$504,$K48))</f>
        <v/>
      </c>
      <c r="F48" s="15" t="str">
        <f aca="false">IF($A48="","",SUMIFS($P$5:$P$1004,$N$5:$N$1004,$A48))</f>
        <v/>
      </c>
      <c r="G48" s="15" t="str">
        <f aca="false">IF($A48="","",$E48-$F48)</f>
        <v/>
      </c>
      <c r="H48" s="22" t="str">
        <f aca="false">IF($A48="","",$B48+Settings!$B$11)</f>
        <v/>
      </c>
      <c r="I48" s="19" t="str">
        <f aca="true">IF($A48="","",IF($G48&lt;=0,"Paid",IF(TODAY()&gt;$H48,"Overdue",IF($F48&gt;0,"Partial","Unpaid"))))</f>
        <v/>
      </c>
      <c r="J48" s="14" t="str">
        <f aca="true">IF($A48="","",IF(AND($G48&gt;0,TODAY()&gt;$H48),TODAY()-$H48,""))</f>
        <v/>
      </c>
      <c r="K48" s="2" t="str">
        <f aca="false">IFERROR(MATCH(ROWS($K$5:$K48),Jobs!$Q$5:$Q$504,0),"")</f>
        <v/>
      </c>
      <c r="M48" s="16"/>
      <c r="N48" s="12"/>
      <c r="O48" s="12"/>
      <c r="P48" s="13"/>
      <c r="Q48" s="19" t="str">
        <f aca="false">IF($N48="","",IFERROR(INDEX($C$5:$C$504,MATCH($N48,$A$5:$A$504,0)),"Invoice not found"))</f>
        <v/>
      </c>
    </row>
    <row r="49" customFormat="false" ht="15" hidden="false" customHeight="false" outlineLevel="0" collapsed="false">
      <c r="A49" s="19" t="str">
        <f aca="false">IF($K49="","",INDEX(Jobs!$O$5:$O$504,$K49))</f>
        <v/>
      </c>
      <c r="B49" s="22" t="str">
        <f aca="false">IF($K49="","",INDEX(Jobs!$A$5:$A$504,$K49))</f>
        <v/>
      </c>
      <c r="C49" s="19" t="str">
        <f aca="false">IF($K49="","",INDEX(Jobs!$B$5:$B$504,$K49))</f>
        <v/>
      </c>
      <c r="D49" s="19" t="str">
        <f aca="false">IF($K49="","",INDEX(Jobs!$J$5:$J$504,$K49))</f>
        <v/>
      </c>
      <c r="E49" s="15" t="str">
        <f aca="false">IF($K49="","",INDEX(Jobs!$N$5:$N$504,$K49))</f>
        <v/>
      </c>
      <c r="F49" s="15" t="str">
        <f aca="false">IF($A49="","",SUMIFS($P$5:$P$1004,$N$5:$N$1004,$A49))</f>
        <v/>
      </c>
      <c r="G49" s="15" t="str">
        <f aca="false">IF($A49="","",$E49-$F49)</f>
        <v/>
      </c>
      <c r="H49" s="22" t="str">
        <f aca="false">IF($A49="","",$B49+Settings!$B$11)</f>
        <v/>
      </c>
      <c r="I49" s="19" t="str">
        <f aca="true">IF($A49="","",IF($G49&lt;=0,"Paid",IF(TODAY()&gt;$H49,"Overdue",IF($F49&gt;0,"Partial","Unpaid"))))</f>
        <v/>
      </c>
      <c r="J49" s="14" t="str">
        <f aca="true">IF($A49="","",IF(AND($G49&gt;0,TODAY()&gt;$H49),TODAY()-$H49,""))</f>
        <v/>
      </c>
      <c r="K49" s="2" t="str">
        <f aca="false">IFERROR(MATCH(ROWS($K$5:$K49),Jobs!$Q$5:$Q$504,0),"")</f>
        <v/>
      </c>
      <c r="M49" s="16"/>
      <c r="N49" s="12"/>
      <c r="O49" s="12"/>
      <c r="P49" s="13"/>
      <c r="Q49" s="19" t="str">
        <f aca="false">IF($N49="","",IFERROR(INDEX($C$5:$C$504,MATCH($N49,$A$5:$A$504,0)),"Invoice not found"))</f>
        <v/>
      </c>
    </row>
    <row r="50" customFormat="false" ht="15" hidden="false" customHeight="false" outlineLevel="0" collapsed="false">
      <c r="A50" s="19" t="str">
        <f aca="false">IF($K50="","",INDEX(Jobs!$O$5:$O$504,$K50))</f>
        <v/>
      </c>
      <c r="B50" s="22" t="str">
        <f aca="false">IF($K50="","",INDEX(Jobs!$A$5:$A$504,$K50))</f>
        <v/>
      </c>
      <c r="C50" s="19" t="str">
        <f aca="false">IF($K50="","",INDEX(Jobs!$B$5:$B$504,$K50))</f>
        <v/>
      </c>
      <c r="D50" s="19" t="str">
        <f aca="false">IF($K50="","",INDEX(Jobs!$J$5:$J$504,$K50))</f>
        <v/>
      </c>
      <c r="E50" s="15" t="str">
        <f aca="false">IF($K50="","",INDEX(Jobs!$N$5:$N$504,$K50))</f>
        <v/>
      </c>
      <c r="F50" s="15" t="str">
        <f aca="false">IF($A50="","",SUMIFS($P$5:$P$1004,$N$5:$N$1004,$A50))</f>
        <v/>
      </c>
      <c r="G50" s="15" t="str">
        <f aca="false">IF($A50="","",$E50-$F50)</f>
        <v/>
      </c>
      <c r="H50" s="22" t="str">
        <f aca="false">IF($A50="","",$B50+Settings!$B$11)</f>
        <v/>
      </c>
      <c r="I50" s="19" t="str">
        <f aca="true">IF($A50="","",IF($G50&lt;=0,"Paid",IF(TODAY()&gt;$H50,"Overdue",IF($F50&gt;0,"Partial","Unpaid"))))</f>
        <v/>
      </c>
      <c r="J50" s="14" t="str">
        <f aca="true">IF($A50="","",IF(AND($G50&gt;0,TODAY()&gt;$H50),TODAY()-$H50,""))</f>
        <v/>
      </c>
      <c r="K50" s="2" t="str">
        <f aca="false">IFERROR(MATCH(ROWS($K$5:$K50),Jobs!$Q$5:$Q$504,0),"")</f>
        <v/>
      </c>
      <c r="M50" s="16"/>
      <c r="N50" s="12"/>
      <c r="O50" s="12"/>
      <c r="P50" s="13"/>
      <c r="Q50" s="19" t="str">
        <f aca="false">IF($N50="","",IFERROR(INDEX($C$5:$C$504,MATCH($N50,$A$5:$A$504,0)),"Invoice not found"))</f>
        <v/>
      </c>
    </row>
    <row r="51" customFormat="false" ht="15" hidden="false" customHeight="false" outlineLevel="0" collapsed="false">
      <c r="A51" s="19" t="str">
        <f aca="false">IF($K51="","",INDEX(Jobs!$O$5:$O$504,$K51))</f>
        <v/>
      </c>
      <c r="B51" s="22" t="str">
        <f aca="false">IF($K51="","",INDEX(Jobs!$A$5:$A$504,$K51))</f>
        <v/>
      </c>
      <c r="C51" s="19" t="str">
        <f aca="false">IF($K51="","",INDEX(Jobs!$B$5:$B$504,$K51))</f>
        <v/>
      </c>
      <c r="D51" s="19" t="str">
        <f aca="false">IF($K51="","",INDEX(Jobs!$J$5:$J$504,$K51))</f>
        <v/>
      </c>
      <c r="E51" s="15" t="str">
        <f aca="false">IF($K51="","",INDEX(Jobs!$N$5:$N$504,$K51))</f>
        <v/>
      </c>
      <c r="F51" s="15" t="str">
        <f aca="false">IF($A51="","",SUMIFS($P$5:$P$1004,$N$5:$N$1004,$A51))</f>
        <v/>
      </c>
      <c r="G51" s="15" t="str">
        <f aca="false">IF($A51="","",$E51-$F51)</f>
        <v/>
      </c>
      <c r="H51" s="22" t="str">
        <f aca="false">IF($A51="","",$B51+Settings!$B$11)</f>
        <v/>
      </c>
      <c r="I51" s="19" t="str">
        <f aca="true">IF($A51="","",IF($G51&lt;=0,"Paid",IF(TODAY()&gt;$H51,"Overdue",IF($F51&gt;0,"Partial","Unpaid"))))</f>
        <v/>
      </c>
      <c r="J51" s="14" t="str">
        <f aca="true">IF($A51="","",IF(AND($G51&gt;0,TODAY()&gt;$H51),TODAY()-$H51,""))</f>
        <v/>
      </c>
      <c r="K51" s="2" t="str">
        <f aca="false">IFERROR(MATCH(ROWS($K$5:$K51),Jobs!$Q$5:$Q$504,0),"")</f>
        <v/>
      </c>
      <c r="M51" s="16"/>
      <c r="N51" s="12"/>
      <c r="O51" s="12"/>
      <c r="P51" s="13"/>
      <c r="Q51" s="19" t="str">
        <f aca="false">IF($N51="","",IFERROR(INDEX($C$5:$C$504,MATCH($N51,$A$5:$A$504,0)),"Invoice not found"))</f>
        <v/>
      </c>
    </row>
    <row r="52" customFormat="false" ht="15" hidden="false" customHeight="false" outlineLevel="0" collapsed="false">
      <c r="A52" s="19" t="str">
        <f aca="false">IF($K52="","",INDEX(Jobs!$O$5:$O$504,$K52))</f>
        <v/>
      </c>
      <c r="B52" s="22" t="str">
        <f aca="false">IF($K52="","",INDEX(Jobs!$A$5:$A$504,$K52))</f>
        <v/>
      </c>
      <c r="C52" s="19" t="str">
        <f aca="false">IF($K52="","",INDEX(Jobs!$B$5:$B$504,$K52))</f>
        <v/>
      </c>
      <c r="D52" s="19" t="str">
        <f aca="false">IF($K52="","",INDEX(Jobs!$J$5:$J$504,$K52))</f>
        <v/>
      </c>
      <c r="E52" s="15" t="str">
        <f aca="false">IF($K52="","",INDEX(Jobs!$N$5:$N$504,$K52))</f>
        <v/>
      </c>
      <c r="F52" s="15" t="str">
        <f aca="false">IF($A52="","",SUMIFS($P$5:$P$1004,$N$5:$N$1004,$A52))</f>
        <v/>
      </c>
      <c r="G52" s="15" t="str">
        <f aca="false">IF($A52="","",$E52-$F52)</f>
        <v/>
      </c>
      <c r="H52" s="22" t="str">
        <f aca="false">IF($A52="","",$B52+Settings!$B$11)</f>
        <v/>
      </c>
      <c r="I52" s="19" t="str">
        <f aca="true">IF($A52="","",IF($G52&lt;=0,"Paid",IF(TODAY()&gt;$H52,"Overdue",IF($F52&gt;0,"Partial","Unpaid"))))</f>
        <v/>
      </c>
      <c r="J52" s="14" t="str">
        <f aca="true">IF($A52="","",IF(AND($G52&gt;0,TODAY()&gt;$H52),TODAY()-$H52,""))</f>
        <v/>
      </c>
      <c r="K52" s="2" t="str">
        <f aca="false">IFERROR(MATCH(ROWS($K$5:$K52),Jobs!$Q$5:$Q$504,0),"")</f>
        <v/>
      </c>
      <c r="M52" s="16"/>
      <c r="N52" s="12"/>
      <c r="O52" s="12"/>
      <c r="P52" s="13"/>
      <c r="Q52" s="19" t="str">
        <f aca="false">IF($N52="","",IFERROR(INDEX($C$5:$C$504,MATCH($N52,$A$5:$A$504,0)),"Invoice not found"))</f>
        <v/>
      </c>
    </row>
    <row r="53" customFormat="false" ht="15" hidden="false" customHeight="false" outlineLevel="0" collapsed="false">
      <c r="A53" s="19" t="str">
        <f aca="false">IF($K53="","",INDEX(Jobs!$O$5:$O$504,$K53))</f>
        <v/>
      </c>
      <c r="B53" s="22" t="str">
        <f aca="false">IF($K53="","",INDEX(Jobs!$A$5:$A$504,$K53))</f>
        <v/>
      </c>
      <c r="C53" s="19" t="str">
        <f aca="false">IF($K53="","",INDEX(Jobs!$B$5:$B$504,$K53))</f>
        <v/>
      </c>
      <c r="D53" s="19" t="str">
        <f aca="false">IF($K53="","",INDEX(Jobs!$J$5:$J$504,$K53))</f>
        <v/>
      </c>
      <c r="E53" s="15" t="str">
        <f aca="false">IF($K53="","",INDEX(Jobs!$N$5:$N$504,$K53))</f>
        <v/>
      </c>
      <c r="F53" s="15" t="str">
        <f aca="false">IF($A53="","",SUMIFS($P$5:$P$1004,$N$5:$N$1004,$A53))</f>
        <v/>
      </c>
      <c r="G53" s="15" t="str">
        <f aca="false">IF($A53="","",$E53-$F53)</f>
        <v/>
      </c>
      <c r="H53" s="22" t="str">
        <f aca="false">IF($A53="","",$B53+Settings!$B$11)</f>
        <v/>
      </c>
      <c r="I53" s="19" t="str">
        <f aca="true">IF($A53="","",IF($G53&lt;=0,"Paid",IF(TODAY()&gt;$H53,"Overdue",IF($F53&gt;0,"Partial","Unpaid"))))</f>
        <v/>
      </c>
      <c r="J53" s="14" t="str">
        <f aca="true">IF($A53="","",IF(AND($G53&gt;0,TODAY()&gt;$H53),TODAY()-$H53,""))</f>
        <v/>
      </c>
      <c r="K53" s="2" t="str">
        <f aca="false">IFERROR(MATCH(ROWS($K$5:$K53),Jobs!$Q$5:$Q$504,0),"")</f>
        <v/>
      </c>
      <c r="M53" s="16"/>
      <c r="N53" s="12"/>
      <c r="O53" s="12"/>
      <c r="P53" s="13"/>
      <c r="Q53" s="19" t="str">
        <f aca="false">IF($N53="","",IFERROR(INDEX($C$5:$C$504,MATCH($N53,$A$5:$A$504,0)),"Invoice not found"))</f>
        <v/>
      </c>
    </row>
    <row r="54" customFormat="false" ht="15" hidden="false" customHeight="false" outlineLevel="0" collapsed="false">
      <c r="A54" s="19" t="str">
        <f aca="false">IF($K54="","",INDEX(Jobs!$O$5:$O$504,$K54))</f>
        <v/>
      </c>
      <c r="B54" s="22" t="str">
        <f aca="false">IF($K54="","",INDEX(Jobs!$A$5:$A$504,$K54))</f>
        <v/>
      </c>
      <c r="C54" s="19" t="str">
        <f aca="false">IF($K54="","",INDEX(Jobs!$B$5:$B$504,$K54))</f>
        <v/>
      </c>
      <c r="D54" s="19" t="str">
        <f aca="false">IF($K54="","",INDEX(Jobs!$J$5:$J$504,$K54))</f>
        <v/>
      </c>
      <c r="E54" s="15" t="str">
        <f aca="false">IF($K54="","",INDEX(Jobs!$N$5:$N$504,$K54))</f>
        <v/>
      </c>
      <c r="F54" s="15" t="str">
        <f aca="false">IF($A54="","",SUMIFS($P$5:$P$1004,$N$5:$N$1004,$A54))</f>
        <v/>
      </c>
      <c r="G54" s="15" t="str">
        <f aca="false">IF($A54="","",$E54-$F54)</f>
        <v/>
      </c>
      <c r="H54" s="22" t="str">
        <f aca="false">IF($A54="","",$B54+Settings!$B$11)</f>
        <v/>
      </c>
      <c r="I54" s="19" t="str">
        <f aca="true">IF($A54="","",IF($G54&lt;=0,"Paid",IF(TODAY()&gt;$H54,"Overdue",IF($F54&gt;0,"Partial","Unpaid"))))</f>
        <v/>
      </c>
      <c r="J54" s="14" t="str">
        <f aca="true">IF($A54="","",IF(AND($G54&gt;0,TODAY()&gt;$H54),TODAY()-$H54,""))</f>
        <v/>
      </c>
      <c r="K54" s="2" t="str">
        <f aca="false">IFERROR(MATCH(ROWS($K$5:$K54),Jobs!$Q$5:$Q$504,0),"")</f>
        <v/>
      </c>
      <c r="M54" s="16"/>
      <c r="N54" s="12"/>
      <c r="O54" s="12"/>
      <c r="P54" s="13"/>
      <c r="Q54" s="19" t="str">
        <f aca="false">IF($N54="","",IFERROR(INDEX($C$5:$C$504,MATCH($N54,$A$5:$A$504,0)),"Invoice not found"))</f>
        <v/>
      </c>
    </row>
    <row r="55" customFormat="false" ht="15" hidden="false" customHeight="false" outlineLevel="0" collapsed="false">
      <c r="A55" s="19" t="str">
        <f aca="false">IF($K55="","",INDEX(Jobs!$O$5:$O$504,$K55))</f>
        <v/>
      </c>
      <c r="B55" s="22" t="str">
        <f aca="false">IF($K55="","",INDEX(Jobs!$A$5:$A$504,$K55))</f>
        <v/>
      </c>
      <c r="C55" s="19" t="str">
        <f aca="false">IF($K55="","",INDEX(Jobs!$B$5:$B$504,$K55))</f>
        <v/>
      </c>
      <c r="D55" s="19" t="str">
        <f aca="false">IF($K55="","",INDEX(Jobs!$J$5:$J$504,$K55))</f>
        <v/>
      </c>
      <c r="E55" s="15" t="str">
        <f aca="false">IF($K55="","",INDEX(Jobs!$N$5:$N$504,$K55))</f>
        <v/>
      </c>
      <c r="F55" s="15" t="str">
        <f aca="false">IF($A55="","",SUMIFS($P$5:$P$1004,$N$5:$N$1004,$A55))</f>
        <v/>
      </c>
      <c r="G55" s="15" t="str">
        <f aca="false">IF($A55="","",$E55-$F55)</f>
        <v/>
      </c>
      <c r="H55" s="22" t="str">
        <f aca="false">IF($A55="","",$B55+Settings!$B$11)</f>
        <v/>
      </c>
      <c r="I55" s="19" t="str">
        <f aca="true">IF($A55="","",IF($G55&lt;=0,"Paid",IF(TODAY()&gt;$H55,"Overdue",IF($F55&gt;0,"Partial","Unpaid"))))</f>
        <v/>
      </c>
      <c r="J55" s="14" t="str">
        <f aca="true">IF($A55="","",IF(AND($G55&gt;0,TODAY()&gt;$H55),TODAY()-$H55,""))</f>
        <v/>
      </c>
      <c r="K55" s="2" t="str">
        <f aca="false">IFERROR(MATCH(ROWS($K$5:$K55),Jobs!$Q$5:$Q$504,0),"")</f>
        <v/>
      </c>
      <c r="M55" s="16"/>
      <c r="N55" s="12"/>
      <c r="O55" s="12"/>
      <c r="P55" s="13"/>
      <c r="Q55" s="19" t="str">
        <f aca="false">IF($N55="","",IFERROR(INDEX($C$5:$C$504,MATCH($N55,$A$5:$A$504,0)),"Invoice not found"))</f>
        <v/>
      </c>
    </row>
    <row r="56" customFormat="false" ht="15" hidden="false" customHeight="false" outlineLevel="0" collapsed="false">
      <c r="A56" s="19" t="str">
        <f aca="false">IF($K56="","",INDEX(Jobs!$O$5:$O$504,$K56))</f>
        <v/>
      </c>
      <c r="B56" s="22" t="str">
        <f aca="false">IF($K56="","",INDEX(Jobs!$A$5:$A$504,$K56))</f>
        <v/>
      </c>
      <c r="C56" s="19" t="str">
        <f aca="false">IF($K56="","",INDEX(Jobs!$B$5:$B$504,$K56))</f>
        <v/>
      </c>
      <c r="D56" s="19" t="str">
        <f aca="false">IF($K56="","",INDEX(Jobs!$J$5:$J$504,$K56))</f>
        <v/>
      </c>
      <c r="E56" s="15" t="str">
        <f aca="false">IF($K56="","",INDEX(Jobs!$N$5:$N$504,$K56))</f>
        <v/>
      </c>
      <c r="F56" s="15" t="str">
        <f aca="false">IF($A56="","",SUMIFS($P$5:$P$1004,$N$5:$N$1004,$A56))</f>
        <v/>
      </c>
      <c r="G56" s="15" t="str">
        <f aca="false">IF($A56="","",$E56-$F56)</f>
        <v/>
      </c>
      <c r="H56" s="22" t="str">
        <f aca="false">IF($A56="","",$B56+Settings!$B$11)</f>
        <v/>
      </c>
      <c r="I56" s="19" t="str">
        <f aca="true">IF($A56="","",IF($G56&lt;=0,"Paid",IF(TODAY()&gt;$H56,"Overdue",IF($F56&gt;0,"Partial","Unpaid"))))</f>
        <v/>
      </c>
      <c r="J56" s="14" t="str">
        <f aca="true">IF($A56="","",IF(AND($G56&gt;0,TODAY()&gt;$H56),TODAY()-$H56,""))</f>
        <v/>
      </c>
      <c r="K56" s="2" t="str">
        <f aca="false">IFERROR(MATCH(ROWS($K$5:$K56),Jobs!$Q$5:$Q$504,0),"")</f>
        <v/>
      </c>
      <c r="M56" s="16"/>
      <c r="N56" s="12"/>
      <c r="O56" s="12"/>
      <c r="P56" s="13"/>
      <c r="Q56" s="19" t="str">
        <f aca="false">IF($N56="","",IFERROR(INDEX($C$5:$C$504,MATCH($N56,$A$5:$A$504,0)),"Invoice not found"))</f>
        <v/>
      </c>
    </row>
    <row r="57" customFormat="false" ht="15" hidden="false" customHeight="false" outlineLevel="0" collapsed="false">
      <c r="A57" s="19" t="str">
        <f aca="false">IF($K57="","",INDEX(Jobs!$O$5:$O$504,$K57))</f>
        <v/>
      </c>
      <c r="B57" s="22" t="str">
        <f aca="false">IF($K57="","",INDEX(Jobs!$A$5:$A$504,$K57))</f>
        <v/>
      </c>
      <c r="C57" s="19" t="str">
        <f aca="false">IF($K57="","",INDEX(Jobs!$B$5:$B$504,$K57))</f>
        <v/>
      </c>
      <c r="D57" s="19" t="str">
        <f aca="false">IF($K57="","",INDEX(Jobs!$J$5:$J$504,$K57))</f>
        <v/>
      </c>
      <c r="E57" s="15" t="str">
        <f aca="false">IF($K57="","",INDEX(Jobs!$N$5:$N$504,$K57))</f>
        <v/>
      </c>
      <c r="F57" s="15" t="str">
        <f aca="false">IF($A57="","",SUMIFS($P$5:$P$1004,$N$5:$N$1004,$A57))</f>
        <v/>
      </c>
      <c r="G57" s="15" t="str">
        <f aca="false">IF($A57="","",$E57-$F57)</f>
        <v/>
      </c>
      <c r="H57" s="22" t="str">
        <f aca="false">IF($A57="","",$B57+Settings!$B$11)</f>
        <v/>
      </c>
      <c r="I57" s="19" t="str">
        <f aca="true">IF($A57="","",IF($G57&lt;=0,"Paid",IF(TODAY()&gt;$H57,"Overdue",IF($F57&gt;0,"Partial","Unpaid"))))</f>
        <v/>
      </c>
      <c r="J57" s="14" t="str">
        <f aca="true">IF($A57="","",IF(AND($G57&gt;0,TODAY()&gt;$H57),TODAY()-$H57,""))</f>
        <v/>
      </c>
      <c r="K57" s="2" t="str">
        <f aca="false">IFERROR(MATCH(ROWS($K$5:$K57),Jobs!$Q$5:$Q$504,0),"")</f>
        <v/>
      </c>
      <c r="M57" s="16"/>
      <c r="N57" s="12"/>
      <c r="O57" s="12"/>
      <c r="P57" s="13"/>
      <c r="Q57" s="19" t="str">
        <f aca="false">IF($N57="","",IFERROR(INDEX($C$5:$C$504,MATCH($N57,$A$5:$A$504,0)),"Invoice not found"))</f>
        <v/>
      </c>
    </row>
    <row r="58" customFormat="false" ht="15" hidden="false" customHeight="false" outlineLevel="0" collapsed="false">
      <c r="A58" s="19" t="str">
        <f aca="false">IF($K58="","",INDEX(Jobs!$O$5:$O$504,$K58))</f>
        <v/>
      </c>
      <c r="B58" s="22" t="str">
        <f aca="false">IF($K58="","",INDEX(Jobs!$A$5:$A$504,$K58))</f>
        <v/>
      </c>
      <c r="C58" s="19" t="str">
        <f aca="false">IF($K58="","",INDEX(Jobs!$B$5:$B$504,$K58))</f>
        <v/>
      </c>
      <c r="D58" s="19" t="str">
        <f aca="false">IF($K58="","",INDEX(Jobs!$J$5:$J$504,$K58))</f>
        <v/>
      </c>
      <c r="E58" s="15" t="str">
        <f aca="false">IF($K58="","",INDEX(Jobs!$N$5:$N$504,$K58))</f>
        <v/>
      </c>
      <c r="F58" s="15" t="str">
        <f aca="false">IF($A58="","",SUMIFS($P$5:$P$1004,$N$5:$N$1004,$A58))</f>
        <v/>
      </c>
      <c r="G58" s="15" t="str">
        <f aca="false">IF($A58="","",$E58-$F58)</f>
        <v/>
      </c>
      <c r="H58" s="22" t="str">
        <f aca="false">IF($A58="","",$B58+Settings!$B$11)</f>
        <v/>
      </c>
      <c r="I58" s="19" t="str">
        <f aca="true">IF($A58="","",IF($G58&lt;=0,"Paid",IF(TODAY()&gt;$H58,"Overdue",IF($F58&gt;0,"Partial","Unpaid"))))</f>
        <v/>
      </c>
      <c r="J58" s="14" t="str">
        <f aca="true">IF($A58="","",IF(AND($G58&gt;0,TODAY()&gt;$H58),TODAY()-$H58,""))</f>
        <v/>
      </c>
      <c r="K58" s="2" t="str">
        <f aca="false">IFERROR(MATCH(ROWS($K$5:$K58),Jobs!$Q$5:$Q$504,0),"")</f>
        <v/>
      </c>
      <c r="M58" s="16"/>
      <c r="N58" s="12"/>
      <c r="O58" s="12"/>
      <c r="P58" s="13"/>
      <c r="Q58" s="19" t="str">
        <f aca="false">IF($N58="","",IFERROR(INDEX($C$5:$C$504,MATCH($N58,$A$5:$A$504,0)),"Invoice not found"))</f>
        <v/>
      </c>
    </row>
    <row r="59" customFormat="false" ht="15" hidden="false" customHeight="false" outlineLevel="0" collapsed="false">
      <c r="A59" s="19" t="str">
        <f aca="false">IF($K59="","",INDEX(Jobs!$O$5:$O$504,$K59))</f>
        <v/>
      </c>
      <c r="B59" s="22" t="str">
        <f aca="false">IF($K59="","",INDEX(Jobs!$A$5:$A$504,$K59))</f>
        <v/>
      </c>
      <c r="C59" s="19" t="str">
        <f aca="false">IF($K59="","",INDEX(Jobs!$B$5:$B$504,$K59))</f>
        <v/>
      </c>
      <c r="D59" s="19" t="str">
        <f aca="false">IF($K59="","",INDEX(Jobs!$J$5:$J$504,$K59))</f>
        <v/>
      </c>
      <c r="E59" s="15" t="str">
        <f aca="false">IF($K59="","",INDEX(Jobs!$N$5:$N$504,$K59))</f>
        <v/>
      </c>
      <c r="F59" s="15" t="str">
        <f aca="false">IF($A59="","",SUMIFS($P$5:$P$1004,$N$5:$N$1004,$A59))</f>
        <v/>
      </c>
      <c r="G59" s="15" t="str">
        <f aca="false">IF($A59="","",$E59-$F59)</f>
        <v/>
      </c>
      <c r="H59" s="22" t="str">
        <f aca="false">IF($A59="","",$B59+Settings!$B$11)</f>
        <v/>
      </c>
      <c r="I59" s="19" t="str">
        <f aca="true">IF($A59="","",IF($G59&lt;=0,"Paid",IF(TODAY()&gt;$H59,"Overdue",IF($F59&gt;0,"Partial","Unpaid"))))</f>
        <v/>
      </c>
      <c r="J59" s="14" t="str">
        <f aca="true">IF($A59="","",IF(AND($G59&gt;0,TODAY()&gt;$H59),TODAY()-$H59,""))</f>
        <v/>
      </c>
      <c r="K59" s="2" t="str">
        <f aca="false">IFERROR(MATCH(ROWS($K$5:$K59),Jobs!$Q$5:$Q$504,0),"")</f>
        <v/>
      </c>
      <c r="M59" s="16"/>
      <c r="N59" s="12"/>
      <c r="O59" s="12"/>
      <c r="P59" s="13"/>
      <c r="Q59" s="19" t="str">
        <f aca="false">IF($N59="","",IFERROR(INDEX($C$5:$C$504,MATCH($N59,$A$5:$A$504,0)),"Invoice not found"))</f>
        <v/>
      </c>
    </row>
    <row r="60" customFormat="false" ht="15" hidden="false" customHeight="false" outlineLevel="0" collapsed="false">
      <c r="A60" s="19" t="str">
        <f aca="false">IF($K60="","",INDEX(Jobs!$O$5:$O$504,$K60))</f>
        <v/>
      </c>
      <c r="B60" s="22" t="str">
        <f aca="false">IF($K60="","",INDEX(Jobs!$A$5:$A$504,$K60))</f>
        <v/>
      </c>
      <c r="C60" s="19" t="str">
        <f aca="false">IF($K60="","",INDEX(Jobs!$B$5:$B$504,$K60))</f>
        <v/>
      </c>
      <c r="D60" s="19" t="str">
        <f aca="false">IF($K60="","",INDEX(Jobs!$J$5:$J$504,$K60))</f>
        <v/>
      </c>
      <c r="E60" s="15" t="str">
        <f aca="false">IF($K60="","",INDEX(Jobs!$N$5:$N$504,$K60))</f>
        <v/>
      </c>
      <c r="F60" s="15" t="str">
        <f aca="false">IF($A60="","",SUMIFS($P$5:$P$1004,$N$5:$N$1004,$A60))</f>
        <v/>
      </c>
      <c r="G60" s="15" t="str">
        <f aca="false">IF($A60="","",$E60-$F60)</f>
        <v/>
      </c>
      <c r="H60" s="22" t="str">
        <f aca="false">IF($A60="","",$B60+Settings!$B$11)</f>
        <v/>
      </c>
      <c r="I60" s="19" t="str">
        <f aca="true">IF($A60="","",IF($G60&lt;=0,"Paid",IF(TODAY()&gt;$H60,"Overdue",IF($F60&gt;0,"Partial","Unpaid"))))</f>
        <v/>
      </c>
      <c r="J60" s="14" t="str">
        <f aca="true">IF($A60="","",IF(AND($G60&gt;0,TODAY()&gt;$H60),TODAY()-$H60,""))</f>
        <v/>
      </c>
      <c r="K60" s="2" t="str">
        <f aca="false">IFERROR(MATCH(ROWS($K$5:$K60),Jobs!$Q$5:$Q$504,0),"")</f>
        <v/>
      </c>
      <c r="M60" s="16"/>
      <c r="N60" s="12"/>
      <c r="O60" s="12"/>
      <c r="P60" s="13"/>
      <c r="Q60" s="19" t="str">
        <f aca="false">IF($N60="","",IFERROR(INDEX($C$5:$C$504,MATCH($N60,$A$5:$A$504,0)),"Invoice not found"))</f>
        <v/>
      </c>
    </row>
    <row r="61" customFormat="false" ht="15" hidden="false" customHeight="false" outlineLevel="0" collapsed="false">
      <c r="A61" s="19" t="str">
        <f aca="false">IF($K61="","",INDEX(Jobs!$O$5:$O$504,$K61))</f>
        <v/>
      </c>
      <c r="B61" s="22" t="str">
        <f aca="false">IF($K61="","",INDEX(Jobs!$A$5:$A$504,$K61))</f>
        <v/>
      </c>
      <c r="C61" s="19" t="str">
        <f aca="false">IF($K61="","",INDEX(Jobs!$B$5:$B$504,$K61))</f>
        <v/>
      </c>
      <c r="D61" s="19" t="str">
        <f aca="false">IF($K61="","",INDEX(Jobs!$J$5:$J$504,$K61))</f>
        <v/>
      </c>
      <c r="E61" s="15" t="str">
        <f aca="false">IF($K61="","",INDEX(Jobs!$N$5:$N$504,$K61))</f>
        <v/>
      </c>
      <c r="F61" s="15" t="str">
        <f aca="false">IF($A61="","",SUMIFS($P$5:$P$1004,$N$5:$N$1004,$A61))</f>
        <v/>
      </c>
      <c r="G61" s="15" t="str">
        <f aca="false">IF($A61="","",$E61-$F61)</f>
        <v/>
      </c>
      <c r="H61" s="22" t="str">
        <f aca="false">IF($A61="","",$B61+Settings!$B$11)</f>
        <v/>
      </c>
      <c r="I61" s="19" t="str">
        <f aca="true">IF($A61="","",IF($G61&lt;=0,"Paid",IF(TODAY()&gt;$H61,"Overdue",IF($F61&gt;0,"Partial","Unpaid"))))</f>
        <v/>
      </c>
      <c r="J61" s="14" t="str">
        <f aca="true">IF($A61="","",IF(AND($G61&gt;0,TODAY()&gt;$H61),TODAY()-$H61,""))</f>
        <v/>
      </c>
      <c r="K61" s="2" t="str">
        <f aca="false">IFERROR(MATCH(ROWS($K$5:$K61),Jobs!$Q$5:$Q$504,0),"")</f>
        <v/>
      </c>
      <c r="M61" s="16"/>
      <c r="N61" s="12"/>
      <c r="O61" s="12"/>
      <c r="P61" s="13"/>
      <c r="Q61" s="19" t="str">
        <f aca="false">IF($N61="","",IFERROR(INDEX($C$5:$C$504,MATCH($N61,$A$5:$A$504,0)),"Invoice not found"))</f>
        <v/>
      </c>
    </row>
    <row r="62" customFormat="false" ht="15" hidden="false" customHeight="false" outlineLevel="0" collapsed="false">
      <c r="A62" s="19" t="str">
        <f aca="false">IF($K62="","",INDEX(Jobs!$O$5:$O$504,$K62))</f>
        <v/>
      </c>
      <c r="B62" s="22" t="str">
        <f aca="false">IF($K62="","",INDEX(Jobs!$A$5:$A$504,$K62))</f>
        <v/>
      </c>
      <c r="C62" s="19" t="str">
        <f aca="false">IF($K62="","",INDEX(Jobs!$B$5:$B$504,$K62))</f>
        <v/>
      </c>
      <c r="D62" s="19" t="str">
        <f aca="false">IF($K62="","",INDEX(Jobs!$J$5:$J$504,$K62))</f>
        <v/>
      </c>
      <c r="E62" s="15" t="str">
        <f aca="false">IF($K62="","",INDEX(Jobs!$N$5:$N$504,$K62))</f>
        <v/>
      </c>
      <c r="F62" s="15" t="str">
        <f aca="false">IF($A62="","",SUMIFS($P$5:$P$1004,$N$5:$N$1004,$A62))</f>
        <v/>
      </c>
      <c r="G62" s="15" t="str">
        <f aca="false">IF($A62="","",$E62-$F62)</f>
        <v/>
      </c>
      <c r="H62" s="22" t="str">
        <f aca="false">IF($A62="","",$B62+Settings!$B$11)</f>
        <v/>
      </c>
      <c r="I62" s="19" t="str">
        <f aca="true">IF($A62="","",IF($G62&lt;=0,"Paid",IF(TODAY()&gt;$H62,"Overdue",IF($F62&gt;0,"Partial","Unpaid"))))</f>
        <v/>
      </c>
      <c r="J62" s="14" t="str">
        <f aca="true">IF($A62="","",IF(AND($G62&gt;0,TODAY()&gt;$H62),TODAY()-$H62,""))</f>
        <v/>
      </c>
      <c r="K62" s="2" t="str">
        <f aca="false">IFERROR(MATCH(ROWS($K$5:$K62),Jobs!$Q$5:$Q$504,0),"")</f>
        <v/>
      </c>
      <c r="M62" s="16"/>
      <c r="N62" s="12"/>
      <c r="O62" s="12"/>
      <c r="P62" s="13"/>
      <c r="Q62" s="19" t="str">
        <f aca="false">IF($N62="","",IFERROR(INDEX($C$5:$C$504,MATCH($N62,$A$5:$A$504,0)),"Invoice not found"))</f>
        <v/>
      </c>
    </row>
    <row r="63" customFormat="false" ht="15" hidden="false" customHeight="false" outlineLevel="0" collapsed="false">
      <c r="A63" s="19" t="str">
        <f aca="false">IF($K63="","",INDEX(Jobs!$O$5:$O$504,$K63))</f>
        <v/>
      </c>
      <c r="B63" s="22" t="str">
        <f aca="false">IF($K63="","",INDEX(Jobs!$A$5:$A$504,$K63))</f>
        <v/>
      </c>
      <c r="C63" s="19" t="str">
        <f aca="false">IF($K63="","",INDEX(Jobs!$B$5:$B$504,$K63))</f>
        <v/>
      </c>
      <c r="D63" s="19" t="str">
        <f aca="false">IF($K63="","",INDEX(Jobs!$J$5:$J$504,$K63))</f>
        <v/>
      </c>
      <c r="E63" s="15" t="str">
        <f aca="false">IF($K63="","",INDEX(Jobs!$N$5:$N$504,$K63))</f>
        <v/>
      </c>
      <c r="F63" s="15" t="str">
        <f aca="false">IF($A63="","",SUMIFS($P$5:$P$1004,$N$5:$N$1004,$A63))</f>
        <v/>
      </c>
      <c r="G63" s="15" t="str">
        <f aca="false">IF($A63="","",$E63-$F63)</f>
        <v/>
      </c>
      <c r="H63" s="22" t="str">
        <f aca="false">IF($A63="","",$B63+Settings!$B$11)</f>
        <v/>
      </c>
      <c r="I63" s="19" t="str">
        <f aca="true">IF($A63="","",IF($G63&lt;=0,"Paid",IF(TODAY()&gt;$H63,"Overdue",IF($F63&gt;0,"Partial","Unpaid"))))</f>
        <v/>
      </c>
      <c r="J63" s="14" t="str">
        <f aca="true">IF($A63="","",IF(AND($G63&gt;0,TODAY()&gt;$H63),TODAY()-$H63,""))</f>
        <v/>
      </c>
      <c r="K63" s="2" t="str">
        <f aca="false">IFERROR(MATCH(ROWS($K$5:$K63),Jobs!$Q$5:$Q$504,0),"")</f>
        <v/>
      </c>
      <c r="M63" s="16"/>
      <c r="N63" s="12"/>
      <c r="O63" s="12"/>
      <c r="P63" s="13"/>
      <c r="Q63" s="19" t="str">
        <f aca="false">IF($N63="","",IFERROR(INDEX($C$5:$C$504,MATCH($N63,$A$5:$A$504,0)),"Invoice not found"))</f>
        <v/>
      </c>
    </row>
    <row r="64" customFormat="false" ht="15" hidden="false" customHeight="false" outlineLevel="0" collapsed="false">
      <c r="A64" s="19" t="str">
        <f aca="false">IF($K64="","",INDEX(Jobs!$O$5:$O$504,$K64))</f>
        <v/>
      </c>
      <c r="B64" s="22" t="str">
        <f aca="false">IF($K64="","",INDEX(Jobs!$A$5:$A$504,$K64))</f>
        <v/>
      </c>
      <c r="C64" s="19" t="str">
        <f aca="false">IF($K64="","",INDEX(Jobs!$B$5:$B$504,$K64))</f>
        <v/>
      </c>
      <c r="D64" s="19" t="str">
        <f aca="false">IF($K64="","",INDEX(Jobs!$J$5:$J$504,$K64))</f>
        <v/>
      </c>
      <c r="E64" s="15" t="str">
        <f aca="false">IF($K64="","",INDEX(Jobs!$N$5:$N$504,$K64))</f>
        <v/>
      </c>
      <c r="F64" s="15" t="str">
        <f aca="false">IF($A64="","",SUMIFS($P$5:$P$1004,$N$5:$N$1004,$A64))</f>
        <v/>
      </c>
      <c r="G64" s="15" t="str">
        <f aca="false">IF($A64="","",$E64-$F64)</f>
        <v/>
      </c>
      <c r="H64" s="22" t="str">
        <f aca="false">IF($A64="","",$B64+Settings!$B$11)</f>
        <v/>
      </c>
      <c r="I64" s="19" t="str">
        <f aca="true">IF($A64="","",IF($G64&lt;=0,"Paid",IF(TODAY()&gt;$H64,"Overdue",IF($F64&gt;0,"Partial","Unpaid"))))</f>
        <v/>
      </c>
      <c r="J64" s="14" t="str">
        <f aca="true">IF($A64="","",IF(AND($G64&gt;0,TODAY()&gt;$H64),TODAY()-$H64,""))</f>
        <v/>
      </c>
      <c r="K64" s="2" t="str">
        <f aca="false">IFERROR(MATCH(ROWS($K$5:$K64),Jobs!$Q$5:$Q$504,0),"")</f>
        <v/>
      </c>
      <c r="M64" s="16"/>
      <c r="N64" s="12"/>
      <c r="O64" s="12"/>
      <c r="P64" s="13"/>
      <c r="Q64" s="19" t="str">
        <f aca="false">IF($N64="","",IFERROR(INDEX($C$5:$C$504,MATCH($N64,$A$5:$A$504,0)),"Invoice not found"))</f>
        <v/>
      </c>
    </row>
    <row r="65" customFormat="false" ht="15" hidden="false" customHeight="false" outlineLevel="0" collapsed="false">
      <c r="A65" s="19" t="str">
        <f aca="false">IF($K65="","",INDEX(Jobs!$O$5:$O$504,$K65))</f>
        <v/>
      </c>
      <c r="B65" s="22" t="str">
        <f aca="false">IF($K65="","",INDEX(Jobs!$A$5:$A$504,$K65))</f>
        <v/>
      </c>
      <c r="C65" s="19" t="str">
        <f aca="false">IF($K65="","",INDEX(Jobs!$B$5:$B$504,$K65))</f>
        <v/>
      </c>
      <c r="D65" s="19" t="str">
        <f aca="false">IF($K65="","",INDEX(Jobs!$J$5:$J$504,$K65))</f>
        <v/>
      </c>
      <c r="E65" s="15" t="str">
        <f aca="false">IF($K65="","",INDEX(Jobs!$N$5:$N$504,$K65))</f>
        <v/>
      </c>
      <c r="F65" s="15" t="str">
        <f aca="false">IF($A65="","",SUMIFS($P$5:$P$1004,$N$5:$N$1004,$A65))</f>
        <v/>
      </c>
      <c r="G65" s="15" t="str">
        <f aca="false">IF($A65="","",$E65-$F65)</f>
        <v/>
      </c>
      <c r="H65" s="22" t="str">
        <f aca="false">IF($A65="","",$B65+Settings!$B$11)</f>
        <v/>
      </c>
      <c r="I65" s="19" t="str">
        <f aca="true">IF($A65="","",IF($G65&lt;=0,"Paid",IF(TODAY()&gt;$H65,"Overdue",IF($F65&gt;0,"Partial","Unpaid"))))</f>
        <v/>
      </c>
      <c r="J65" s="14" t="str">
        <f aca="true">IF($A65="","",IF(AND($G65&gt;0,TODAY()&gt;$H65),TODAY()-$H65,""))</f>
        <v/>
      </c>
      <c r="K65" s="2" t="str">
        <f aca="false">IFERROR(MATCH(ROWS($K$5:$K65),Jobs!$Q$5:$Q$504,0),"")</f>
        <v/>
      </c>
      <c r="M65" s="16"/>
      <c r="N65" s="12"/>
      <c r="O65" s="12"/>
      <c r="P65" s="13"/>
      <c r="Q65" s="19" t="str">
        <f aca="false">IF($N65="","",IFERROR(INDEX($C$5:$C$504,MATCH($N65,$A$5:$A$504,0)),"Invoice not found"))</f>
        <v/>
      </c>
    </row>
    <row r="66" customFormat="false" ht="15" hidden="false" customHeight="false" outlineLevel="0" collapsed="false">
      <c r="A66" s="19" t="str">
        <f aca="false">IF($K66="","",INDEX(Jobs!$O$5:$O$504,$K66))</f>
        <v/>
      </c>
      <c r="B66" s="22" t="str">
        <f aca="false">IF($K66="","",INDEX(Jobs!$A$5:$A$504,$K66))</f>
        <v/>
      </c>
      <c r="C66" s="19" t="str">
        <f aca="false">IF($K66="","",INDEX(Jobs!$B$5:$B$504,$K66))</f>
        <v/>
      </c>
      <c r="D66" s="19" t="str">
        <f aca="false">IF($K66="","",INDEX(Jobs!$J$5:$J$504,$K66))</f>
        <v/>
      </c>
      <c r="E66" s="15" t="str">
        <f aca="false">IF($K66="","",INDEX(Jobs!$N$5:$N$504,$K66))</f>
        <v/>
      </c>
      <c r="F66" s="15" t="str">
        <f aca="false">IF($A66="","",SUMIFS($P$5:$P$1004,$N$5:$N$1004,$A66))</f>
        <v/>
      </c>
      <c r="G66" s="15" t="str">
        <f aca="false">IF($A66="","",$E66-$F66)</f>
        <v/>
      </c>
      <c r="H66" s="22" t="str">
        <f aca="false">IF($A66="","",$B66+Settings!$B$11)</f>
        <v/>
      </c>
      <c r="I66" s="19" t="str">
        <f aca="true">IF($A66="","",IF($G66&lt;=0,"Paid",IF(TODAY()&gt;$H66,"Overdue",IF($F66&gt;0,"Partial","Unpaid"))))</f>
        <v/>
      </c>
      <c r="J66" s="14" t="str">
        <f aca="true">IF($A66="","",IF(AND($G66&gt;0,TODAY()&gt;$H66),TODAY()-$H66,""))</f>
        <v/>
      </c>
      <c r="K66" s="2" t="str">
        <f aca="false">IFERROR(MATCH(ROWS($K$5:$K66),Jobs!$Q$5:$Q$504,0),"")</f>
        <v/>
      </c>
      <c r="M66" s="16"/>
      <c r="N66" s="12"/>
      <c r="O66" s="12"/>
      <c r="P66" s="13"/>
      <c r="Q66" s="19" t="str">
        <f aca="false">IF($N66="","",IFERROR(INDEX($C$5:$C$504,MATCH($N66,$A$5:$A$504,0)),"Invoice not found"))</f>
        <v/>
      </c>
    </row>
    <row r="67" customFormat="false" ht="15" hidden="false" customHeight="false" outlineLevel="0" collapsed="false">
      <c r="A67" s="19" t="str">
        <f aca="false">IF($K67="","",INDEX(Jobs!$O$5:$O$504,$K67))</f>
        <v/>
      </c>
      <c r="B67" s="22" t="str">
        <f aca="false">IF($K67="","",INDEX(Jobs!$A$5:$A$504,$K67))</f>
        <v/>
      </c>
      <c r="C67" s="19" t="str">
        <f aca="false">IF($K67="","",INDEX(Jobs!$B$5:$B$504,$K67))</f>
        <v/>
      </c>
      <c r="D67" s="19" t="str">
        <f aca="false">IF($K67="","",INDEX(Jobs!$J$5:$J$504,$K67))</f>
        <v/>
      </c>
      <c r="E67" s="15" t="str">
        <f aca="false">IF($K67="","",INDEX(Jobs!$N$5:$N$504,$K67))</f>
        <v/>
      </c>
      <c r="F67" s="15" t="str">
        <f aca="false">IF($A67="","",SUMIFS($P$5:$P$1004,$N$5:$N$1004,$A67))</f>
        <v/>
      </c>
      <c r="G67" s="15" t="str">
        <f aca="false">IF($A67="","",$E67-$F67)</f>
        <v/>
      </c>
      <c r="H67" s="22" t="str">
        <f aca="false">IF($A67="","",$B67+Settings!$B$11)</f>
        <v/>
      </c>
      <c r="I67" s="19" t="str">
        <f aca="true">IF($A67="","",IF($G67&lt;=0,"Paid",IF(TODAY()&gt;$H67,"Overdue",IF($F67&gt;0,"Partial","Unpaid"))))</f>
        <v/>
      </c>
      <c r="J67" s="14" t="str">
        <f aca="true">IF($A67="","",IF(AND($G67&gt;0,TODAY()&gt;$H67),TODAY()-$H67,""))</f>
        <v/>
      </c>
      <c r="K67" s="2" t="str">
        <f aca="false">IFERROR(MATCH(ROWS($K$5:$K67),Jobs!$Q$5:$Q$504,0),"")</f>
        <v/>
      </c>
      <c r="M67" s="16"/>
      <c r="N67" s="12"/>
      <c r="O67" s="12"/>
      <c r="P67" s="13"/>
      <c r="Q67" s="19" t="str">
        <f aca="false">IF($N67="","",IFERROR(INDEX($C$5:$C$504,MATCH($N67,$A$5:$A$504,0)),"Invoice not found"))</f>
        <v/>
      </c>
    </row>
    <row r="68" customFormat="false" ht="15" hidden="false" customHeight="false" outlineLevel="0" collapsed="false">
      <c r="A68" s="19" t="str">
        <f aca="false">IF($K68="","",INDEX(Jobs!$O$5:$O$504,$K68))</f>
        <v/>
      </c>
      <c r="B68" s="22" t="str">
        <f aca="false">IF($K68="","",INDEX(Jobs!$A$5:$A$504,$K68))</f>
        <v/>
      </c>
      <c r="C68" s="19" t="str">
        <f aca="false">IF($K68="","",INDEX(Jobs!$B$5:$B$504,$K68))</f>
        <v/>
      </c>
      <c r="D68" s="19" t="str">
        <f aca="false">IF($K68="","",INDEX(Jobs!$J$5:$J$504,$K68))</f>
        <v/>
      </c>
      <c r="E68" s="15" t="str">
        <f aca="false">IF($K68="","",INDEX(Jobs!$N$5:$N$504,$K68))</f>
        <v/>
      </c>
      <c r="F68" s="15" t="str">
        <f aca="false">IF($A68="","",SUMIFS($P$5:$P$1004,$N$5:$N$1004,$A68))</f>
        <v/>
      </c>
      <c r="G68" s="15" t="str">
        <f aca="false">IF($A68="","",$E68-$F68)</f>
        <v/>
      </c>
      <c r="H68" s="22" t="str">
        <f aca="false">IF($A68="","",$B68+Settings!$B$11)</f>
        <v/>
      </c>
      <c r="I68" s="19" t="str">
        <f aca="true">IF($A68="","",IF($G68&lt;=0,"Paid",IF(TODAY()&gt;$H68,"Overdue",IF($F68&gt;0,"Partial","Unpaid"))))</f>
        <v/>
      </c>
      <c r="J68" s="14" t="str">
        <f aca="true">IF($A68="","",IF(AND($G68&gt;0,TODAY()&gt;$H68),TODAY()-$H68,""))</f>
        <v/>
      </c>
      <c r="K68" s="2" t="str">
        <f aca="false">IFERROR(MATCH(ROWS($K$5:$K68),Jobs!$Q$5:$Q$504,0),"")</f>
        <v/>
      </c>
      <c r="M68" s="16"/>
      <c r="N68" s="12"/>
      <c r="O68" s="12"/>
      <c r="P68" s="13"/>
      <c r="Q68" s="19" t="str">
        <f aca="false">IF($N68="","",IFERROR(INDEX($C$5:$C$504,MATCH($N68,$A$5:$A$504,0)),"Invoice not found"))</f>
        <v/>
      </c>
    </row>
    <row r="69" customFormat="false" ht="15" hidden="false" customHeight="false" outlineLevel="0" collapsed="false">
      <c r="A69" s="19" t="str">
        <f aca="false">IF($K69="","",INDEX(Jobs!$O$5:$O$504,$K69))</f>
        <v/>
      </c>
      <c r="B69" s="22" t="str">
        <f aca="false">IF($K69="","",INDEX(Jobs!$A$5:$A$504,$K69))</f>
        <v/>
      </c>
      <c r="C69" s="19" t="str">
        <f aca="false">IF($K69="","",INDEX(Jobs!$B$5:$B$504,$K69))</f>
        <v/>
      </c>
      <c r="D69" s="19" t="str">
        <f aca="false">IF($K69="","",INDEX(Jobs!$J$5:$J$504,$K69))</f>
        <v/>
      </c>
      <c r="E69" s="15" t="str">
        <f aca="false">IF($K69="","",INDEX(Jobs!$N$5:$N$504,$K69))</f>
        <v/>
      </c>
      <c r="F69" s="15" t="str">
        <f aca="false">IF($A69="","",SUMIFS($P$5:$P$1004,$N$5:$N$1004,$A69))</f>
        <v/>
      </c>
      <c r="G69" s="15" t="str">
        <f aca="false">IF($A69="","",$E69-$F69)</f>
        <v/>
      </c>
      <c r="H69" s="22" t="str">
        <f aca="false">IF($A69="","",$B69+Settings!$B$11)</f>
        <v/>
      </c>
      <c r="I69" s="19" t="str">
        <f aca="true">IF($A69="","",IF($G69&lt;=0,"Paid",IF(TODAY()&gt;$H69,"Overdue",IF($F69&gt;0,"Partial","Unpaid"))))</f>
        <v/>
      </c>
      <c r="J69" s="14" t="str">
        <f aca="true">IF($A69="","",IF(AND($G69&gt;0,TODAY()&gt;$H69),TODAY()-$H69,""))</f>
        <v/>
      </c>
      <c r="K69" s="2" t="str">
        <f aca="false">IFERROR(MATCH(ROWS($K$5:$K69),Jobs!$Q$5:$Q$504,0),"")</f>
        <v/>
      </c>
      <c r="M69" s="16"/>
      <c r="N69" s="12"/>
      <c r="O69" s="12"/>
      <c r="P69" s="13"/>
      <c r="Q69" s="19" t="str">
        <f aca="false">IF($N69="","",IFERROR(INDEX($C$5:$C$504,MATCH($N69,$A$5:$A$504,0)),"Invoice not found"))</f>
        <v/>
      </c>
    </row>
    <row r="70" customFormat="false" ht="15" hidden="false" customHeight="false" outlineLevel="0" collapsed="false">
      <c r="A70" s="19" t="str">
        <f aca="false">IF($K70="","",INDEX(Jobs!$O$5:$O$504,$K70))</f>
        <v/>
      </c>
      <c r="B70" s="22" t="str">
        <f aca="false">IF($K70="","",INDEX(Jobs!$A$5:$A$504,$K70))</f>
        <v/>
      </c>
      <c r="C70" s="19" t="str">
        <f aca="false">IF($K70="","",INDEX(Jobs!$B$5:$B$504,$K70))</f>
        <v/>
      </c>
      <c r="D70" s="19" t="str">
        <f aca="false">IF($K70="","",INDEX(Jobs!$J$5:$J$504,$K70))</f>
        <v/>
      </c>
      <c r="E70" s="15" t="str">
        <f aca="false">IF($K70="","",INDEX(Jobs!$N$5:$N$504,$K70))</f>
        <v/>
      </c>
      <c r="F70" s="15" t="str">
        <f aca="false">IF($A70="","",SUMIFS($P$5:$P$1004,$N$5:$N$1004,$A70))</f>
        <v/>
      </c>
      <c r="G70" s="15" t="str">
        <f aca="false">IF($A70="","",$E70-$F70)</f>
        <v/>
      </c>
      <c r="H70" s="22" t="str">
        <f aca="false">IF($A70="","",$B70+Settings!$B$11)</f>
        <v/>
      </c>
      <c r="I70" s="19" t="str">
        <f aca="true">IF($A70="","",IF($G70&lt;=0,"Paid",IF(TODAY()&gt;$H70,"Overdue",IF($F70&gt;0,"Partial","Unpaid"))))</f>
        <v/>
      </c>
      <c r="J70" s="14" t="str">
        <f aca="true">IF($A70="","",IF(AND($G70&gt;0,TODAY()&gt;$H70),TODAY()-$H70,""))</f>
        <v/>
      </c>
      <c r="K70" s="2" t="str">
        <f aca="false">IFERROR(MATCH(ROWS($K$5:$K70),Jobs!$Q$5:$Q$504,0),"")</f>
        <v/>
      </c>
      <c r="M70" s="16"/>
      <c r="N70" s="12"/>
      <c r="O70" s="12"/>
      <c r="P70" s="13"/>
      <c r="Q70" s="19" t="str">
        <f aca="false">IF($N70="","",IFERROR(INDEX($C$5:$C$504,MATCH($N70,$A$5:$A$504,0)),"Invoice not found"))</f>
        <v/>
      </c>
    </row>
    <row r="71" customFormat="false" ht="15" hidden="false" customHeight="false" outlineLevel="0" collapsed="false">
      <c r="A71" s="19" t="str">
        <f aca="false">IF($K71="","",INDEX(Jobs!$O$5:$O$504,$K71))</f>
        <v/>
      </c>
      <c r="B71" s="22" t="str">
        <f aca="false">IF($K71="","",INDEX(Jobs!$A$5:$A$504,$K71))</f>
        <v/>
      </c>
      <c r="C71" s="19" t="str">
        <f aca="false">IF($K71="","",INDEX(Jobs!$B$5:$B$504,$K71))</f>
        <v/>
      </c>
      <c r="D71" s="19" t="str">
        <f aca="false">IF($K71="","",INDEX(Jobs!$J$5:$J$504,$K71))</f>
        <v/>
      </c>
      <c r="E71" s="15" t="str">
        <f aca="false">IF($K71="","",INDEX(Jobs!$N$5:$N$504,$K71))</f>
        <v/>
      </c>
      <c r="F71" s="15" t="str">
        <f aca="false">IF($A71="","",SUMIFS($P$5:$P$1004,$N$5:$N$1004,$A71))</f>
        <v/>
      </c>
      <c r="G71" s="15" t="str">
        <f aca="false">IF($A71="","",$E71-$F71)</f>
        <v/>
      </c>
      <c r="H71" s="22" t="str">
        <f aca="false">IF($A71="","",$B71+Settings!$B$11)</f>
        <v/>
      </c>
      <c r="I71" s="19" t="str">
        <f aca="true">IF($A71="","",IF($G71&lt;=0,"Paid",IF(TODAY()&gt;$H71,"Overdue",IF($F71&gt;0,"Partial","Unpaid"))))</f>
        <v/>
      </c>
      <c r="J71" s="14" t="str">
        <f aca="true">IF($A71="","",IF(AND($G71&gt;0,TODAY()&gt;$H71),TODAY()-$H71,""))</f>
        <v/>
      </c>
      <c r="K71" s="2" t="str">
        <f aca="false">IFERROR(MATCH(ROWS($K$5:$K71),Jobs!$Q$5:$Q$504,0),"")</f>
        <v/>
      </c>
      <c r="M71" s="16"/>
      <c r="N71" s="12"/>
      <c r="O71" s="12"/>
      <c r="P71" s="13"/>
      <c r="Q71" s="19" t="str">
        <f aca="false">IF($N71="","",IFERROR(INDEX($C$5:$C$504,MATCH($N71,$A$5:$A$504,0)),"Invoice not found"))</f>
        <v/>
      </c>
    </row>
    <row r="72" customFormat="false" ht="15" hidden="false" customHeight="false" outlineLevel="0" collapsed="false">
      <c r="A72" s="19" t="str">
        <f aca="false">IF($K72="","",INDEX(Jobs!$O$5:$O$504,$K72))</f>
        <v/>
      </c>
      <c r="B72" s="22" t="str">
        <f aca="false">IF($K72="","",INDEX(Jobs!$A$5:$A$504,$K72))</f>
        <v/>
      </c>
      <c r="C72" s="19" t="str">
        <f aca="false">IF($K72="","",INDEX(Jobs!$B$5:$B$504,$K72))</f>
        <v/>
      </c>
      <c r="D72" s="19" t="str">
        <f aca="false">IF($K72="","",INDEX(Jobs!$J$5:$J$504,$K72))</f>
        <v/>
      </c>
      <c r="E72" s="15" t="str">
        <f aca="false">IF($K72="","",INDEX(Jobs!$N$5:$N$504,$K72))</f>
        <v/>
      </c>
      <c r="F72" s="15" t="str">
        <f aca="false">IF($A72="","",SUMIFS($P$5:$P$1004,$N$5:$N$1004,$A72))</f>
        <v/>
      </c>
      <c r="G72" s="15" t="str">
        <f aca="false">IF($A72="","",$E72-$F72)</f>
        <v/>
      </c>
      <c r="H72" s="22" t="str">
        <f aca="false">IF($A72="","",$B72+Settings!$B$11)</f>
        <v/>
      </c>
      <c r="I72" s="19" t="str">
        <f aca="true">IF($A72="","",IF($G72&lt;=0,"Paid",IF(TODAY()&gt;$H72,"Overdue",IF($F72&gt;0,"Partial","Unpaid"))))</f>
        <v/>
      </c>
      <c r="J72" s="14" t="str">
        <f aca="true">IF($A72="","",IF(AND($G72&gt;0,TODAY()&gt;$H72),TODAY()-$H72,""))</f>
        <v/>
      </c>
      <c r="K72" s="2" t="str">
        <f aca="false">IFERROR(MATCH(ROWS($K$5:$K72),Jobs!$Q$5:$Q$504,0),"")</f>
        <v/>
      </c>
      <c r="M72" s="16"/>
      <c r="N72" s="12"/>
      <c r="O72" s="12"/>
      <c r="P72" s="13"/>
      <c r="Q72" s="19" t="str">
        <f aca="false">IF($N72="","",IFERROR(INDEX($C$5:$C$504,MATCH($N72,$A$5:$A$504,0)),"Invoice not found"))</f>
        <v/>
      </c>
    </row>
    <row r="73" customFormat="false" ht="15" hidden="false" customHeight="false" outlineLevel="0" collapsed="false">
      <c r="A73" s="19" t="str">
        <f aca="false">IF($K73="","",INDEX(Jobs!$O$5:$O$504,$K73))</f>
        <v/>
      </c>
      <c r="B73" s="22" t="str">
        <f aca="false">IF($K73="","",INDEX(Jobs!$A$5:$A$504,$K73))</f>
        <v/>
      </c>
      <c r="C73" s="19" t="str">
        <f aca="false">IF($K73="","",INDEX(Jobs!$B$5:$B$504,$K73))</f>
        <v/>
      </c>
      <c r="D73" s="19" t="str">
        <f aca="false">IF($K73="","",INDEX(Jobs!$J$5:$J$504,$K73))</f>
        <v/>
      </c>
      <c r="E73" s="15" t="str">
        <f aca="false">IF($K73="","",INDEX(Jobs!$N$5:$N$504,$K73))</f>
        <v/>
      </c>
      <c r="F73" s="15" t="str">
        <f aca="false">IF($A73="","",SUMIFS($P$5:$P$1004,$N$5:$N$1004,$A73))</f>
        <v/>
      </c>
      <c r="G73" s="15" t="str">
        <f aca="false">IF($A73="","",$E73-$F73)</f>
        <v/>
      </c>
      <c r="H73" s="22" t="str">
        <f aca="false">IF($A73="","",$B73+Settings!$B$11)</f>
        <v/>
      </c>
      <c r="I73" s="19" t="str">
        <f aca="true">IF($A73="","",IF($G73&lt;=0,"Paid",IF(TODAY()&gt;$H73,"Overdue",IF($F73&gt;0,"Partial","Unpaid"))))</f>
        <v/>
      </c>
      <c r="J73" s="14" t="str">
        <f aca="true">IF($A73="","",IF(AND($G73&gt;0,TODAY()&gt;$H73),TODAY()-$H73,""))</f>
        <v/>
      </c>
      <c r="K73" s="2" t="str">
        <f aca="false">IFERROR(MATCH(ROWS($K$5:$K73),Jobs!$Q$5:$Q$504,0),"")</f>
        <v/>
      </c>
      <c r="M73" s="16"/>
      <c r="N73" s="12"/>
      <c r="O73" s="12"/>
      <c r="P73" s="13"/>
      <c r="Q73" s="19" t="str">
        <f aca="false">IF($N73="","",IFERROR(INDEX($C$5:$C$504,MATCH($N73,$A$5:$A$504,0)),"Invoice not found"))</f>
        <v/>
      </c>
    </row>
    <row r="74" customFormat="false" ht="15" hidden="false" customHeight="false" outlineLevel="0" collapsed="false">
      <c r="A74" s="19" t="str">
        <f aca="false">IF($K74="","",INDEX(Jobs!$O$5:$O$504,$K74))</f>
        <v/>
      </c>
      <c r="B74" s="22" t="str">
        <f aca="false">IF($K74="","",INDEX(Jobs!$A$5:$A$504,$K74))</f>
        <v/>
      </c>
      <c r="C74" s="19" t="str">
        <f aca="false">IF($K74="","",INDEX(Jobs!$B$5:$B$504,$K74))</f>
        <v/>
      </c>
      <c r="D74" s="19" t="str">
        <f aca="false">IF($K74="","",INDEX(Jobs!$J$5:$J$504,$K74))</f>
        <v/>
      </c>
      <c r="E74" s="15" t="str">
        <f aca="false">IF($K74="","",INDEX(Jobs!$N$5:$N$504,$K74))</f>
        <v/>
      </c>
      <c r="F74" s="15" t="str">
        <f aca="false">IF($A74="","",SUMIFS($P$5:$P$1004,$N$5:$N$1004,$A74))</f>
        <v/>
      </c>
      <c r="G74" s="15" t="str">
        <f aca="false">IF($A74="","",$E74-$F74)</f>
        <v/>
      </c>
      <c r="H74" s="22" t="str">
        <f aca="false">IF($A74="","",$B74+Settings!$B$11)</f>
        <v/>
      </c>
      <c r="I74" s="19" t="str">
        <f aca="true">IF($A74="","",IF($G74&lt;=0,"Paid",IF(TODAY()&gt;$H74,"Overdue",IF($F74&gt;0,"Partial","Unpaid"))))</f>
        <v/>
      </c>
      <c r="J74" s="14" t="str">
        <f aca="true">IF($A74="","",IF(AND($G74&gt;0,TODAY()&gt;$H74),TODAY()-$H74,""))</f>
        <v/>
      </c>
      <c r="K74" s="2" t="str">
        <f aca="false">IFERROR(MATCH(ROWS($K$5:$K74),Jobs!$Q$5:$Q$504,0),"")</f>
        <v/>
      </c>
      <c r="M74" s="16"/>
      <c r="N74" s="12"/>
      <c r="O74" s="12"/>
      <c r="P74" s="13"/>
      <c r="Q74" s="19" t="str">
        <f aca="false">IF($N74="","",IFERROR(INDEX($C$5:$C$504,MATCH($N74,$A$5:$A$504,0)),"Invoice not found"))</f>
        <v/>
      </c>
    </row>
    <row r="75" customFormat="false" ht="15" hidden="false" customHeight="false" outlineLevel="0" collapsed="false">
      <c r="A75" s="19" t="str">
        <f aca="false">IF($K75="","",INDEX(Jobs!$O$5:$O$504,$K75))</f>
        <v/>
      </c>
      <c r="B75" s="22" t="str">
        <f aca="false">IF($K75="","",INDEX(Jobs!$A$5:$A$504,$K75))</f>
        <v/>
      </c>
      <c r="C75" s="19" t="str">
        <f aca="false">IF($K75="","",INDEX(Jobs!$B$5:$B$504,$K75))</f>
        <v/>
      </c>
      <c r="D75" s="19" t="str">
        <f aca="false">IF($K75="","",INDEX(Jobs!$J$5:$J$504,$K75))</f>
        <v/>
      </c>
      <c r="E75" s="15" t="str">
        <f aca="false">IF($K75="","",INDEX(Jobs!$N$5:$N$504,$K75))</f>
        <v/>
      </c>
      <c r="F75" s="15" t="str">
        <f aca="false">IF($A75="","",SUMIFS($P$5:$P$1004,$N$5:$N$1004,$A75))</f>
        <v/>
      </c>
      <c r="G75" s="15" t="str">
        <f aca="false">IF($A75="","",$E75-$F75)</f>
        <v/>
      </c>
      <c r="H75" s="22" t="str">
        <f aca="false">IF($A75="","",$B75+Settings!$B$11)</f>
        <v/>
      </c>
      <c r="I75" s="19" t="str">
        <f aca="true">IF($A75="","",IF($G75&lt;=0,"Paid",IF(TODAY()&gt;$H75,"Overdue",IF($F75&gt;0,"Partial","Unpaid"))))</f>
        <v/>
      </c>
      <c r="J75" s="14" t="str">
        <f aca="true">IF($A75="","",IF(AND($G75&gt;0,TODAY()&gt;$H75),TODAY()-$H75,""))</f>
        <v/>
      </c>
      <c r="K75" s="2" t="str">
        <f aca="false">IFERROR(MATCH(ROWS($K$5:$K75),Jobs!$Q$5:$Q$504,0),"")</f>
        <v/>
      </c>
      <c r="M75" s="16"/>
      <c r="N75" s="12"/>
      <c r="O75" s="12"/>
      <c r="P75" s="13"/>
      <c r="Q75" s="19" t="str">
        <f aca="false">IF($N75="","",IFERROR(INDEX($C$5:$C$504,MATCH($N75,$A$5:$A$504,0)),"Invoice not found"))</f>
        <v/>
      </c>
    </row>
    <row r="76" customFormat="false" ht="15" hidden="false" customHeight="false" outlineLevel="0" collapsed="false">
      <c r="A76" s="19" t="str">
        <f aca="false">IF($K76="","",INDEX(Jobs!$O$5:$O$504,$K76))</f>
        <v/>
      </c>
      <c r="B76" s="22" t="str">
        <f aca="false">IF($K76="","",INDEX(Jobs!$A$5:$A$504,$K76))</f>
        <v/>
      </c>
      <c r="C76" s="19" t="str">
        <f aca="false">IF($K76="","",INDEX(Jobs!$B$5:$B$504,$K76))</f>
        <v/>
      </c>
      <c r="D76" s="19" t="str">
        <f aca="false">IF($K76="","",INDEX(Jobs!$J$5:$J$504,$K76))</f>
        <v/>
      </c>
      <c r="E76" s="15" t="str">
        <f aca="false">IF($K76="","",INDEX(Jobs!$N$5:$N$504,$K76))</f>
        <v/>
      </c>
      <c r="F76" s="15" t="str">
        <f aca="false">IF($A76="","",SUMIFS($P$5:$P$1004,$N$5:$N$1004,$A76))</f>
        <v/>
      </c>
      <c r="G76" s="15" t="str">
        <f aca="false">IF($A76="","",$E76-$F76)</f>
        <v/>
      </c>
      <c r="H76" s="22" t="str">
        <f aca="false">IF($A76="","",$B76+Settings!$B$11)</f>
        <v/>
      </c>
      <c r="I76" s="19" t="str">
        <f aca="true">IF($A76="","",IF($G76&lt;=0,"Paid",IF(TODAY()&gt;$H76,"Overdue",IF($F76&gt;0,"Partial","Unpaid"))))</f>
        <v/>
      </c>
      <c r="J76" s="14" t="str">
        <f aca="true">IF($A76="","",IF(AND($G76&gt;0,TODAY()&gt;$H76),TODAY()-$H76,""))</f>
        <v/>
      </c>
      <c r="K76" s="2" t="str">
        <f aca="false">IFERROR(MATCH(ROWS($K$5:$K76),Jobs!$Q$5:$Q$504,0),"")</f>
        <v/>
      </c>
      <c r="M76" s="16"/>
      <c r="N76" s="12"/>
      <c r="O76" s="12"/>
      <c r="P76" s="13"/>
      <c r="Q76" s="19" t="str">
        <f aca="false">IF($N76="","",IFERROR(INDEX($C$5:$C$504,MATCH($N76,$A$5:$A$504,0)),"Invoice not found"))</f>
        <v/>
      </c>
    </row>
    <row r="77" customFormat="false" ht="15" hidden="false" customHeight="false" outlineLevel="0" collapsed="false">
      <c r="A77" s="19" t="str">
        <f aca="false">IF($K77="","",INDEX(Jobs!$O$5:$O$504,$K77))</f>
        <v/>
      </c>
      <c r="B77" s="22" t="str">
        <f aca="false">IF($K77="","",INDEX(Jobs!$A$5:$A$504,$K77))</f>
        <v/>
      </c>
      <c r="C77" s="19" t="str">
        <f aca="false">IF($K77="","",INDEX(Jobs!$B$5:$B$504,$K77))</f>
        <v/>
      </c>
      <c r="D77" s="19" t="str">
        <f aca="false">IF($K77="","",INDEX(Jobs!$J$5:$J$504,$K77))</f>
        <v/>
      </c>
      <c r="E77" s="15" t="str">
        <f aca="false">IF($K77="","",INDEX(Jobs!$N$5:$N$504,$K77))</f>
        <v/>
      </c>
      <c r="F77" s="15" t="str">
        <f aca="false">IF($A77="","",SUMIFS($P$5:$P$1004,$N$5:$N$1004,$A77))</f>
        <v/>
      </c>
      <c r="G77" s="15" t="str">
        <f aca="false">IF($A77="","",$E77-$F77)</f>
        <v/>
      </c>
      <c r="H77" s="22" t="str">
        <f aca="false">IF($A77="","",$B77+Settings!$B$11)</f>
        <v/>
      </c>
      <c r="I77" s="19" t="str">
        <f aca="true">IF($A77="","",IF($G77&lt;=0,"Paid",IF(TODAY()&gt;$H77,"Overdue",IF($F77&gt;0,"Partial","Unpaid"))))</f>
        <v/>
      </c>
      <c r="J77" s="14" t="str">
        <f aca="true">IF($A77="","",IF(AND($G77&gt;0,TODAY()&gt;$H77),TODAY()-$H77,""))</f>
        <v/>
      </c>
      <c r="K77" s="2" t="str">
        <f aca="false">IFERROR(MATCH(ROWS($K$5:$K77),Jobs!$Q$5:$Q$504,0),"")</f>
        <v/>
      </c>
      <c r="M77" s="16"/>
      <c r="N77" s="12"/>
      <c r="O77" s="12"/>
      <c r="P77" s="13"/>
      <c r="Q77" s="19" t="str">
        <f aca="false">IF($N77="","",IFERROR(INDEX($C$5:$C$504,MATCH($N77,$A$5:$A$504,0)),"Invoice not found"))</f>
        <v/>
      </c>
    </row>
    <row r="78" customFormat="false" ht="15" hidden="false" customHeight="false" outlineLevel="0" collapsed="false">
      <c r="A78" s="19" t="str">
        <f aca="false">IF($K78="","",INDEX(Jobs!$O$5:$O$504,$K78))</f>
        <v/>
      </c>
      <c r="B78" s="22" t="str">
        <f aca="false">IF($K78="","",INDEX(Jobs!$A$5:$A$504,$K78))</f>
        <v/>
      </c>
      <c r="C78" s="19" t="str">
        <f aca="false">IF($K78="","",INDEX(Jobs!$B$5:$B$504,$K78))</f>
        <v/>
      </c>
      <c r="D78" s="19" t="str">
        <f aca="false">IF($K78="","",INDEX(Jobs!$J$5:$J$504,$K78))</f>
        <v/>
      </c>
      <c r="E78" s="15" t="str">
        <f aca="false">IF($K78="","",INDEX(Jobs!$N$5:$N$504,$K78))</f>
        <v/>
      </c>
      <c r="F78" s="15" t="str">
        <f aca="false">IF($A78="","",SUMIFS($P$5:$P$1004,$N$5:$N$1004,$A78))</f>
        <v/>
      </c>
      <c r="G78" s="15" t="str">
        <f aca="false">IF($A78="","",$E78-$F78)</f>
        <v/>
      </c>
      <c r="H78" s="22" t="str">
        <f aca="false">IF($A78="","",$B78+Settings!$B$11)</f>
        <v/>
      </c>
      <c r="I78" s="19" t="str">
        <f aca="true">IF($A78="","",IF($G78&lt;=0,"Paid",IF(TODAY()&gt;$H78,"Overdue",IF($F78&gt;0,"Partial","Unpaid"))))</f>
        <v/>
      </c>
      <c r="J78" s="14" t="str">
        <f aca="true">IF($A78="","",IF(AND($G78&gt;0,TODAY()&gt;$H78),TODAY()-$H78,""))</f>
        <v/>
      </c>
      <c r="K78" s="2" t="str">
        <f aca="false">IFERROR(MATCH(ROWS($K$5:$K78),Jobs!$Q$5:$Q$504,0),"")</f>
        <v/>
      </c>
      <c r="M78" s="16"/>
      <c r="N78" s="12"/>
      <c r="O78" s="12"/>
      <c r="P78" s="13"/>
      <c r="Q78" s="19" t="str">
        <f aca="false">IF($N78="","",IFERROR(INDEX($C$5:$C$504,MATCH($N78,$A$5:$A$504,0)),"Invoice not found"))</f>
        <v/>
      </c>
    </row>
    <row r="79" customFormat="false" ht="15" hidden="false" customHeight="false" outlineLevel="0" collapsed="false">
      <c r="A79" s="19" t="str">
        <f aca="false">IF($K79="","",INDEX(Jobs!$O$5:$O$504,$K79))</f>
        <v/>
      </c>
      <c r="B79" s="22" t="str">
        <f aca="false">IF($K79="","",INDEX(Jobs!$A$5:$A$504,$K79))</f>
        <v/>
      </c>
      <c r="C79" s="19" t="str">
        <f aca="false">IF($K79="","",INDEX(Jobs!$B$5:$B$504,$K79))</f>
        <v/>
      </c>
      <c r="D79" s="19" t="str">
        <f aca="false">IF($K79="","",INDEX(Jobs!$J$5:$J$504,$K79))</f>
        <v/>
      </c>
      <c r="E79" s="15" t="str">
        <f aca="false">IF($K79="","",INDEX(Jobs!$N$5:$N$504,$K79))</f>
        <v/>
      </c>
      <c r="F79" s="15" t="str">
        <f aca="false">IF($A79="","",SUMIFS($P$5:$P$1004,$N$5:$N$1004,$A79))</f>
        <v/>
      </c>
      <c r="G79" s="15" t="str">
        <f aca="false">IF($A79="","",$E79-$F79)</f>
        <v/>
      </c>
      <c r="H79" s="22" t="str">
        <f aca="false">IF($A79="","",$B79+Settings!$B$11)</f>
        <v/>
      </c>
      <c r="I79" s="19" t="str">
        <f aca="true">IF($A79="","",IF($G79&lt;=0,"Paid",IF(TODAY()&gt;$H79,"Overdue",IF($F79&gt;0,"Partial","Unpaid"))))</f>
        <v/>
      </c>
      <c r="J79" s="14" t="str">
        <f aca="true">IF($A79="","",IF(AND($G79&gt;0,TODAY()&gt;$H79),TODAY()-$H79,""))</f>
        <v/>
      </c>
      <c r="K79" s="2" t="str">
        <f aca="false">IFERROR(MATCH(ROWS($K$5:$K79),Jobs!$Q$5:$Q$504,0),"")</f>
        <v/>
      </c>
      <c r="M79" s="16"/>
      <c r="N79" s="12"/>
      <c r="O79" s="12"/>
      <c r="P79" s="13"/>
      <c r="Q79" s="19" t="str">
        <f aca="false">IF($N79="","",IFERROR(INDEX($C$5:$C$504,MATCH($N79,$A$5:$A$504,0)),"Invoice not found"))</f>
        <v/>
      </c>
    </row>
    <row r="80" customFormat="false" ht="15" hidden="false" customHeight="false" outlineLevel="0" collapsed="false">
      <c r="A80" s="19" t="str">
        <f aca="false">IF($K80="","",INDEX(Jobs!$O$5:$O$504,$K80))</f>
        <v/>
      </c>
      <c r="B80" s="22" t="str">
        <f aca="false">IF($K80="","",INDEX(Jobs!$A$5:$A$504,$K80))</f>
        <v/>
      </c>
      <c r="C80" s="19" t="str">
        <f aca="false">IF($K80="","",INDEX(Jobs!$B$5:$B$504,$K80))</f>
        <v/>
      </c>
      <c r="D80" s="19" t="str">
        <f aca="false">IF($K80="","",INDEX(Jobs!$J$5:$J$504,$K80))</f>
        <v/>
      </c>
      <c r="E80" s="15" t="str">
        <f aca="false">IF($K80="","",INDEX(Jobs!$N$5:$N$504,$K80))</f>
        <v/>
      </c>
      <c r="F80" s="15" t="str">
        <f aca="false">IF($A80="","",SUMIFS($P$5:$P$1004,$N$5:$N$1004,$A80))</f>
        <v/>
      </c>
      <c r="G80" s="15" t="str">
        <f aca="false">IF($A80="","",$E80-$F80)</f>
        <v/>
      </c>
      <c r="H80" s="22" t="str">
        <f aca="false">IF($A80="","",$B80+Settings!$B$11)</f>
        <v/>
      </c>
      <c r="I80" s="19" t="str">
        <f aca="true">IF($A80="","",IF($G80&lt;=0,"Paid",IF(TODAY()&gt;$H80,"Overdue",IF($F80&gt;0,"Partial","Unpaid"))))</f>
        <v/>
      </c>
      <c r="J80" s="14" t="str">
        <f aca="true">IF($A80="","",IF(AND($G80&gt;0,TODAY()&gt;$H80),TODAY()-$H80,""))</f>
        <v/>
      </c>
      <c r="K80" s="2" t="str">
        <f aca="false">IFERROR(MATCH(ROWS($K$5:$K80),Jobs!$Q$5:$Q$504,0),"")</f>
        <v/>
      </c>
      <c r="M80" s="16"/>
      <c r="N80" s="12"/>
      <c r="O80" s="12"/>
      <c r="P80" s="13"/>
      <c r="Q80" s="19" t="str">
        <f aca="false">IF($N80="","",IFERROR(INDEX($C$5:$C$504,MATCH($N80,$A$5:$A$504,0)),"Invoice not found"))</f>
        <v/>
      </c>
    </row>
    <row r="81" customFormat="false" ht="15" hidden="false" customHeight="false" outlineLevel="0" collapsed="false">
      <c r="A81" s="19" t="str">
        <f aca="false">IF($K81="","",INDEX(Jobs!$O$5:$O$504,$K81))</f>
        <v/>
      </c>
      <c r="B81" s="22" t="str">
        <f aca="false">IF($K81="","",INDEX(Jobs!$A$5:$A$504,$K81))</f>
        <v/>
      </c>
      <c r="C81" s="19" t="str">
        <f aca="false">IF($K81="","",INDEX(Jobs!$B$5:$B$504,$K81))</f>
        <v/>
      </c>
      <c r="D81" s="19" t="str">
        <f aca="false">IF($K81="","",INDEX(Jobs!$J$5:$J$504,$K81))</f>
        <v/>
      </c>
      <c r="E81" s="15" t="str">
        <f aca="false">IF($K81="","",INDEX(Jobs!$N$5:$N$504,$K81))</f>
        <v/>
      </c>
      <c r="F81" s="15" t="str">
        <f aca="false">IF($A81="","",SUMIFS($P$5:$P$1004,$N$5:$N$1004,$A81))</f>
        <v/>
      </c>
      <c r="G81" s="15" t="str">
        <f aca="false">IF($A81="","",$E81-$F81)</f>
        <v/>
      </c>
      <c r="H81" s="22" t="str">
        <f aca="false">IF($A81="","",$B81+Settings!$B$11)</f>
        <v/>
      </c>
      <c r="I81" s="19" t="str">
        <f aca="true">IF($A81="","",IF($G81&lt;=0,"Paid",IF(TODAY()&gt;$H81,"Overdue",IF($F81&gt;0,"Partial","Unpaid"))))</f>
        <v/>
      </c>
      <c r="J81" s="14" t="str">
        <f aca="true">IF($A81="","",IF(AND($G81&gt;0,TODAY()&gt;$H81),TODAY()-$H81,""))</f>
        <v/>
      </c>
      <c r="K81" s="2" t="str">
        <f aca="false">IFERROR(MATCH(ROWS($K$5:$K81),Jobs!$Q$5:$Q$504,0),"")</f>
        <v/>
      </c>
      <c r="M81" s="16"/>
      <c r="N81" s="12"/>
      <c r="O81" s="12"/>
      <c r="P81" s="13"/>
      <c r="Q81" s="19" t="str">
        <f aca="false">IF($N81="","",IFERROR(INDEX($C$5:$C$504,MATCH($N81,$A$5:$A$504,0)),"Invoice not found"))</f>
        <v/>
      </c>
    </row>
    <row r="82" customFormat="false" ht="15" hidden="false" customHeight="false" outlineLevel="0" collapsed="false">
      <c r="A82" s="19" t="str">
        <f aca="false">IF($K82="","",INDEX(Jobs!$O$5:$O$504,$K82))</f>
        <v/>
      </c>
      <c r="B82" s="22" t="str">
        <f aca="false">IF($K82="","",INDEX(Jobs!$A$5:$A$504,$K82))</f>
        <v/>
      </c>
      <c r="C82" s="19" t="str">
        <f aca="false">IF($K82="","",INDEX(Jobs!$B$5:$B$504,$K82))</f>
        <v/>
      </c>
      <c r="D82" s="19" t="str">
        <f aca="false">IF($K82="","",INDEX(Jobs!$J$5:$J$504,$K82))</f>
        <v/>
      </c>
      <c r="E82" s="15" t="str">
        <f aca="false">IF($K82="","",INDEX(Jobs!$N$5:$N$504,$K82))</f>
        <v/>
      </c>
      <c r="F82" s="15" t="str">
        <f aca="false">IF($A82="","",SUMIFS($P$5:$P$1004,$N$5:$N$1004,$A82))</f>
        <v/>
      </c>
      <c r="G82" s="15" t="str">
        <f aca="false">IF($A82="","",$E82-$F82)</f>
        <v/>
      </c>
      <c r="H82" s="22" t="str">
        <f aca="false">IF($A82="","",$B82+Settings!$B$11)</f>
        <v/>
      </c>
      <c r="I82" s="19" t="str">
        <f aca="true">IF($A82="","",IF($G82&lt;=0,"Paid",IF(TODAY()&gt;$H82,"Overdue",IF($F82&gt;0,"Partial","Unpaid"))))</f>
        <v/>
      </c>
      <c r="J82" s="14" t="str">
        <f aca="true">IF($A82="","",IF(AND($G82&gt;0,TODAY()&gt;$H82),TODAY()-$H82,""))</f>
        <v/>
      </c>
      <c r="K82" s="2" t="str">
        <f aca="false">IFERROR(MATCH(ROWS($K$5:$K82),Jobs!$Q$5:$Q$504,0),"")</f>
        <v/>
      </c>
      <c r="M82" s="16"/>
      <c r="N82" s="12"/>
      <c r="O82" s="12"/>
      <c r="P82" s="13"/>
      <c r="Q82" s="19" t="str">
        <f aca="false">IF($N82="","",IFERROR(INDEX($C$5:$C$504,MATCH($N82,$A$5:$A$504,0)),"Invoice not found"))</f>
        <v/>
      </c>
    </row>
    <row r="83" customFormat="false" ht="15" hidden="false" customHeight="false" outlineLevel="0" collapsed="false">
      <c r="A83" s="19" t="str">
        <f aca="false">IF($K83="","",INDEX(Jobs!$O$5:$O$504,$K83))</f>
        <v/>
      </c>
      <c r="B83" s="22" t="str">
        <f aca="false">IF($K83="","",INDEX(Jobs!$A$5:$A$504,$K83))</f>
        <v/>
      </c>
      <c r="C83" s="19" t="str">
        <f aca="false">IF($K83="","",INDEX(Jobs!$B$5:$B$504,$K83))</f>
        <v/>
      </c>
      <c r="D83" s="19" t="str">
        <f aca="false">IF($K83="","",INDEX(Jobs!$J$5:$J$504,$K83))</f>
        <v/>
      </c>
      <c r="E83" s="15" t="str">
        <f aca="false">IF($K83="","",INDEX(Jobs!$N$5:$N$504,$K83))</f>
        <v/>
      </c>
      <c r="F83" s="15" t="str">
        <f aca="false">IF($A83="","",SUMIFS($P$5:$P$1004,$N$5:$N$1004,$A83))</f>
        <v/>
      </c>
      <c r="G83" s="15" t="str">
        <f aca="false">IF($A83="","",$E83-$F83)</f>
        <v/>
      </c>
      <c r="H83" s="22" t="str">
        <f aca="false">IF($A83="","",$B83+Settings!$B$11)</f>
        <v/>
      </c>
      <c r="I83" s="19" t="str">
        <f aca="true">IF($A83="","",IF($G83&lt;=0,"Paid",IF(TODAY()&gt;$H83,"Overdue",IF($F83&gt;0,"Partial","Unpaid"))))</f>
        <v/>
      </c>
      <c r="J83" s="14" t="str">
        <f aca="true">IF($A83="","",IF(AND($G83&gt;0,TODAY()&gt;$H83),TODAY()-$H83,""))</f>
        <v/>
      </c>
      <c r="K83" s="2" t="str">
        <f aca="false">IFERROR(MATCH(ROWS($K$5:$K83),Jobs!$Q$5:$Q$504,0),"")</f>
        <v/>
      </c>
      <c r="M83" s="16"/>
      <c r="N83" s="12"/>
      <c r="O83" s="12"/>
      <c r="P83" s="13"/>
      <c r="Q83" s="19" t="str">
        <f aca="false">IF($N83="","",IFERROR(INDEX($C$5:$C$504,MATCH($N83,$A$5:$A$504,0)),"Invoice not found"))</f>
        <v/>
      </c>
    </row>
    <row r="84" customFormat="false" ht="15" hidden="false" customHeight="false" outlineLevel="0" collapsed="false">
      <c r="A84" s="19" t="str">
        <f aca="false">IF($K84="","",INDEX(Jobs!$O$5:$O$504,$K84))</f>
        <v/>
      </c>
      <c r="B84" s="22" t="str">
        <f aca="false">IF($K84="","",INDEX(Jobs!$A$5:$A$504,$K84))</f>
        <v/>
      </c>
      <c r="C84" s="19" t="str">
        <f aca="false">IF($K84="","",INDEX(Jobs!$B$5:$B$504,$K84))</f>
        <v/>
      </c>
      <c r="D84" s="19" t="str">
        <f aca="false">IF($K84="","",INDEX(Jobs!$J$5:$J$504,$K84))</f>
        <v/>
      </c>
      <c r="E84" s="15" t="str">
        <f aca="false">IF($K84="","",INDEX(Jobs!$N$5:$N$504,$K84))</f>
        <v/>
      </c>
      <c r="F84" s="15" t="str">
        <f aca="false">IF($A84="","",SUMIFS($P$5:$P$1004,$N$5:$N$1004,$A84))</f>
        <v/>
      </c>
      <c r="G84" s="15" t="str">
        <f aca="false">IF($A84="","",$E84-$F84)</f>
        <v/>
      </c>
      <c r="H84" s="22" t="str">
        <f aca="false">IF($A84="","",$B84+Settings!$B$11)</f>
        <v/>
      </c>
      <c r="I84" s="19" t="str">
        <f aca="true">IF($A84="","",IF($G84&lt;=0,"Paid",IF(TODAY()&gt;$H84,"Overdue",IF($F84&gt;0,"Partial","Unpaid"))))</f>
        <v/>
      </c>
      <c r="J84" s="14" t="str">
        <f aca="true">IF($A84="","",IF(AND($G84&gt;0,TODAY()&gt;$H84),TODAY()-$H84,""))</f>
        <v/>
      </c>
      <c r="K84" s="2" t="str">
        <f aca="false">IFERROR(MATCH(ROWS($K$5:$K84),Jobs!$Q$5:$Q$504,0),"")</f>
        <v/>
      </c>
      <c r="M84" s="16"/>
      <c r="N84" s="12"/>
      <c r="O84" s="12"/>
      <c r="P84" s="13"/>
      <c r="Q84" s="19" t="str">
        <f aca="false">IF($N84="","",IFERROR(INDEX($C$5:$C$504,MATCH($N84,$A$5:$A$504,0)),"Invoice not found"))</f>
        <v/>
      </c>
    </row>
    <row r="85" customFormat="false" ht="15" hidden="false" customHeight="false" outlineLevel="0" collapsed="false">
      <c r="A85" s="19" t="str">
        <f aca="false">IF($K85="","",INDEX(Jobs!$O$5:$O$504,$K85))</f>
        <v/>
      </c>
      <c r="B85" s="22" t="str">
        <f aca="false">IF($K85="","",INDEX(Jobs!$A$5:$A$504,$K85))</f>
        <v/>
      </c>
      <c r="C85" s="19" t="str">
        <f aca="false">IF($K85="","",INDEX(Jobs!$B$5:$B$504,$K85))</f>
        <v/>
      </c>
      <c r="D85" s="19" t="str">
        <f aca="false">IF($K85="","",INDEX(Jobs!$J$5:$J$504,$K85))</f>
        <v/>
      </c>
      <c r="E85" s="15" t="str">
        <f aca="false">IF($K85="","",INDEX(Jobs!$N$5:$N$504,$K85))</f>
        <v/>
      </c>
      <c r="F85" s="15" t="str">
        <f aca="false">IF($A85="","",SUMIFS($P$5:$P$1004,$N$5:$N$1004,$A85))</f>
        <v/>
      </c>
      <c r="G85" s="15" t="str">
        <f aca="false">IF($A85="","",$E85-$F85)</f>
        <v/>
      </c>
      <c r="H85" s="22" t="str">
        <f aca="false">IF($A85="","",$B85+Settings!$B$11)</f>
        <v/>
      </c>
      <c r="I85" s="19" t="str">
        <f aca="true">IF($A85="","",IF($G85&lt;=0,"Paid",IF(TODAY()&gt;$H85,"Overdue",IF($F85&gt;0,"Partial","Unpaid"))))</f>
        <v/>
      </c>
      <c r="J85" s="14" t="str">
        <f aca="true">IF($A85="","",IF(AND($G85&gt;0,TODAY()&gt;$H85),TODAY()-$H85,""))</f>
        <v/>
      </c>
      <c r="K85" s="2" t="str">
        <f aca="false">IFERROR(MATCH(ROWS($K$5:$K85),Jobs!$Q$5:$Q$504,0),"")</f>
        <v/>
      </c>
      <c r="M85" s="16"/>
      <c r="N85" s="12"/>
      <c r="O85" s="12"/>
      <c r="P85" s="13"/>
      <c r="Q85" s="19" t="str">
        <f aca="false">IF($N85="","",IFERROR(INDEX($C$5:$C$504,MATCH($N85,$A$5:$A$504,0)),"Invoice not found"))</f>
        <v/>
      </c>
    </row>
    <row r="86" customFormat="false" ht="15" hidden="false" customHeight="false" outlineLevel="0" collapsed="false">
      <c r="A86" s="19" t="str">
        <f aca="false">IF($K86="","",INDEX(Jobs!$O$5:$O$504,$K86))</f>
        <v/>
      </c>
      <c r="B86" s="22" t="str">
        <f aca="false">IF($K86="","",INDEX(Jobs!$A$5:$A$504,$K86))</f>
        <v/>
      </c>
      <c r="C86" s="19" t="str">
        <f aca="false">IF($K86="","",INDEX(Jobs!$B$5:$B$504,$K86))</f>
        <v/>
      </c>
      <c r="D86" s="19" t="str">
        <f aca="false">IF($K86="","",INDEX(Jobs!$J$5:$J$504,$K86))</f>
        <v/>
      </c>
      <c r="E86" s="15" t="str">
        <f aca="false">IF($K86="","",INDEX(Jobs!$N$5:$N$504,$K86))</f>
        <v/>
      </c>
      <c r="F86" s="15" t="str">
        <f aca="false">IF($A86="","",SUMIFS($P$5:$P$1004,$N$5:$N$1004,$A86))</f>
        <v/>
      </c>
      <c r="G86" s="15" t="str">
        <f aca="false">IF($A86="","",$E86-$F86)</f>
        <v/>
      </c>
      <c r="H86" s="22" t="str">
        <f aca="false">IF($A86="","",$B86+Settings!$B$11)</f>
        <v/>
      </c>
      <c r="I86" s="19" t="str">
        <f aca="true">IF($A86="","",IF($G86&lt;=0,"Paid",IF(TODAY()&gt;$H86,"Overdue",IF($F86&gt;0,"Partial","Unpaid"))))</f>
        <v/>
      </c>
      <c r="J86" s="14" t="str">
        <f aca="true">IF($A86="","",IF(AND($G86&gt;0,TODAY()&gt;$H86),TODAY()-$H86,""))</f>
        <v/>
      </c>
      <c r="K86" s="2" t="str">
        <f aca="false">IFERROR(MATCH(ROWS($K$5:$K86),Jobs!$Q$5:$Q$504,0),"")</f>
        <v/>
      </c>
      <c r="M86" s="16"/>
      <c r="N86" s="12"/>
      <c r="O86" s="12"/>
      <c r="P86" s="13"/>
      <c r="Q86" s="19" t="str">
        <f aca="false">IF($N86="","",IFERROR(INDEX($C$5:$C$504,MATCH($N86,$A$5:$A$504,0)),"Invoice not found"))</f>
        <v/>
      </c>
    </row>
    <row r="87" customFormat="false" ht="15" hidden="false" customHeight="false" outlineLevel="0" collapsed="false">
      <c r="A87" s="19" t="str">
        <f aca="false">IF($K87="","",INDEX(Jobs!$O$5:$O$504,$K87))</f>
        <v/>
      </c>
      <c r="B87" s="22" t="str">
        <f aca="false">IF($K87="","",INDEX(Jobs!$A$5:$A$504,$K87))</f>
        <v/>
      </c>
      <c r="C87" s="19" t="str">
        <f aca="false">IF($K87="","",INDEX(Jobs!$B$5:$B$504,$K87))</f>
        <v/>
      </c>
      <c r="D87" s="19" t="str">
        <f aca="false">IF($K87="","",INDEX(Jobs!$J$5:$J$504,$K87))</f>
        <v/>
      </c>
      <c r="E87" s="15" t="str">
        <f aca="false">IF($K87="","",INDEX(Jobs!$N$5:$N$504,$K87))</f>
        <v/>
      </c>
      <c r="F87" s="15" t="str">
        <f aca="false">IF($A87="","",SUMIFS($P$5:$P$1004,$N$5:$N$1004,$A87))</f>
        <v/>
      </c>
      <c r="G87" s="15" t="str">
        <f aca="false">IF($A87="","",$E87-$F87)</f>
        <v/>
      </c>
      <c r="H87" s="22" t="str">
        <f aca="false">IF($A87="","",$B87+Settings!$B$11)</f>
        <v/>
      </c>
      <c r="I87" s="19" t="str">
        <f aca="true">IF($A87="","",IF($G87&lt;=0,"Paid",IF(TODAY()&gt;$H87,"Overdue",IF($F87&gt;0,"Partial","Unpaid"))))</f>
        <v/>
      </c>
      <c r="J87" s="14" t="str">
        <f aca="true">IF($A87="","",IF(AND($G87&gt;0,TODAY()&gt;$H87),TODAY()-$H87,""))</f>
        <v/>
      </c>
      <c r="K87" s="2" t="str">
        <f aca="false">IFERROR(MATCH(ROWS($K$5:$K87),Jobs!$Q$5:$Q$504,0),"")</f>
        <v/>
      </c>
      <c r="M87" s="16"/>
      <c r="N87" s="12"/>
      <c r="O87" s="12"/>
      <c r="P87" s="13"/>
      <c r="Q87" s="19" t="str">
        <f aca="false">IF($N87="","",IFERROR(INDEX($C$5:$C$504,MATCH($N87,$A$5:$A$504,0)),"Invoice not found"))</f>
        <v/>
      </c>
    </row>
    <row r="88" customFormat="false" ht="15" hidden="false" customHeight="false" outlineLevel="0" collapsed="false">
      <c r="A88" s="19" t="str">
        <f aca="false">IF($K88="","",INDEX(Jobs!$O$5:$O$504,$K88))</f>
        <v/>
      </c>
      <c r="B88" s="22" t="str">
        <f aca="false">IF($K88="","",INDEX(Jobs!$A$5:$A$504,$K88))</f>
        <v/>
      </c>
      <c r="C88" s="19" t="str">
        <f aca="false">IF($K88="","",INDEX(Jobs!$B$5:$B$504,$K88))</f>
        <v/>
      </c>
      <c r="D88" s="19" t="str">
        <f aca="false">IF($K88="","",INDEX(Jobs!$J$5:$J$504,$K88))</f>
        <v/>
      </c>
      <c r="E88" s="15" t="str">
        <f aca="false">IF($K88="","",INDEX(Jobs!$N$5:$N$504,$K88))</f>
        <v/>
      </c>
      <c r="F88" s="15" t="str">
        <f aca="false">IF($A88="","",SUMIFS($P$5:$P$1004,$N$5:$N$1004,$A88))</f>
        <v/>
      </c>
      <c r="G88" s="15" t="str">
        <f aca="false">IF($A88="","",$E88-$F88)</f>
        <v/>
      </c>
      <c r="H88" s="22" t="str">
        <f aca="false">IF($A88="","",$B88+Settings!$B$11)</f>
        <v/>
      </c>
      <c r="I88" s="19" t="str">
        <f aca="true">IF($A88="","",IF($G88&lt;=0,"Paid",IF(TODAY()&gt;$H88,"Overdue",IF($F88&gt;0,"Partial","Unpaid"))))</f>
        <v/>
      </c>
      <c r="J88" s="14" t="str">
        <f aca="true">IF($A88="","",IF(AND($G88&gt;0,TODAY()&gt;$H88),TODAY()-$H88,""))</f>
        <v/>
      </c>
      <c r="K88" s="2" t="str">
        <f aca="false">IFERROR(MATCH(ROWS($K$5:$K88),Jobs!$Q$5:$Q$504,0),"")</f>
        <v/>
      </c>
      <c r="M88" s="16"/>
      <c r="N88" s="12"/>
      <c r="O88" s="12"/>
      <c r="P88" s="13"/>
      <c r="Q88" s="19" t="str">
        <f aca="false">IF($N88="","",IFERROR(INDEX($C$5:$C$504,MATCH($N88,$A$5:$A$504,0)),"Invoice not found"))</f>
        <v/>
      </c>
    </row>
    <row r="89" customFormat="false" ht="15" hidden="false" customHeight="false" outlineLevel="0" collapsed="false">
      <c r="A89" s="19" t="str">
        <f aca="false">IF($K89="","",INDEX(Jobs!$O$5:$O$504,$K89))</f>
        <v/>
      </c>
      <c r="B89" s="22" t="str">
        <f aca="false">IF($K89="","",INDEX(Jobs!$A$5:$A$504,$K89))</f>
        <v/>
      </c>
      <c r="C89" s="19" t="str">
        <f aca="false">IF($K89="","",INDEX(Jobs!$B$5:$B$504,$K89))</f>
        <v/>
      </c>
      <c r="D89" s="19" t="str">
        <f aca="false">IF($K89="","",INDEX(Jobs!$J$5:$J$504,$K89))</f>
        <v/>
      </c>
      <c r="E89" s="15" t="str">
        <f aca="false">IF($K89="","",INDEX(Jobs!$N$5:$N$504,$K89))</f>
        <v/>
      </c>
      <c r="F89" s="15" t="str">
        <f aca="false">IF($A89="","",SUMIFS($P$5:$P$1004,$N$5:$N$1004,$A89))</f>
        <v/>
      </c>
      <c r="G89" s="15" t="str">
        <f aca="false">IF($A89="","",$E89-$F89)</f>
        <v/>
      </c>
      <c r="H89" s="22" t="str">
        <f aca="false">IF($A89="","",$B89+Settings!$B$11)</f>
        <v/>
      </c>
      <c r="I89" s="19" t="str">
        <f aca="true">IF($A89="","",IF($G89&lt;=0,"Paid",IF(TODAY()&gt;$H89,"Overdue",IF($F89&gt;0,"Partial","Unpaid"))))</f>
        <v/>
      </c>
      <c r="J89" s="14" t="str">
        <f aca="true">IF($A89="","",IF(AND($G89&gt;0,TODAY()&gt;$H89),TODAY()-$H89,""))</f>
        <v/>
      </c>
      <c r="K89" s="2" t="str">
        <f aca="false">IFERROR(MATCH(ROWS($K$5:$K89),Jobs!$Q$5:$Q$504,0),"")</f>
        <v/>
      </c>
      <c r="M89" s="16"/>
      <c r="N89" s="12"/>
      <c r="O89" s="12"/>
      <c r="P89" s="13"/>
      <c r="Q89" s="19" t="str">
        <f aca="false">IF($N89="","",IFERROR(INDEX($C$5:$C$504,MATCH($N89,$A$5:$A$504,0)),"Invoice not found"))</f>
        <v/>
      </c>
    </row>
    <row r="90" customFormat="false" ht="15" hidden="false" customHeight="false" outlineLevel="0" collapsed="false">
      <c r="A90" s="19" t="str">
        <f aca="false">IF($K90="","",INDEX(Jobs!$O$5:$O$504,$K90))</f>
        <v/>
      </c>
      <c r="B90" s="22" t="str">
        <f aca="false">IF($K90="","",INDEX(Jobs!$A$5:$A$504,$K90))</f>
        <v/>
      </c>
      <c r="C90" s="19" t="str">
        <f aca="false">IF($K90="","",INDEX(Jobs!$B$5:$B$504,$K90))</f>
        <v/>
      </c>
      <c r="D90" s="19" t="str">
        <f aca="false">IF($K90="","",INDEX(Jobs!$J$5:$J$504,$K90))</f>
        <v/>
      </c>
      <c r="E90" s="15" t="str">
        <f aca="false">IF($K90="","",INDEX(Jobs!$N$5:$N$504,$K90))</f>
        <v/>
      </c>
      <c r="F90" s="15" t="str">
        <f aca="false">IF($A90="","",SUMIFS($P$5:$P$1004,$N$5:$N$1004,$A90))</f>
        <v/>
      </c>
      <c r="G90" s="15" t="str">
        <f aca="false">IF($A90="","",$E90-$F90)</f>
        <v/>
      </c>
      <c r="H90" s="22" t="str">
        <f aca="false">IF($A90="","",$B90+Settings!$B$11)</f>
        <v/>
      </c>
      <c r="I90" s="19" t="str">
        <f aca="true">IF($A90="","",IF($G90&lt;=0,"Paid",IF(TODAY()&gt;$H90,"Overdue",IF($F90&gt;0,"Partial","Unpaid"))))</f>
        <v/>
      </c>
      <c r="J90" s="14" t="str">
        <f aca="true">IF($A90="","",IF(AND($G90&gt;0,TODAY()&gt;$H90),TODAY()-$H90,""))</f>
        <v/>
      </c>
      <c r="K90" s="2" t="str">
        <f aca="false">IFERROR(MATCH(ROWS($K$5:$K90),Jobs!$Q$5:$Q$504,0),"")</f>
        <v/>
      </c>
      <c r="M90" s="16"/>
      <c r="N90" s="12"/>
      <c r="O90" s="12"/>
      <c r="P90" s="13"/>
      <c r="Q90" s="19" t="str">
        <f aca="false">IF($N90="","",IFERROR(INDEX($C$5:$C$504,MATCH($N90,$A$5:$A$504,0)),"Invoice not found"))</f>
        <v/>
      </c>
    </row>
    <row r="91" customFormat="false" ht="15" hidden="false" customHeight="false" outlineLevel="0" collapsed="false">
      <c r="A91" s="19" t="str">
        <f aca="false">IF($K91="","",INDEX(Jobs!$O$5:$O$504,$K91))</f>
        <v/>
      </c>
      <c r="B91" s="22" t="str">
        <f aca="false">IF($K91="","",INDEX(Jobs!$A$5:$A$504,$K91))</f>
        <v/>
      </c>
      <c r="C91" s="19" t="str">
        <f aca="false">IF($K91="","",INDEX(Jobs!$B$5:$B$504,$K91))</f>
        <v/>
      </c>
      <c r="D91" s="19" t="str">
        <f aca="false">IF($K91="","",INDEX(Jobs!$J$5:$J$504,$K91))</f>
        <v/>
      </c>
      <c r="E91" s="15" t="str">
        <f aca="false">IF($K91="","",INDEX(Jobs!$N$5:$N$504,$K91))</f>
        <v/>
      </c>
      <c r="F91" s="15" t="str">
        <f aca="false">IF($A91="","",SUMIFS($P$5:$P$1004,$N$5:$N$1004,$A91))</f>
        <v/>
      </c>
      <c r="G91" s="15" t="str">
        <f aca="false">IF($A91="","",$E91-$F91)</f>
        <v/>
      </c>
      <c r="H91" s="22" t="str">
        <f aca="false">IF($A91="","",$B91+Settings!$B$11)</f>
        <v/>
      </c>
      <c r="I91" s="19" t="str">
        <f aca="true">IF($A91="","",IF($G91&lt;=0,"Paid",IF(TODAY()&gt;$H91,"Overdue",IF($F91&gt;0,"Partial","Unpaid"))))</f>
        <v/>
      </c>
      <c r="J91" s="14" t="str">
        <f aca="true">IF($A91="","",IF(AND($G91&gt;0,TODAY()&gt;$H91),TODAY()-$H91,""))</f>
        <v/>
      </c>
      <c r="K91" s="2" t="str">
        <f aca="false">IFERROR(MATCH(ROWS($K$5:$K91),Jobs!$Q$5:$Q$504,0),"")</f>
        <v/>
      </c>
      <c r="M91" s="16"/>
      <c r="N91" s="12"/>
      <c r="O91" s="12"/>
      <c r="P91" s="13"/>
      <c r="Q91" s="19" t="str">
        <f aca="false">IF($N91="","",IFERROR(INDEX($C$5:$C$504,MATCH($N91,$A$5:$A$504,0)),"Invoice not found"))</f>
        <v/>
      </c>
    </row>
    <row r="92" customFormat="false" ht="15" hidden="false" customHeight="false" outlineLevel="0" collapsed="false">
      <c r="A92" s="19" t="str">
        <f aca="false">IF($K92="","",INDEX(Jobs!$O$5:$O$504,$K92))</f>
        <v/>
      </c>
      <c r="B92" s="22" t="str">
        <f aca="false">IF($K92="","",INDEX(Jobs!$A$5:$A$504,$K92))</f>
        <v/>
      </c>
      <c r="C92" s="19" t="str">
        <f aca="false">IF($K92="","",INDEX(Jobs!$B$5:$B$504,$K92))</f>
        <v/>
      </c>
      <c r="D92" s="19" t="str">
        <f aca="false">IF($K92="","",INDEX(Jobs!$J$5:$J$504,$K92))</f>
        <v/>
      </c>
      <c r="E92" s="15" t="str">
        <f aca="false">IF($K92="","",INDEX(Jobs!$N$5:$N$504,$K92))</f>
        <v/>
      </c>
      <c r="F92" s="15" t="str">
        <f aca="false">IF($A92="","",SUMIFS($P$5:$P$1004,$N$5:$N$1004,$A92))</f>
        <v/>
      </c>
      <c r="G92" s="15" t="str">
        <f aca="false">IF($A92="","",$E92-$F92)</f>
        <v/>
      </c>
      <c r="H92" s="22" t="str">
        <f aca="false">IF($A92="","",$B92+Settings!$B$11)</f>
        <v/>
      </c>
      <c r="I92" s="19" t="str">
        <f aca="true">IF($A92="","",IF($G92&lt;=0,"Paid",IF(TODAY()&gt;$H92,"Overdue",IF($F92&gt;0,"Partial","Unpaid"))))</f>
        <v/>
      </c>
      <c r="J92" s="14" t="str">
        <f aca="true">IF($A92="","",IF(AND($G92&gt;0,TODAY()&gt;$H92),TODAY()-$H92,""))</f>
        <v/>
      </c>
      <c r="K92" s="2" t="str">
        <f aca="false">IFERROR(MATCH(ROWS($K$5:$K92),Jobs!$Q$5:$Q$504,0),"")</f>
        <v/>
      </c>
      <c r="M92" s="16"/>
      <c r="N92" s="12"/>
      <c r="O92" s="12"/>
      <c r="P92" s="13"/>
      <c r="Q92" s="19" t="str">
        <f aca="false">IF($N92="","",IFERROR(INDEX($C$5:$C$504,MATCH($N92,$A$5:$A$504,0)),"Invoice not found"))</f>
        <v/>
      </c>
    </row>
    <row r="93" customFormat="false" ht="15" hidden="false" customHeight="false" outlineLevel="0" collapsed="false">
      <c r="A93" s="19" t="str">
        <f aca="false">IF($K93="","",INDEX(Jobs!$O$5:$O$504,$K93))</f>
        <v/>
      </c>
      <c r="B93" s="22" t="str">
        <f aca="false">IF($K93="","",INDEX(Jobs!$A$5:$A$504,$K93))</f>
        <v/>
      </c>
      <c r="C93" s="19" t="str">
        <f aca="false">IF($K93="","",INDEX(Jobs!$B$5:$B$504,$K93))</f>
        <v/>
      </c>
      <c r="D93" s="19" t="str">
        <f aca="false">IF($K93="","",INDEX(Jobs!$J$5:$J$504,$K93))</f>
        <v/>
      </c>
      <c r="E93" s="15" t="str">
        <f aca="false">IF($K93="","",INDEX(Jobs!$N$5:$N$504,$K93))</f>
        <v/>
      </c>
      <c r="F93" s="15" t="str">
        <f aca="false">IF($A93="","",SUMIFS($P$5:$P$1004,$N$5:$N$1004,$A93))</f>
        <v/>
      </c>
      <c r="G93" s="15" t="str">
        <f aca="false">IF($A93="","",$E93-$F93)</f>
        <v/>
      </c>
      <c r="H93" s="22" t="str">
        <f aca="false">IF($A93="","",$B93+Settings!$B$11)</f>
        <v/>
      </c>
      <c r="I93" s="19" t="str">
        <f aca="true">IF($A93="","",IF($G93&lt;=0,"Paid",IF(TODAY()&gt;$H93,"Overdue",IF($F93&gt;0,"Partial","Unpaid"))))</f>
        <v/>
      </c>
      <c r="J93" s="14" t="str">
        <f aca="true">IF($A93="","",IF(AND($G93&gt;0,TODAY()&gt;$H93),TODAY()-$H93,""))</f>
        <v/>
      </c>
      <c r="K93" s="2" t="str">
        <f aca="false">IFERROR(MATCH(ROWS($K$5:$K93),Jobs!$Q$5:$Q$504,0),"")</f>
        <v/>
      </c>
      <c r="M93" s="16"/>
      <c r="N93" s="12"/>
      <c r="O93" s="12"/>
      <c r="P93" s="13"/>
      <c r="Q93" s="19" t="str">
        <f aca="false">IF($N93="","",IFERROR(INDEX($C$5:$C$504,MATCH($N93,$A$5:$A$504,0)),"Invoice not found"))</f>
        <v/>
      </c>
    </row>
    <row r="94" customFormat="false" ht="15" hidden="false" customHeight="false" outlineLevel="0" collapsed="false">
      <c r="A94" s="19" t="str">
        <f aca="false">IF($K94="","",INDEX(Jobs!$O$5:$O$504,$K94))</f>
        <v/>
      </c>
      <c r="B94" s="22" t="str">
        <f aca="false">IF($K94="","",INDEX(Jobs!$A$5:$A$504,$K94))</f>
        <v/>
      </c>
      <c r="C94" s="19" t="str">
        <f aca="false">IF($K94="","",INDEX(Jobs!$B$5:$B$504,$K94))</f>
        <v/>
      </c>
      <c r="D94" s="19" t="str">
        <f aca="false">IF($K94="","",INDEX(Jobs!$J$5:$J$504,$K94))</f>
        <v/>
      </c>
      <c r="E94" s="15" t="str">
        <f aca="false">IF($K94="","",INDEX(Jobs!$N$5:$N$504,$K94))</f>
        <v/>
      </c>
      <c r="F94" s="15" t="str">
        <f aca="false">IF($A94="","",SUMIFS($P$5:$P$1004,$N$5:$N$1004,$A94))</f>
        <v/>
      </c>
      <c r="G94" s="15" t="str">
        <f aca="false">IF($A94="","",$E94-$F94)</f>
        <v/>
      </c>
      <c r="H94" s="22" t="str">
        <f aca="false">IF($A94="","",$B94+Settings!$B$11)</f>
        <v/>
      </c>
      <c r="I94" s="19" t="str">
        <f aca="true">IF($A94="","",IF($G94&lt;=0,"Paid",IF(TODAY()&gt;$H94,"Overdue",IF($F94&gt;0,"Partial","Unpaid"))))</f>
        <v/>
      </c>
      <c r="J94" s="14" t="str">
        <f aca="true">IF($A94="","",IF(AND($G94&gt;0,TODAY()&gt;$H94),TODAY()-$H94,""))</f>
        <v/>
      </c>
      <c r="K94" s="2" t="str">
        <f aca="false">IFERROR(MATCH(ROWS($K$5:$K94),Jobs!$Q$5:$Q$504,0),"")</f>
        <v/>
      </c>
      <c r="M94" s="16"/>
      <c r="N94" s="12"/>
      <c r="O94" s="12"/>
      <c r="P94" s="13"/>
      <c r="Q94" s="19" t="str">
        <f aca="false">IF($N94="","",IFERROR(INDEX($C$5:$C$504,MATCH($N94,$A$5:$A$504,0)),"Invoice not found"))</f>
        <v/>
      </c>
    </row>
    <row r="95" customFormat="false" ht="15" hidden="false" customHeight="false" outlineLevel="0" collapsed="false">
      <c r="A95" s="19" t="str">
        <f aca="false">IF($K95="","",INDEX(Jobs!$O$5:$O$504,$K95))</f>
        <v/>
      </c>
      <c r="B95" s="22" t="str">
        <f aca="false">IF($K95="","",INDEX(Jobs!$A$5:$A$504,$K95))</f>
        <v/>
      </c>
      <c r="C95" s="19" t="str">
        <f aca="false">IF($K95="","",INDEX(Jobs!$B$5:$B$504,$K95))</f>
        <v/>
      </c>
      <c r="D95" s="19" t="str">
        <f aca="false">IF($K95="","",INDEX(Jobs!$J$5:$J$504,$K95))</f>
        <v/>
      </c>
      <c r="E95" s="15" t="str">
        <f aca="false">IF($K95="","",INDEX(Jobs!$N$5:$N$504,$K95))</f>
        <v/>
      </c>
      <c r="F95" s="15" t="str">
        <f aca="false">IF($A95="","",SUMIFS($P$5:$P$1004,$N$5:$N$1004,$A95))</f>
        <v/>
      </c>
      <c r="G95" s="15" t="str">
        <f aca="false">IF($A95="","",$E95-$F95)</f>
        <v/>
      </c>
      <c r="H95" s="22" t="str">
        <f aca="false">IF($A95="","",$B95+Settings!$B$11)</f>
        <v/>
      </c>
      <c r="I95" s="19" t="str">
        <f aca="true">IF($A95="","",IF($G95&lt;=0,"Paid",IF(TODAY()&gt;$H95,"Overdue",IF($F95&gt;0,"Partial","Unpaid"))))</f>
        <v/>
      </c>
      <c r="J95" s="14" t="str">
        <f aca="true">IF($A95="","",IF(AND($G95&gt;0,TODAY()&gt;$H95),TODAY()-$H95,""))</f>
        <v/>
      </c>
      <c r="K95" s="2" t="str">
        <f aca="false">IFERROR(MATCH(ROWS($K$5:$K95),Jobs!$Q$5:$Q$504,0),"")</f>
        <v/>
      </c>
      <c r="M95" s="16"/>
      <c r="N95" s="12"/>
      <c r="O95" s="12"/>
      <c r="P95" s="13"/>
      <c r="Q95" s="19" t="str">
        <f aca="false">IF($N95="","",IFERROR(INDEX($C$5:$C$504,MATCH($N95,$A$5:$A$504,0)),"Invoice not found"))</f>
        <v/>
      </c>
    </row>
    <row r="96" customFormat="false" ht="15" hidden="false" customHeight="false" outlineLevel="0" collapsed="false">
      <c r="A96" s="19" t="str">
        <f aca="false">IF($K96="","",INDEX(Jobs!$O$5:$O$504,$K96))</f>
        <v/>
      </c>
      <c r="B96" s="22" t="str">
        <f aca="false">IF($K96="","",INDEX(Jobs!$A$5:$A$504,$K96))</f>
        <v/>
      </c>
      <c r="C96" s="19" t="str">
        <f aca="false">IF($K96="","",INDEX(Jobs!$B$5:$B$504,$K96))</f>
        <v/>
      </c>
      <c r="D96" s="19" t="str">
        <f aca="false">IF($K96="","",INDEX(Jobs!$J$5:$J$504,$K96))</f>
        <v/>
      </c>
      <c r="E96" s="15" t="str">
        <f aca="false">IF($K96="","",INDEX(Jobs!$N$5:$N$504,$K96))</f>
        <v/>
      </c>
      <c r="F96" s="15" t="str">
        <f aca="false">IF($A96="","",SUMIFS($P$5:$P$1004,$N$5:$N$1004,$A96))</f>
        <v/>
      </c>
      <c r="G96" s="15" t="str">
        <f aca="false">IF($A96="","",$E96-$F96)</f>
        <v/>
      </c>
      <c r="H96" s="22" t="str">
        <f aca="false">IF($A96="","",$B96+Settings!$B$11)</f>
        <v/>
      </c>
      <c r="I96" s="19" t="str">
        <f aca="true">IF($A96="","",IF($G96&lt;=0,"Paid",IF(TODAY()&gt;$H96,"Overdue",IF($F96&gt;0,"Partial","Unpaid"))))</f>
        <v/>
      </c>
      <c r="J96" s="14" t="str">
        <f aca="true">IF($A96="","",IF(AND($G96&gt;0,TODAY()&gt;$H96),TODAY()-$H96,""))</f>
        <v/>
      </c>
      <c r="K96" s="2" t="str">
        <f aca="false">IFERROR(MATCH(ROWS($K$5:$K96),Jobs!$Q$5:$Q$504,0),"")</f>
        <v/>
      </c>
      <c r="M96" s="16"/>
      <c r="N96" s="12"/>
      <c r="O96" s="12"/>
      <c r="P96" s="13"/>
      <c r="Q96" s="19" t="str">
        <f aca="false">IF($N96="","",IFERROR(INDEX($C$5:$C$504,MATCH($N96,$A$5:$A$504,0)),"Invoice not found"))</f>
        <v/>
      </c>
    </row>
    <row r="97" customFormat="false" ht="15" hidden="false" customHeight="false" outlineLevel="0" collapsed="false">
      <c r="A97" s="19" t="str">
        <f aca="false">IF($K97="","",INDEX(Jobs!$O$5:$O$504,$K97))</f>
        <v/>
      </c>
      <c r="B97" s="22" t="str">
        <f aca="false">IF($K97="","",INDEX(Jobs!$A$5:$A$504,$K97))</f>
        <v/>
      </c>
      <c r="C97" s="19" t="str">
        <f aca="false">IF($K97="","",INDEX(Jobs!$B$5:$B$504,$K97))</f>
        <v/>
      </c>
      <c r="D97" s="19" t="str">
        <f aca="false">IF($K97="","",INDEX(Jobs!$J$5:$J$504,$K97))</f>
        <v/>
      </c>
      <c r="E97" s="15" t="str">
        <f aca="false">IF($K97="","",INDEX(Jobs!$N$5:$N$504,$K97))</f>
        <v/>
      </c>
      <c r="F97" s="15" t="str">
        <f aca="false">IF($A97="","",SUMIFS($P$5:$P$1004,$N$5:$N$1004,$A97))</f>
        <v/>
      </c>
      <c r="G97" s="15" t="str">
        <f aca="false">IF($A97="","",$E97-$F97)</f>
        <v/>
      </c>
      <c r="H97" s="22" t="str">
        <f aca="false">IF($A97="","",$B97+Settings!$B$11)</f>
        <v/>
      </c>
      <c r="I97" s="19" t="str">
        <f aca="true">IF($A97="","",IF($G97&lt;=0,"Paid",IF(TODAY()&gt;$H97,"Overdue",IF($F97&gt;0,"Partial","Unpaid"))))</f>
        <v/>
      </c>
      <c r="J97" s="14" t="str">
        <f aca="true">IF($A97="","",IF(AND($G97&gt;0,TODAY()&gt;$H97),TODAY()-$H97,""))</f>
        <v/>
      </c>
      <c r="K97" s="2" t="str">
        <f aca="false">IFERROR(MATCH(ROWS($K$5:$K97),Jobs!$Q$5:$Q$504,0),"")</f>
        <v/>
      </c>
      <c r="M97" s="16"/>
      <c r="N97" s="12"/>
      <c r="O97" s="12"/>
      <c r="P97" s="13"/>
      <c r="Q97" s="19" t="str">
        <f aca="false">IF($N97="","",IFERROR(INDEX($C$5:$C$504,MATCH($N97,$A$5:$A$504,0)),"Invoice not found"))</f>
        <v/>
      </c>
    </row>
    <row r="98" customFormat="false" ht="15" hidden="false" customHeight="false" outlineLevel="0" collapsed="false">
      <c r="A98" s="19" t="str">
        <f aca="false">IF($K98="","",INDEX(Jobs!$O$5:$O$504,$K98))</f>
        <v/>
      </c>
      <c r="B98" s="22" t="str">
        <f aca="false">IF($K98="","",INDEX(Jobs!$A$5:$A$504,$K98))</f>
        <v/>
      </c>
      <c r="C98" s="19" t="str">
        <f aca="false">IF($K98="","",INDEX(Jobs!$B$5:$B$504,$K98))</f>
        <v/>
      </c>
      <c r="D98" s="19" t="str">
        <f aca="false">IF($K98="","",INDEX(Jobs!$J$5:$J$504,$K98))</f>
        <v/>
      </c>
      <c r="E98" s="15" t="str">
        <f aca="false">IF($K98="","",INDEX(Jobs!$N$5:$N$504,$K98))</f>
        <v/>
      </c>
      <c r="F98" s="15" t="str">
        <f aca="false">IF($A98="","",SUMIFS($P$5:$P$1004,$N$5:$N$1004,$A98))</f>
        <v/>
      </c>
      <c r="G98" s="15" t="str">
        <f aca="false">IF($A98="","",$E98-$F98)</f>
        <v/>
      </c>
      <c r="H98" s="22" t="str">
        <f aca="false">IF($A98="","",$B98+Settings!$B$11)</f>
        <v/>
      </c>
      <c r="I98" s="19" t="str">
        <f aca="true">IF($A98="","",IF($G98&lt;=0,"Paid",IF(TODAY()&gt;$H98,"Overdue",IF($F98&gt;0,"Partial","Unpaid"))))</f>
        <v/>
      </c>
      <c r="J98" s="14" t="str">
        <f aca="true">IF($A98="","",IF(AND($G98&gt;0,TODAY()&gt;$H98),TODAY()-$H98,""))</f>
        <v/>
      </c>
      <c r="K98" s="2" t="str">
        <f aca="false">IFERROR(MATCH(ROWS($K$5:$K98),Jobs!$Q$5:$Q$504,0),"")</f>
        <v/>
      </c>
      <c r="M98" s="16"/>
      <c r="N98" s="12"/>
      <c r="O98" s="12"/>
      <c r="P98" s="13"/>
      <c r="Q98" s="19" t="str">
        <f aca="false">IF($N98="","",IFERROR(INDEX($C$5:$C$504,MATCH($N98,$A$5:$A$504,0)),"Invoice not found"))</f>
        <v/>
      </c>
    </row>
    <row r="99" customFormat="false" ht="15" hidden="false" customHeight="false" outlineLevel="0" collapsed="false">
      <c r="A99" s="19" t="str">
        <f aca="false">IF($K99="","",INDEX(Jobs!$O$5:$O$504,$K99))</f>
        <v/>
      </c>
      <c r="B99" s="22" t="str">
        <f aca="false">IF($K99="","",INDEX(Jobs!$A$5:$A$504,$K99))</f>
        <v/>
      </c>
      <c r="C99" s="19" t="str">
        <f aca="false">IF($K99="","",INDEX(Jobs!$B$5:$B$504,$K99))</f>
        <v/>
      </c>
      <c r="D99" s="19" t="str">
        <f aca="false">IF($K99="","",INDEX(Jobs!$J$5:$J$504,$K99))</f>
        <v/>
      </c>
      <c r="E99" s="15" t="str">
        <f aca="false">IF($K99="","",INDEX(Jobs!$N$5:$N$504,$K99))</f>
        <v/>
      </c>
      <c r="F99" s="15" t="str">
        <f aca="false">IF($A99="","",SUMIFS($P$5:$P$1004,$N$5:$N$1004,$A99))</f>
        <v/>
      </c>
      <c r="G99" s="15" t="str">
        <f aca="false">IF($A99="","",$E99-$F99)</f>
        <v/>
      </c>
      <c r="H99" s="22" t="str">
        <f aca="false">IF($A99="","",$B99+Settings!$B$11)</f>
        <v/>
      </c>
      <c r="I99" s="19" t="str">
        <f aca="true">IF($A99="","",IF($G99&lt;=0,"Paid",IF(TODAY()&gt;$H99,"Overdue",IF($F99&gt;0,"Partial","Unpaid"))))</f>
        <v/>
      </c>
      <c r="J99" s="14" t="str">
        <f aca="true">IF($A99="","",IF(AND($G99&gt;0,TODAY()&gt;$H99),TODAY()-$H99,""))</f>
        <v/>
      </c>
      <c r="K99" s="2" t="str">
        <f aca="false">IFERROR(MATCH(ROWS($K$5:$K99),Jobs!$Q$5:$Q$504,0),"")</f>
        <v/>
      </c>
      <c r="M99" s="16"/>
      <c r="N99" s="12"/>
      <c r="O99" s="12"/>
      <c r="P99" s="13"/>
      <c r="Q99" s="19" t="str">
        <f aca="false">IF($N99="","",IFERROR(INDEX($C$5:$C$504,MATCH($N99,$A$5:$A$504,0)),"Invoice not found"))</f>
        <v/>
      </c>
    </row>
    <row r="100" customFormat="false" ht="15" hidden="false" customHeight="false" outlineLevel="0" collapsed="false">
      <c r="A100" s="19" t="str">
        <f aca="false">IF($K100="","",INDEX(Jobs!$O$5:$O$504,$K100))</f>
        <v/>
      </c>
      <c r="B100" s="22" t="str">
        <f aca="false">IF($K100="","",INDEX(Jobs!$A$5:$A$504,$K100))</f>
        <v/>
      </c>
      <c r="C100" s="19" t="str">
        <f aca="false">IF($K100="","",INDEX(Jobs!$B$5:$B$504,$K100))</f>
        <v/>
      </c>
      <c r="D100" s="19" t="str">
        <f aca="false">IF($K100="","",INDEX(Jobs!$J$5:$J$504,$K100))</f>
        <v/>
      </c>
      <c r="E100" s="15" t="str">
        <f aca="false">IF($K100="","",INDEX(Jobs!$N$5:$N$504,$K100))</f>
        <v/>
      </c>
      <c r="F100" s="15" t="str">
        <f aca="false">IF($A100="","",SUMIFS($P$5:$P$1004,$N$5:$N$1004,$A100))</f>
        <v/>
      </c>
      <c r="G100" s="15" t="str">
        <f aca="false">IF($A100="","",$E100-$F100)</f>
        <v/>
      </c>
      <c r="H100" s="22" t="str">
        <f aca="false">IF($A100="","",$B100+Settings!$B$11)</f>
        <v/>
      </c>
      <c r="I100" s="19" t="str">
        <f aca="true">IF($A100="","",IF($G100&lt;=0,"Paid",IF(TODAY()&gt;$H100,"Overdue",IF($F100&gt;0,"Partial","Unpaid"))))</f>
        <v/>
      </c>
      <c r="J100" s="14" t="str">
        <f aca="true">IF($A100="","",IF(AND($G100&gt;0,TODAY()&gt;$H100),TODAY()-$H100,""))</f>
        <v/>
      </c>
      <c r="K100" s="2" t="str">
        <f aca="false">IFERROR(MATCH(ROWS($K$5:$K100),Jobs!$Q$5:$Q$504,0),"")</f>
        <v/>
      </c>
      <c r="M100" s="16"/>
      <c r="N100" s="12"/>
      <c r="O100" s="12"/>
      <c r="P100" s="13"/>
      <c r="Q100" s="19" t="str">
        <f aca="false">IF($N100="","",IFERROR(INDEX($C$5:$C$504,MATCH($N100,$A$5:$A$504,0)),"Invoice not found"))</f>
        <v/>
      </c>
    </row>
    <row r="101" customFormat="false" ht="15" hidden="false" customHeight="false" outlineLevel="0" collapsed="false">
      <c r="A101" s="19" t="str">
        <f aca="false">IF($K101="","",INDEX(Jobs!$O$5:$O$504,$K101))</f>
        <v/>
      </c>
      <c r="B101" s="22" t="str">
        <f aca="false">IF($K101="","",INDEX(Jobs!$A$5:$A$504,$K101))</f>
        <v/>
      </c>
      <c r="C101" s="19" t="str">
        <f aca="false">IF($K101="","",INDEX(Jobs!$B$5:$B$504,$K101))</f>
        <v/>
      </c>
      <c r="D101" s="19" t="str">
        <f aca="false">IF($K101="","",INDEX(Jobs!$J$5:$J$504,$K101))</f>
        <v/>
      </c>
      <c r="E101" s="15" t="str">
        <f aca="false">IF($K101="","",INDEX(Jobs!$N$5:$N$504,$K101))</f>
        <v/>
      </c>
      <c r="F101" s="15" t="str">
        <f aca="false">IF($A101="","",SUMIFS($P$5:$P$1004,$N$5:$N$1004,$A101))</f>
        <v/>
      </c>
      <c r="G101" s="15" t="str">
        <f aca="false">IF($A101="","",$E101-$F101)</f>
        <v/>
      </c>
      <c r="H101" s="22" t="str">
        <f aca="false">IF($A101="","",$B101+Settings!$B$11)</f>
        <v/>
      </c>
      <c r="I101" s="19" t="str">
        <f aca="true">IF($A101="","",IF($G101&lt;=0,"Paid",IF(TODAY()&gt;$H101,"Overdue",IF($F101&gt;0,"Partial","Unpaid"))))</f>
        <v/>
      </c>
      <c r="J101" s="14" t="str">
        <f aca="true">IF($A101="","",IF(AND($G101&gt;0,TODAY()&gt;$H101),TODAY()-$H101,""))</f>
        <v/>
      </c>
      <c r="K101" s="2" t="str">
        <f aca="false">IFERROR(MATCH(ROWS($K$5:$K101),Jobs!$Q$5:$Q$504,0),"")</f>
        <v/>
      </c>
      <c r="M101" s="16"/>
      <c r="N101" s="12"/>
      <c r="O101" s="12"/>
      <c r="P101" s="13"/>
      <c r="Q101" s="19" t="str">
        <f aca="false">IF($N101="","",IFERROR(INDEX($C$5:$C$504,MATCH($N101,$A$5:$A$504,0)),"Invoice not found"))</f>
        <v/>
      </c>
    </row>
    <row r="102" customFormat="false" ht="15" hidden="false" customHeight="false" outlineLevel="0" collapsed="false">
      <c r="A102" s="19" t="str">
        <f aca="false">IF($K102="","",INDEX(Jobs!$O$5:$O$504,$K102))</f>
        <v/>
      </c>
      <c r="B102" s="22" t="str">
        <f aca="false">IF($K102="","",INDEX(Jobs!$A$5:$A$504,$K102))</f>
        <v/>
      </c>
      <c r="C102" s="19" t="str">
        <f aca="false">IF($K102="","",INDEX(Jobs!$B$5:$B$504,$K102))</f>
        <v/>
      </c>
      <c r="D102" s="19" t="str">
        <f aca="false">IF($K102="","",INDEX(Jobs!$J$5:$J$504,$K102))</f>
        <v/>
      </c>
      <c r="E102" s="15" t="str">
        <f aca="false">IF($K102="","",INDEX(Jobs!$N$5:$N$504,$K102))</f>
        <v/>
      </c>
      <c r="F102" s="15" t="str">
        <f aca="false">IF($A102="","",SUMIFS($P$5:$P$1004,$N$5:$N$1004,$A102))</f>
        <v/>
      </c>
      <c r="G102" s="15" t="str">
        <f aca="false">IF($A102="","",$E102-$F102)</f>
        <v/>
      </c>
      <c r="H102" s="22" t="str">
        <f aca="false">IF($A102="","",$B102+Settings!$B$11)</f>
        <v/>
      </c>
      <c r="I102" s="19" t="str">
        <f aca="true">IF($A102="","",IF($G102&lt;=0,"Paid",IF(TODAY()&gt;$H102,"Overdue",IF($F102&gt;0,"Partial","Unpaid"))))</f>
        <v/>
      </c>
      <c r="J102" s="14" t="str">
        <f aca="true">IF($A102="","",IF(AND($G102&gt;0,TODAY()&gt;$H102),TODAY()-$H102,""))</f>
        <v/>
      </c>
      <c r="K102" s="2" t="str">
        <f aca="false">IFERROR(MATCH(ROWS($K$5:$K102),Jobs!$Q$5:$Q$504,0),"")</f>
        <v/>
      </c>
      <c r="M102" s="16"/>
      <c r="N102" s="12"/>
      <c r="O102" s="12"/>
      <c r="P102" s="13"/>
      <c r="Q102" s="19" t="str">
        <f aca="false">IF($N102="","",IFERROR(INDEX($C$5:$C$504,MATCH($N102,$A$5:$A$504,0)),"Invoice not found"))</f>
        <v/>
      </c>
    </row>
    <row r="103" customFormat="false" ht="15" hidden="false" customHeight="false" outlineLevel="0" collapsed="false">
      <c r="A103" s="19" t="str">
        <f aca="false">IF($K103="","",INDEX(Jobs!$O$5:$O$504,$K103))</f>
        <v/>
      </c>
      <c r="B103" s="22" t="str">
        <f aca="false">IF($K103="","",INDEX(Jobs!$A$5:$A$504,$K103))</f>
        <v/>
      </c>
      <c r="C103" s="19" t="str">
        <f aca="false">IF($K103="","",INDEX(Jobs!$B$5:$B$504,$K103))</f>
        <v/>
      </c>
      <c r="D103" s="19" t="str">
        <f aca="false">IF($K103="","",INDEX(Jobs!$J$5:$J$504,$K103))</f>
        <v/>
      </c>
      <c r="E103" s="15" t="str">
        <f aca="false">IF($K103="","",INDEX(Jobs!$N$5:$N$504,$K103))</f>
        <v/>
      </c>
      <c r="F103" s="15" t="str">
        <f aca="false">IF($A103="","",SUMIFS($P$5:$P$1004,$N$5:$N$1004,$A103))</f>
        <v/>
      </c>
      <c r="G103" s="15" t="str">
        <f aca="false">IF($A103="","",$E103-$F103)</f>
        <v/>
      </c>
      <c r="H103" s="22" t="str">
        <f aca="false">IF($A103="","",$B103+Settings!$B$11)</f>
        <v/>
      </c>
      <c r="I103" s="19" t="str">
        <f aca="true">IF($A103="","",IF($G103&lt;=0,"Paid",IF(TODAY()&gt;$H103,"Overdue",IF($F103&gt;0,"Partial","Unpaid"))))</f>
        <v/>
      </c>
      <c r="J103" s="14" t="str">
        <f aca="true">IF($A103="","",IF(AND($G103&gt;0,TODAY()&gt;$H103),TODAY()-$H103,""))</f>
        <v/>
      </c>
      <c r="K103" s="2" t="str">
        <f aca="false">IFERROR(MATCH(ROWS($K$5:$K103),Jobs!$Q$5:$Q$504,0),"")</f>
        <v/>
      </c>
      <c r="M103" s="16"/>
      <c r="N103" s="12"/>
      <c r="O103" s="12"/>
      <c r="P103" s="13"/>
      <c r="Q103" s="19" t="str">
        <f aca="false">IF($N103="","",IFERROR(INDEX($C$5:$C$504,MATCH($N103,$A$5:$A$504,0)),"Invoice not found"))</f>
        <v/>
      </c>
    </row>
    <row r="104" customFormat="false" ht="15" hidden="false" customHeight="false" outlineLevel="0" collapsed="false">
      <c r="A104" s="19" t="str">
        <f aca="false">IF($K104="","",INDEX(Jobs!$O$5:$O$504,$K104))</f>
        <v/>
      </c>
      <c r="B104" s="22" t="str">
        <f aca="false">IF($K104="","",INDEX(Jobs!$A$5:$A$504,$K104))</f>
        <v/>
      </c>
      <c r="C104" s="19" t="str">
        <f aca="false">IF($K104="","",INDEX(Jobs!$B$5:$B$504,$K104))</f>
        <v/>
      </c>
      <c r="D104" s="19" t="str">
        <f aca="false">IF($K104="","",INDEX(Jobs!$J$5:$J$504,$K104))</f>
        <v/>
      </c>
      <c r="E104" s="15" t="str">
        <f aca="false">IF($K104="","",INDEX(Jobs!$N$5:$N$504,$K104))</f>
        <v/>
      </c>
      <c r="F104" s="15" t="str">
        <f aca="false">IF($A104="","",SUMIFS($P$5:$P$1004,$N$5:$N$1004,$A104))</f>
        <v/>
      </c>
      <c r="G104" s="15" t="str">
        <f aca="false">IF($A104="","",$E104-$F104)</f>
        <v/>
      </c>
      <c r="H104" s="22" t="str">
        <f aca="false">IF($A104="","",$B104+Settings!$B$11)</f>
        <v/>
      </c>
      <c r="I104" s="19" t="str">
        <f aca="true">IF($A104="","",IF($G104&lt;=0,"Paid",IF(TODAY()&gt;$H104,"Overdue",IF($F104&gt;0,"Partial","Unpaid"))))</f>
        <v/>
      </c>
      <c r="J104" s="14" t="str">
        <f aca="true">IF($A104="","",IF(AND($G104&gt;0,TODAY()&gt;$H104),TODAY()-$H104,""))</f>
        <v/>
      </c>
      <c r="K104" s="2" t="str">
        <f aca="false">IFERROR(MATCH(ROWS($K$5:$K104),Jobs!$Q$5:$Q$504,0),"")</f>
        <v/>
      </c>
      <c r="M104" s="16"/>
      <c r="N104" s="12"/>
      <c r="O104" s="12"/>
      <c r="P104" s="13"/>
      <c r="Q104" s="19" t="str">
        <f aca="false">IF($N104="","",IFERROR(INDEX($C$5:$C$504,MATCH($N104,$A$5:$A$504,0)),"Invoice not found"))</f>
        <v/>
      </c>
    </row>
    <row r="105" customFormat="false" ht="15" hidden="false" customHeight="false" outlineLevel="0" collapsed="false">
      <c r="A105" s="19" t="str">
        <f aca="false">IF($K105="","",INDEX(Jobs!$O$5:$O$504,$K105))</f>
        <v/>
      </c>
      <c r="B105" s="22" t="str">
        <f aca="false">IF($K105="","",INDEX(Jobs!$A$5:$A$504,$K105))</f>
        <v/>
      </c>
      <c r="C105" s="19" t="str">
        <f aca="false">IF($K105="","",INDEX(Jobs!$B$5:$B$504,$K105))</f>
        <v/>
      </c>
      <c r="D105" s="19" t="str">
        <f aca="false">IF($K105="","",INDEX(Jobs!$J$5:$J$504,$K105))</f>
        <v/>
      </c>
      <c r="E105" s="15" t="str">
        <f aca="false">IF($K105="","",INDEX(Jobs!$N$5:$N$504,$K105))</f>
        <v/>
      </c>
      <c r="F105" s="15" t="str">
        <f aca="false">IF($A105="","",SUMIFS($P$5:$P$1004,$N$5:$N$1004,$A105))</f>
        <v/>
      </c>
      <c r="G105" s="15" t="str">
        <f aca="false">IF($A105="","",$E105-$F105)</f>
        <v/>
      </c>
      <c r="H105" s="22" t="str">
        <f aca="false">IF($A105="","",$B105+Settings!$B$11)</f>
        <v/>
      </c>
      <c r="I105" s="19" t="str">
        <f aca="true">IF($A105="","",IF($G105&lt;=0,"Paid",IF(TODAY()&gt;$H105,"Overdue",IF($F105&gt;0,"Partial","Unpaid"))))</f>
        <v/>
      </c>
      <c r="J105" s="14" t="str">
        <f aca="true">IF($A105="","",IF(AND($G105&gt;0,TODAY()&gt;$H105),TODAY()-$H105,""))</f>
        <v/>
      </c>
      <c r="K105" s="2" t="str">
        <f aca="false">IFERROR(MATCH(ROWS($K$5:$K105),Jobs!$Q$5:$Q$504,0),"")</f>
        <v/>
      </c>
      <c r="M105" s="16"/>
      <c r="N105" s="12"/>
      <c r="O105" s="12"/>
      <c r="P105" s="13"/>
      <c r="Q105" s="19" t="str">
        <f aca="false">IF($N105="","",IFERROR(INDEX($C$5:$C$504,MATCH($N105,$A$5:$A$504,0)),"Invoice not found"))</f>
        <v/>
      </c>
    </row>
    <row r="106" customFormat="false" ht="15" hidden="false" customHeight="false" outlineLevel="0" collapsed="false">
      <c r="A106" s="19" t="str">
        <f aca="false">IF($K106="","",INDEX(Jobs!$O$5:$O$504,$K106))</f>
        <v/>
      </c>
      <c r="B106" s="22" t="str">
        <f aca="false">IF($K106="","",INDEX(Jobs!$A$5:$A$504,$K106))</f>
        <v/>
      </c>
      <c r="C106" s="19" t="str">
        <f aca="false">IF($K106="","",INDEX(Jobs!$B$5:$B$504,$K106))</f>
        <v/>
      </c>
      <c r="D106" s="19" t="str">
        <f aca="false">IF($K106="","",INDEX(Jobs!$J$5:$J$504,$K106))</f>
        <v/>
      </c>
      <c r="E106" s="15" t="str">
        <f aca="false">IF($K106="","",INDEX(Jobs!$N$5:$N$504,$K106))</f>
        <v/>
      </c>
      <c r="F106" s="15" t="str">
        <f aca="false">IF($A106="","",SUMIFS($P$5:$P$1004,$N$5:$N$1004,$A106))</f>
        <v/>
      </c>
      <c r="G106" s="15" t="str">
        <f aca="false">IF($A106="","",$E106-$F106)</f>
        <v/>
      </c>
      <c r="H106" s="22" t="str">
        <f aca="false">IF($A106="","",$B106+Settings!$B$11)</f>
        <v/>
      </c>
      <c r="I106" s="19" t="str">
        <f aca="true">IF($A106="","",IF($G106&lt;=0,"Paid",IF(TODAY()&gt;$H106,"Overdue",IF($F106&gt;0,"Partial","Unpaid"))))</f>
        <v/>
      </c>
      <c r="J106" s="14" t="str">
        <f aca="true">IF($A106="","",IF(AND($G106&gt;0,TODAY()&gt;$H106),TODAY()-$H106,""))</f>
        <v/>
      </c>
      <c r="K106" s="2" t="str">
        <f aca="false">IFERROR(MATCH(ROWS($K$5:$K106),Jobs!$Q$5:$Q$504,0),"")</f>
        <v/>
      </c>
      <c r="M106" s="16"/>
      <c r="N106" s="12"/>
      <c r="O106" s="12"/>
      <c r="P106" s="13"/>
      <c r="Q106" s="19" t="str">
        <f aca="false">IF($N106="","",IFERROR(INDEX($C$5:$C$504,MATCH($N106,$A$5:$A$504,0)),"Invoice not found"))</f>
        <v/>
      </c>
    </row>
    <row r="107" customFormat="false" ht="15" hidden="false" customHeight="false" outlineLevel="0" collapsed="false">
      <c r="A107" s="19" t="str">
        <f aca="false">IF($K107="","",INDEX(Jobs!$O$5:$O$504,$K107))</f>
        <v/>
      </c>
      <c r="B107" s="22" t="str">
        <f aca="false">IF($K107="","",INDEX(Jobs!$A$5:$A$504,$K107))</f>
        <v/>
      </c>
      <c r="C107" s="19" t="str">
        <f aca="false">IF($K107="","",INDEX(Jobs!$B$5:$B$504,$K107))</f>
        <v/>
      </c>
      <c r="D107" s="19" t="str">
        <f aca="false">IF($K107="","",INDEX(Jobs!$J$5:$J$504,$K107))</f>
        <v/>
      </c>
      <c r="E107" s="15" t="str">
        <f aca="false">IF($K107="","",INDEX(Jobs!$N$5:$N$504,$K107))</f>
        <v/>
      </c>
      <c r="F107" s="15" t="str">
        <f aca="false">IF($A107="","",SUMIFS($P$5:$P$1004,$N$5:$N$1004,$A107))</f>
        <v/>
      </c>
      <c r="G107" s="15" t="str">
        <f aca="false">IF($A107="","",$E107-$F107)</f>
        <v/>
      </c>
      <c r="H107" s="22" t="str">
        <f aca="false">IF($A107="","",$B107+Settings!$B$11)</f>
        <v/>
      </c>
      <c r="I107" s="19" t="str">
        <f aca="true">IF($A107="","",IF($G107&lt;=0,"Paid",IF(TODAY()&gt;$H107,"Overdue",IF($F107&gt;0,"Partial","Unpaid"))))</f>
        <v/>
      </c>
      <c r="J107" s="14" t="str">
        <f aca="true">IF($A107="","",IF(AND($G107&gt;0,TODAY()&gt;$H107),TODAY()-$H107,""))</f>
        <v/>
      </c>
      <c r="K107" s="2" t="str">
        <f aca="false">IFERROR(MATCH(ROWS($K$5:$K107),Jobs!$Q$5:$Q$504,0),"")</f>
        <v/>
      </c>
      <c r="M107" s="16"/>
      <c r="N107" s="12"/>
      <c r="O107" s="12"/>
      <c r="P107" s="13"/>
      <c r="Q107" s="19" t="str">
        <f aca="false">IF($N107="","",IFERROR(INDEX($C$5:$C$504,MATCH($N107,$A$5:$A$504,0)),"Invoice not found"))</f>
        <v/>
      </c>
    </row>
    <row r="108" customFormat="false" ht="15" hidden="false" customHeight="false" outlineLevel="0" collapsed="false">
      <c r="A108" s="19" t="str">
        <f aca="false">IF($K108="","",INDEX(Jobs!$O$5:$O$504,$K108))</f>
        <v/>
      </c>
      <c r="B108" s="22" t="str">
        <f aca="false">IF($K108="","",INDEX(Jobs!$A$5:$A$504,$K108))</f>
        <v/>
      </c>
      <c r="C108" s="19" t="str">
        <f aca="false">IF($K108="","",INDEX(Jobs!$B$5:$B$504,$K108))</f>
        <v/>
      </c>
      <c r="D108" s="19" t="str">
        <f aca="false">IF($K108="","",INDEX(Jobs!$J$5:$J$504,$K108))</f>
        <v/>
      </c>
      <c r="E108" s="15" t="str">
        <f aca="false">IF($K108="","",INDEX(Jobs!$N$5:$N$504,$K108))</f>
        <v/>
      </c>
      <c r="F108" s="15" t="str">
        <f aca="false">IF($A108="","",SUMIFS($P$5:$P$1004,$N$5:$N$1004,$A108))</f>
        <v/>
      </c>
      <c r="G108" s="15" t="str">
        <f aca="false">IF($A108="","",$E108-$F108)</f>
        <v/>
      </c>
      <c r="H108" s="22" t="str">
        <f aca="false">IF($A108="","",$B108+Settings!$B$11)</f>
        <v/>
      </c>
      <c r="I108" s="19" t="str">
        <f aca="true">IF($A108="","",IF($G108&lt;=0,"Paid",IF(TODAY()&gt;$H108,"Overdue",IF($F108&gt;0,"Partial","Unpaid"))))</f>
        <v/>
      </c>
      <c r="J108" s="14" t="str">
        <f aca="true">IF($A108="","",IF(AND($G108&gt;0,TODAY()&gt;$H108),TODAY()-$H108,""))</f>
        <v/>
      </c>
      <c r="K108" s="2" t="str">
        <f aca="false">IFERROR(MATCH(ROWS($K$5:$K108),Jobs!$Q$5:$Q$504,0),"")</f>
        <v/>
      </c>
      <c r="M108" s="16"/>
      <c r="N108" s="12"/>
      <c r="O108" s="12"/>
      <c r="P108" s="13"/>
      <c r="Q108" s="19" t="str">
        <f aca="false">IF($N108="","",IFERROR(INDEX($C$5:$C$504,MATCH($N108,$A$5:$A$504,0)),"Invoice not found"))</f>
        <v/>
      </c>
    </row>
    <row r="109" customFormat="false" ht="15" hidden="false" customHeight="false" outlineLevel="0" collapsed="false">
      <c r="A109" s="19" t="str">
        <f aca="false">IF($K109="","",INDEX(Jobs!$O$5:$O$504,$K109))</f>
        <v/>
      </c>
      <c r="B109" s="22" t="str">
        <f aca="false">IF($K109="","",INDEX(Jobs!$A$5:$A$504,$K109))</f>
        <v/>
      </c>
      <c r="C109" s="19" t="str">
        <f aca="false">IF($K109="","",INDEX(Jobs!$B$5:$B$504,$K109))</f>
        <v/>
      </c>
      <c r="D109" s="19" t="str">
        <f aca="false">IF($K109="","",INDEX(Jobs!$J$5:$J$504,$K109))</f>
        <v/>
      </c>
      <c r="E109" s="15" t="str">
        <f aca="false">IF($K109="","",INDEX(Jobs!$N$5:$N$504,$K109))</f>
        <v/>
      </c>
      <c r="F109" s="15" t="str">
        <f aca="false">IF($A109="","",SUMIFS($P$5:$P$1004,$N$5:$N$1004,$A109))</f>
        <v/>
      </c>
      <c r="G109" s="15" t="str">
        <f aca="false">IF($A109="","",$E109-$F109)</f>
        <v/>
      </c>
      <c r="H109" s="22" t="str">
        <f aca="false">IF($A109="","",$B109+Settings!$B$11)</f>
        <v/>
      </c>
      <c r="I109" s="19" t="str">
        <f aca="true">IF($A109="","",IF($G109&lt;=0,"Paid",IF(TODAY()&gt;$H109,"Overdue",IF($F109&gt;0,"Partial","Unpaid"))))</f>
        <v/>
      </c>
      <c r="J109" s="14" t="str">
        <f aca="true">IF($A109="","",IF(AND($G109&gt;0,TODAY()&gt;$H109),TODAY()-$H109,""))</f>
        <v/>
      </c>
      <c r="K109" s="2" t="str">
        <f aca="false">IFERROR(MATCH(ROWS($K$5:$K109),Jobs!$Q$5:$Q$504,0),"")</f>
        <v/>
      </c>
      <c r="M109" s="16"/>
      <c r="N109" s="12"/>
      <c r="O109" s="12"/>
      <c r="P109" s="13"/>
      <c r="Q109" s="19" t="str">
        <f aca="false">IF($N109="","",IFERROR(INDEX($C$5:$C$504,MATCH($N109,$A$5:$A$504,0)),"Invoice not found"))</f>
        <v/>
      </c>
    </row>
    <row r="110" customFormat="false" ht="15" hidden="false" customHeight="false" outlineLevel="0" collapsed="false">
      <c r="A110" s="19" t="str">
        <f aca="false">IF($K110="","",INDEX(Jobs!$O$5:$O$504,$K110))</f>
        <v/>
      </c>
      <c r="B110" s="22" t="str">
        <f aca="false">IF($K110="","",INDEX(Jobs!$A$5:$A$504,$K110))</f>
        <v/>
      </c>
      <c r="C110" s="19" t="str">
        <f aca="false">IF($K110="","",INDEX(Jobs!$B$5:$B$504,$K110))</f>
        <v/>
      </c>
      <c r="D110" s="19" t="str">
        <f aca="false">IF($K110="","",INDEX(Jobs!$J$5:$J$504,$K110))</f>
        <v/>
      </c>
      <c r="E110" s="15" t="str">
        <f aca="false">IF($K110="","",INDEX(Jobs!$N$5:$N$504,$K110))</f>
        <v/>
      </c>
      <c r="F110" s="15" t="str">
        <f aca="false">IF($A110="","",SUMIFS($P$5:$P$1004,$N$5:$N$1004,$A110))</f>
        <v/>
      </c>
      <c r="G110" s="15" t="str">
        <f aca="false">IF($A110="","",$E110-$F110)</f>
        <v/>
      </c>
      <c r="H110" s="22" t="str">
        <f aca="false">IF($A110="","",$B110+Settings!$B$11)</f>
        <v/>
      </c>
      <c r="I110" s="19" t="str">
        <f aca="true">IF($A110="","",IF($G110&lt;=0,"Paid",IF(TODAY()&gt;$H110,"Overdue",IF($F110&gt;0,"Partial","Unpaid"))))</f>
        <v/>
      </c>
      <c r="J110" s="14" t="str">
        <f aca="true">IF($A110="","",IF(AND($G110&gt;0,TODAY()&gt;$H110),TODAY()-$H110,""))</f>
        <v/>
      </c>
      <c r="K110" s="2" t="str">
        <f aca="false">IFERROR(MATCH(ROWS($K$5:$K110),Jobs!$Q$5:$Q$504,0),"")</f>
        <v/>
      </c>
      <c r="M110" s="16"/>
      <c r="N110" s="12"/>
      <c r="O110" s="12"/>
      <c r="P110" s="13"/>
      <c r="Q110" s="19" t="str">
        <f aca="false">IF($N110="","",IFERROR(INDEX($C$5:$C$504,MATCH($N110,$A$5:$A$504,0)),"Invoice not found"))</f>
        <v/>
      </c>
    </row>
    <row r="111" customFormat="false" ht="15" hidden="false" customHeight="false" outlineLevel="0" collapsed="false">
      <c r="A111" s="19" t="str">
        <f aca="false">IF($K111="","",INDEX(Jobs!$O$5:$O$504,$K111))</f>
        <v/>
      </c>
      <c r="B111" s="22" t="str">
        <f aca="false">IF($K111="","",INDEX(Jobs!$A$5:$A$504,$K111))</f>
        <v/>
      </c>
      <c r="C111" s="19" t="str">
        <f aca="false">IF($K111="","",INDEX(Jobs!$B$5:$B$504,$K111))</f>
        <v/>
      </c>
      <c r="D111" s="19" t="str">
        <f aca="false">IF($K111="","",INDEX(Jobs!$J$5:$J$504,$K111))</f>
        <v/>
      </c>
      <c r="E111" s="15" t="str">
        <f aca="false">IF($K111="","",INDEX(Jobs!$N$5:$N$504,$K111))</f>
        <v/>
      </c>
      <c r="F111" s="15" t="str">
        <f aca="false">IF($A111="","",SUMIFS($P$5:$P$1004,$N$5:$N$1004,$A111))</f>
        <v/>
      </c>
      <c r="G111" s="15" t="str">
        <f aca="false">IF($A111="","",$E111-$F111)</f>
        <v/>
      </c>
      <c r="H111" s="22" t="str">
        <f aca="false">IF($A111="","",$B111+Settings!$B$11)</f>
        <v/>
      </c>
      <c r="I111" s="19" t="str">
        <f aca="true">IF($A111="","",IF($G111&lt;=0,"Paid",IF(TODAY()&gt;$H111,"Overdue",IF($F111&gt;0,"Partial","Unpaid"))))</f>
        <v/>
      </c>
      <c r="J111" s="14" t="str">
        <f aca="true">IF($A111="","",IF(AND($G111&gt;0,TODAY()&gt;$H111),TODAY()-$H111,""))</f>
        <v/>
      </c>
      <c r="K111" s="2" t="str">
        <f aca="false">IFERROR(MATCH(ROWS($K$5:$K111),Jobs!$Q$5:$Q$504,0),"")</f>
        <v/>
      </c>
      <c r="M111" s="16"/>
      <c r="N111" s="12"/>
      <c r="O111" s="12"/>
      <c r="P111" s="13"/>
      <c r="Q111" s="19" t="str">
        <f aca="false">IF($N111="","",IFERROR(INDEX($C$5:$C$504,MATCH($N111,$A$5:$A$504,0)),"Invoice not found"))</f>
        <v/>
      </c>
    </row>
    <row r="112" customFormat="false" ht="15" hidden="false" customHeight="false" outlineLevel="0" collapsed="false">
      <c r="A112" s="19" t="str">
        <f aca="false">IF($K112="","",INDEX(Jobs!$O$5:$O$504,$K112))</f>
        <v/>
      </c>
      <c r="B112" s="22" t="str">
        <f aca="false">IF($K112="","",INDEX(Jobs!$A$5:$A$504,$K112))</f>
        <v/>
      </c>
      <c r="C112" s="19" t="str">
        <f aca="false">IF($K112="","",INDEX(Jobs!$B$5:$B$504,$K112))</f>
        <v/>
      </c>
      <c r="D112" s="19" t="str">
        <f aca="false">IF($K112="","",INDEX(Jobs!$J$5:$J$504,$K112))</f>
        <v/>
      </c>
      <c r="E112" s="15" t="str">
        <f aca="false">IF($K112="","",INDEX(Jobs!$N$5:$N$504,$K112))</f>
        <v/>
      </c>
      <c r="F112" s="15" t="str">
        <f aca="false">IF($A112="","",SUMIFS($P$5:$P$1004,$N$5:$N$1004,$A112))</f>
        <v/>
      </c>
      <c r="G112" s="15" t="str">
        <f aca="false">IF($A112="","",$E112-$F112)</f>
        <v/>
      </c>
      <c r="H112" s="22" t="str">
        <f aca="false">IF($A112="","",$B112+Settings!$B$11)</f>
        <v/>
      </c>
      <c r="I112" s="19" t="str">
        <f aca="true">IF($A112="","",IF($G112&lt;=0,"Paid",IF(TODAY()&gt;$H112,"Overdue",IF($F112&gt;0,"Partial","Unpaid"))))</f>
        <v/>
      </c>
      <c r="J112" s="14" t="str">
        <f aca="true">IF($A112="","",IF(AND($G112&gt;0,TODAY()&gt;$H112),TODAY()-$H112,""))</f>
        <v/>
      </c>
      <c r="K112" s="2" t="str">
        <f aca="false">IFERROR(MATCH(ROWS($K$5:$K112),Jobs!$Q$5:$Q$504,0),"")</f>
        <v/>
      </c>
      <c r="M112" s="16"/>
      <c r="N112" s="12"/>
      <c r="O112" s="12"/>
      <c r="P112" s="13"/>
      <c r="Q112" s="19" t="str">
        <f aca="false">IF($N112="","",IFERROR(INDEX($C$5:$C$504,MATCH($N112,$A$5:$A$504,0)),"Invoice not found"))</f>
        <v/>
      </c>
    </row>
    <row r="113" customFormat="false" ht="15" hidden="false" customHeight="false" outlineLevel="0" collapsed="false">
      <c r="A113" s="19" t="str">
        <f aca="false">IF($K113="","",INDEX(Jobs!$O$5:$O$504,$K113))</f>
        <v/>
      </c>
      <c r="B113" s="22" t="str">
        <f aca="false">IF($K113="","",INDEX(Jobs!$A$5:$A$504,$K113))</f>
        <v/>
      </c>
      <c r="C113" s="19" t="str">
        <f aca="false">IF($K113="","",INDEX(Jobs!$B$5:$B$504,$K113))</f>
        <v/>
      </c>
      <c r="D113" s="19" t="str">
        <f aca="false">IF($K113="","",INDEX(Jobs!$J$5:$J$504,$K113))</f>
        <v/>
      </c>
      <c r="E113" s="15" t="str">
        <f aca="false">IF($K113="","",INDEX(Jobs!$N$5:$N$504,$K113))</f>
        <v/>
      </c>
      <c r="F113" s="15" t="str">
        <f aca="false">IF($A113="","",SUMIFS($P$5:$P$1004,$N$5:$N$1004,$A113))</f>
        <v/>
      </c>
      <c r="G113" s="15" t="str">
        <f aca="false">IF($A113="","",$E113-$F113)</f>
        <v/>
      </c>
      <c r="H113" s="22" t="str">
        <f aca="false">IF($A113="","",$B113+Settings!$B$11)</f>
        <v/>
      </c>
      <c r="I113" s="19" t="str">
        <f aca="true">IF($A113="","",IF($G113&lt;=0,"Paid",IF(TODAY()&gt;$H113,"Overdue",IF($F113&gt;0,"Partial","Unpaid"))))</f>
        <v/>
      </c>
      <c r="J113" s="14" t="str">
        <f aca="true">IF($A113="","",IF(AND($G113&gt;0,TODAY()&gt;$H113),TODAY()-$H113,""))</f>
        <v/>
      </c>
      <c r="K113" s="2" t="str">
        <f aca="false">IFERROR(MATCH(ROWS($K$5:$K113),Jobs!$Q$5:$Q$504,0),"")</f>
        <v/>
      </c>
      <c r="M113" s="16"/>
      <c r="N113" s="12"/>
      <c r="O113" s="12"/>
      <c r="P113" s="13"/>
      <c r="Q113" s="19" t="str">
        <f aca="false">IF($N113="","",IFERROR(INDEX($C$5:$C$504,MATCH($N113,$A$5:$A$504,0)),"Invoice not found"))</f>
        <v/>
      </c>
    </row>
    <row r="114" customFormat="false" ht="15" hidden="false" customHeight="false" outlineLevel="0" collapsed="false">
      <c r="A114" s="19" t="str">
        <f aca="false">IF($K114="","",INDEX(Jobs!$O$5:$O$504,$K114))</f>
        <v/>
      </c>
      <c r="B114" s="22" t="str">
        <f aca="false">IF($K114="","",INDEX(Jobs!$A$5:$A$504,$K114))</f>
        <v/>
      </c>
      <c r="C114" s="19" t="str">
        <f aca="false">IF($K114="","",INDEX(Jobs!$B$5:$B$504,$K114))</f>
        <v/>
      </c>
      <c r="D114" s="19" t="str">
        <f aca="false">IF($K114="","",INDEX(Jobs!$J$5:$J$504,$K114))</f>
        <v/>
      </c>
      <c r="E114" s="15" t="str">
        <f aca="false">IF($K114="","",INDEX(Jobs!$N$5:$N$504,$K114))</f>
        <v/>
      </c>
      <c r="F114" s="15" t="str">
        <f aca="false">IF($A114="","",SUMIFS($P$5:$P$1004,$N$5:$N$1004,$A114))</f>
        <v/>
      </c>
      <c r="G114" s="15" t="str">
        <f aca="false">IF($A114="","",$E114-$F114)</f>
        <v/>
      </c>
      <c r="H114" s="22" t="str">
        <f aca="false">IF($A114="","",$B114+Settings!$B$11)</f>
        <v/>
      </c>
      <c r="I114" s="19" t="str">
        <f aca="true">IF($A114="","",IF($G114&lt;=0,"Paid",IF(TODAY()&gt;$H114,"Overdue",IF($F114&gt;0,"Partial","Unpaid"))))</f>
        <v/>
      </c>
      <c r="J114" s="14" t="str">
        <f aca="true">IF($A114="","",IF(AND($G114&gt;0,TODAY()&gt;$H114),TODAY()-$H114,""))</f>
        <v/>
      </c>
      <c r="K114" s="2" t="str">
        <f aca="false">IFERROR(MATCH(ROWS($K$5:$K114),Jobs!$Q$5:$Q$504,0),"")</f>
        <v/>
      </c>
      <c r="M114" s="16"/>
      <c r="N114" s="12"/>
      <c r="O114" s="12"/>
      <c r="P114" s="13"/>
      <c r="Q114" s="19" t="str">
        <f aca="false">IF($N114="","",IFERROR(INDEX($C$5:$C$504,MATCH($N114,$A$5:$A$504,0)),"Invoice not found"))</f>
        <v/>
      </c>
    </row>
    <row r="115" customFormat="false" ht="15" hidden="false" customHeight="false" outlineLevel="0" collapsed="false">
      <c r="A115" s="19" t="str">
        <f aca="false">IF($K115="","",INDEX(Jobs!$O$5:$O$504,$K115))</f>
        <v/>
      </c>
      <c r="B115" s="22" t="str">
        <f aca="false">IF($K115="","",INDEX(Jobs!$A$5:$A$504,$K115))</f>
        <v/>
      </c>
      <c r="C115" s="19" t="str">
        <f aca="false">IF($K115="","",INDEX(Jobs!$B$5:$B$504,$K115))</f>
        <v/>
      </c>
      <c r="D115" s="19" t="str">
        <f aca="false">IF($K115="","",INDEX(Jobs!$J$5:$J$504,$K115))</f>
        <v/>
      </c>
      <c r="E115" s="15" t="str">
        <f aca="false">IF($K115="","",INDEX(Jobs!$N$5:$N$504,$K115))</f>
        <v/>
      </c>
      <c r="F115" s="15" t="str">
        <f aca="false">IF($A115="","",SUMIFS($P$5:$P$1004,$N$5:$N$1004,$A115))</f>
        <v/>
      </c>
      <c r="G115" s="15" t="str">
        <f aca="false">IF($A115="","",$E115-$F115)</f>
        <v/>
      </c>
      <c r="H115" s="22" t="str">
        <f aca="false">IF($A115="","",$B115+Settings!$B$11)</f>
        <v/>
      </c>
      <c r="I115" s="19" t="str">
        <f aca="true">IF($A115="","",IF($G115&lt;=0,"Paid",IF(TODAY()&gt;$H115,"Overdue",IF($F115&gt;0,"Partial","Unpaid"))))</f>
        <v/>
      </c>
      <c r="J115" s="14" t="str">
        <f aca="true">IF($A115="","",IF(AND($G115&gt;0,TODAY()&gt;$H115),TODAY()-$H115,""))</f>
        <v/>
      </c>
      <c r="K115" s="2" t="str">
        <f aca="false">IFERROR(MATCH(ROWS($K$5:$K115),Jobs!$Q$5:$Q$504,0),"")</f>
        <v/>
      </c>
      <c r="M115" s="16"/>
      <c r="N115" s="12"/>
      <c r="O115" s="12"/>
      <c r="P115" s="13"/>
      <c r="Q115" s="19" t="str">
        <f aca="false">IF($N115="","",IFERROR(INDEX($C$5:$C$504,MATCH($N115,$A$5:$A$504,0)),"Invoice not found"))</f>
        <v/>
      </c>
    </row>
    <row r="116" customFormat="false" ht="15" hidden="false" customHeight="false" outlineLevel="0" collapsed="false">
      <c r="A116" s="19" t="str">
        <f aca="false">IF($K116="","",INDEX(Jobs!$O$5:$O$504,$K116))</f>
        <v/>
      </c>
      <c r="B116" s="22" t="str">
        <f aca="false">IF($K116="","",INDEX(Jobs!$A$5:$A$504,$K116))</f>
        <v/>
      </c>
      <c r="C116" s="19" t="str">
        <f aca="false">IF($K116="","",INDEX(Jobs!$B$5:$B$504,$K116))</f>
        <v/>
      </c>
      <c r="D116" s="19" t="str">
        <f aca="false">IF($K116="","",INDEX(Jobs!$J$5:$J$504,$K116))</f>
        <v/>
      </c>
      <c r="E116" s="15" t="str">
        <f aca="false">IF($K116="","",INDEX(Jobs!$N$5:$N$504,$K116))</f>
        <v/>
      </c>
      <c r="F116" s="15" t="str">
        <f aca="false">IF($A116="","",SUMIFS($P$5:$P$1004,$N$5:$N$1004,$A116))</f>
        <v/>
      </c>
      <c r="G116" s="15" t="str">
        <f aca="false">IF($A116="","",$E116-$F116)</f>
        <v/>
      </c>
      <c r="H116" s="22" t="str">
        <f aca="false">IF($A116="","",$B116+Settings!$B$11)</f>
        <v/>
      </c>
      <c r="I116" s="19" t="str">
        <f aca="true">IF($A116="","",IF($G116&lt;=0,"Paid",IF(TODAY()&gt;$H116,"Overdue",IF($F116&gt;0,"Partial","Unpaid"))))</f>
        <v/>
      </c>
      <c r="J116" s="14" t="str">
        <f aca="true">IF($A116="","",IF(AND($G116&gt;0,TODAY()&gt;$H116),TODAY()-$H116,""))</f>
        <v/>
      </c>
      <c r="K116" s="2" t="str">
        <f aca="false">IFERROR(MATCH(ROWS($K$5:$K116),Jobs!$Q$5:$Q$504,0),"")</f>
        <v/>
      </c>
      <c r="M116" s="16"/>
      <c r="N116" s="12"/>
      <c r="O116" s="12"/>
      <c r="P116" s="13"/>
      <c r="Q116" s="19" t="str">
        <f aca="false">IF($N116="","",IFERROR(INDEX($C$5:$C$504,MATCH($N116,$A$5:$A$504,0)),"Invoice not found"))</f>
        <v/>
      </c>
    </row>
    <row r="117" customFormat="false" ht="15" hidden="false" customHeight="false" outlineLevel="0" collapsed="false">
      <c r="A117" s="19" t="str">
        <f aca="false">IF($K117="","",INDEX(Jobs!$O$5:$O$504,$K117))</f>
        <v/>
      </c>
      <c r="B117" s="22" t="str">
        <f aca="false">IF($K117="","",INDEX(Jobs!$A$5:$A$504,$K117))</f>
        <v/>
      </c>
      <c r="C117" s="19" t="str">
        <f aca="false">IF($K117="","",INDEX(Jobs!$B$5:$B$504,$K117))</f>
        <v/>
      </c>
      <c r="D117" s="19" t="str">
        <f aca="false">IF($K117="","",INDEX(Jobs!$J$5:$J$504,$K117))</f>
        <v/>
      </c>
      <c r="E117" s="15" t="str">
        <f aca="false">IF($K117="","",INDEX(Jobs!$N$5:$N$504,$K117))</f>
        <v/>
      </c>
      <c r="F117" s="15" t="str">
        <f aca="false">IF($A117="","",SUMIFS($P$5:$P$1004,$N$5:$N$1004,$A117))</f>
        <v/>
      </c>
      <c r="G117" s="15" t="str">
        <f aca="false">IF($A117="","",$E117-$F117)</f>
        <v/>
      </c>
      <c r="H117" s="22" t="str">
        <f aca="false">IF($A117="","",$B117+Settings!$B$11)</f>
        <v/>
      </c>
      <c r="I117" s="19" t="str">
        <f aca="true">IF($A117="","",IF($G117&lt;=0,"Paid",IF(TODAY()&gt;$H117,"Overdue",IF($F117&gt;0,"Partial","Unpaid"))))</f>
        <v/>
      </c>
      <c r="J117" s="14" t="str">
        <f aca="true">IF($A117="","",IF(AND($G117&gt;0,TODAY()&gt;$H117),TODAY()-$H117,""))</f>
        <v/>
      </c>
      <c r="K117" s="2" t="str">
        <f aca="false">IFERROR(MATCH(ROWS($K$5:$K117),Jobs!$Q$5:$Q$504,0),"")</f>
        <v/>
      </c>
      <c r="M117" s="16"/>
      <c r="N117" s="12"/>
      <c r="O117" s="12"/>
      <c r="P117" s="13"/>
      <c r="Q117" s="19" t="str">
        <f aca="false">IF($N117="","",IFERROR(INDEX($C$5:$C$504,MATCH($N117,$A$5:$A$504,0)),"Invoice not found"))</f>
        <v/>
      </c>
    </row>
    <row r="118" customFormat="false" ht="15" hidden="false" customHeight="false" outlineLevel="0" collapsed="false">
      <c r="A118" s="19" t="str">
        <f aca="false">IF($K118="","",INDEX(Jobs!$O$5:$O$504,$K118))</f>
        <v/>
      </c>
      <c r="B118" s="22" t="str">
        <f aca="false">IF($K118="","",INDEX(Jobs!$A$5:$A$504,$K118))</f>
        <v/>
      </c>
      <c r="C118" s="19" t="str">
        <f aca="false">IF($K118="","",INDEX(Jobs!$B$5:$B$504,$K118))</f>
        <v/>
      </c>
      <c r="D118" s="19" t="str">
        <f aca="false">IF($K118="","",INDEX(Jobs!$J$5:$J$504,$K118))</f>
        <v/>
      </c>
      <c r="E118" s="15" t="str">
        <f aca="false">IF($K118="","",INDEX(Jobs!$N$5:$N$504,$K118))</f>
        <v/>
      </c>
      <c r="F118" s="15" t="str">
        <f aca="false">IF($A118="","",SUMIFS($P$5:$P$1004,$N$5:$N$1004,$A118))</f>
        <v/>
      </c>
      <c r="G118" s="15" t="str">
        <f aca="false">IF($A118="","",$E118-$F118)</f>
        <v/>
      </c>
      <c r="H118" s="22" t="str">
        <f aca="false">IF($A118="","",$B118+Settings!$B$11)</f>
        <v/>
      </c>
      <c r="I118" s="19" t="str">
        <f aca="true">IF($A118="","",IF($G118&lt;=0,"Paid",IF(TODAY()&gt;$H118,"Overdue",IF($F118&gt;0,"Partial","Unpaid"))))</f>
        <v/>
      </c>
      <c r="J118" s="14" t="str">
        <f aca="true">IF($A118="","",IF(AND($G118&gt;0,TODAY()&gt;$H118),TODAY()-$H118,""))</f>
        <v/>
      </c>
      <c r="K118" s="2" t="str">
        <f aca="false">IFERROR(MATCH(ROWS($K$5:$K118),Jobs!$Q$5:$Q$504,0),"")</f>
        <v/>
      </c>
      <c r="M118" s="16"/>
      <c r="N118" s="12"/>
      <c r="O118" s="12"/>
      <c r="P118" s="13"/>
      <c r="Q118" s="19" t="str">
        <f aca="false">IF($N118="","",IFERROR(INDEX($C$5:$C$504,MATCH($N118,$A$5:$A$504,0)),"Invoice not found"))</f>
        <v/>
      </c>
    </row>
    <row r="119" customFormat="false" ht="15" hidden="false" customHeight="false" outlineLevel="0" collapsed="false">
      <c r="A119" s="19" t="str">
        <f aca="false">IF($K119="","",INDEX(Jobs!$O$5:$O$504,$K119))</f>
        <v/>
      </c>
      <c r="B119" s="22" t="str">
        <f aca="false">IF($K119="","",INDEX(Jobs!$A$5:$A$504,$K119))</f>
        <v/>
      </c>
      <c r="C119" s="19" t="str">
        <f aca="false">IF($K119="","",INDEX(Jobs!$B$5:$B$504,$K119))</f>
        <v/>
      </c>
      <c r="D119" s="19" t="str">
        <f aca="false">IF($K119="","",INDEX(Jobs!$J$5:$J$504,$K119))</f>
        <v/>
      </c>
      <c r="E119" s="15" t="str">
        <f aca="false">IF($K119="","",INDEX(Jobs!$N$5:$N$504,$K119))</f>
        <v/>
      </c>
      <c r="F119" s="15" t="str">
        <f aca="false">IF($A119="","",SUMIFS($P$5:$P$1004,$N$5:$N$1004,$A119))</f>
        <v/>
      </c>
      <c r="G119" s="15" t="str">
        <f aca="false">IF($A119="","",$E119-$F119)</f>
        <v/>
      </c>
      <c r="H119" s="22" t="str">
        <f aca="false">IF($A119="","",$B119+Settings!$B$11)</f>
        <v/>
      </c>
      <c r="I119" s="19" t="str">
        <f aca="true">IF($A119="","",IF($G119&lt;=0,"Paid",IF(TODAY()&gt;$H119,"Overdue",IF($F119&gt;0,"Partial","Unpaid"))))</f>
        <v/>
      </c>
      <c r="J119" s="14" t="str">
        <f aca="true">IF($A119="","",IF(AND($G119&gt;0,TODAY()&gt;$H119),TODAY()-$H119,""))</f>
        <v/>
      </c>
      <c r="K119" s="2" t="str">
        <f aca="false">IFERROR(MATCH(ROWS($K$5:$K119),Jobs!$Q$5:$Q$504,0),"")</f>
        <v/>
      </c>
      <c r="M119" s="16"/>
      <c r="N119" s="12"/>
      <c r="O119" s="12"/>
      <c r="P119" s="13"/>
      <c r="Q119" s="19" t="str">
        <f aca="false">IF($N119="","",IFERROR(INDEX($C$5:$C$504,MATCH($N119,$A$5:$A$504,0)),"Invoice not found"))</f>
        <v/>
      </c>
    </row>
    <row r="120" customFormat="false" ht="15" hidden="false" customHeight="false" outlineLevel="0" collapsed="false">
      <c r="A120" s="19" t="str">
        <f aca="false">IF($K120="","",INDEX(Jobs!$O$5:$O$504,$K120))</f>
        <v/>
      </c>
      <c r="B120" s="22" t="str">
        <f aca="false">IF($K120="","",INDEX(Jobs!$A$5:$A$504,$K120))</f>
        <v/>
      </c>
      <c r="C120" s="19" t="str">
        <f aca="false">IF($K120="","",INDEX(Jobs!$B$5:$B$504,$K120))</f>
        <v/>
      </c>
      <c r="D120" s="19" t="str">
        <f aca="false">IF($K120="","",INDEX(Jobs!$J$5:$J$504,$K120))</f>
        <v/>
      </c>
      <c r="E120" s="15" t="str">
        <f aca="false">IF($K120="","",INDEX(Jobs!$N$5:$N$504,$K120))</f>
        <v/>
      </c>
      <c r="F120" s="15" t="str">
        <f aca="false">IF($A120="","",SUMIFS($P$5:$P$1004,$N$5:$N$1004,$A120))</f>
        <v/>
      </c>
      <c r="G120" s="15" t="str">
        <f aca="false">IF($A120="","",$E120-$F120)</f>
        <v/>
      </c>
      <c r="H120" s="22" t="str">
        <f aca="false">IF($A120="","",$B120+Settings!$B$11)</f>
        <v/>
      </c>
      <c r="I120" s="19" t="str">
        <f aca="true">IF($A120="","",IF($G120&lt;=0,"Paid",IF(TODAY()&gt;$H120,"Overdue",IF($F120&gt;0,"Partial","Unpaid"))))</f>
        <v/>
      </c>
      <c r="J120" s="14" t="str">
        <f aca="true">IF($A120="","",IF(AND($G120&gt;0,TODAY()&gt;$H120),TODAY()-$H120,""))</f>
        <v/>
      </c>
      <c r="K120" s="2" t="str">
        <f aca="false">IFERROR(MATCH(ROWS($K$5:$K120),Jobs!$Q$5:$Q$504,0),"")</f>
        <v/>
      </c>
      <c r="M120" s="16"/>
      <c r="N120" s="12"/>
      <c r="O120" s="12"/>
      <c r="P120" s="13"/>
      <c r="Q120" s="19" t="str">
        <f aca="false">IF($N120="","",IFERROR(INDEX($C$5:$C$504,MATCH($N120,$A$5:$A$504,0)),"Invoice not found"))</f>
        <v/>
      </c>
    </row>
    <row r="121" customFormat="false" ht="15" hidden="false" customHeight="false" outlineLevel="0" collapsed="false">
      <c r="A121" s="19" t="str">
        <f aca="false">IF($K121="","",INDEX(Jobs!$O$5:$O$504,$K121))</f>
        <v/>
      </c>
      <c r="B121" s="22" t="str">
        <f aca="false">IF($K121="","",INDEX(Jobs!$A$5:$A$504,$K121))</f>
        <v/>
      </c>
      <c r="C121" s="19" t="str">
        <f aca="false">IF($K121="","",INDEX(Jobs!$B$5:$B$504,$K121))</f>
        <v/>
      </c>
      <c r="D121" s="19" t="str">
        <f aca="false">IF($K121="","",INDEX(Jobs!$J$5:$J$504,$K121))</f>
        <v/>
      </c>
      <c r="E121" s="15" t="str">
        <f aca="false">IF($K121="","",INDEX(Jobs!$N$5:$N$504,$K121))</f>
        <v/>
      </c>
      <c r="F121" s="15" t="str">
        <f aca="false">IF($A121="","",SUMIFS($P$5:$P$1004,$N$5:$N$1004,$A121))</f>
        <v/>
      </c>
      <c r="G121" s="15" t="str">
        <f aca="false">IF($A121="","",$E121-$F121)</f>
        <v/>
      </c>
      <c r="H121" s="22" t="str">
        <f aca="false">IF($A121="","",$B121+Settings!$B$11)</f>
        <v/>
      </c>
      <c r="I121" s="19" t="str">
        <f aca="true">IF($A121="","",IF($G121&lt;=0,"Paid",IF(TODAY()&gt;$H121,"Overdue",IF($F121&gt;0,"Partial","Unpaid"))))</f>
        <v/>
      </c>
      <c r="J121" s="14" t="str">
        <f aca="true">IF($A121="","",IF(AND($G121&gt;0,TODAY()&gt;$H121),TODAY()-$H121,""))</f>
        <v/>
      </c>
      <c r="K121" s="2" t="str">
        <f aca="false">IFERROR(MATCH(ROWS($K$5:$K121),Jobs!$Q$5:$Q$504,0),"")</f>
        <v/>
      </c>
      <c r="M121" s="16"/>
      <c r="N121" s="12"/>
      <c r="O121" s="12"/>
      <c r="P121" s="13"/>
      <c r="Q121" s="19" t="str">
        <f aca="false">IF($N121="","",IFERROR(INDEX($C$5:$C$504,MATCH($N121,$A$5:$A$504,0)),"Invoice not found"))</f>
        <v/>
      </c>
    </row>
    <row r="122" customFormat="false" ht="15" hidden="false" customHeight="false" outlineLevel="0" collapsed="false">
      <c r="A122" s="19" t="str">
        <f aca="false">IF($K122="","",INDEX(Jobs!$O$5:$O$504,$K122))</f>
        <v/>
      </c>
      <c r="B122" s="22" t="str">
        <f aca="false">IF($K122="","",INDEX(Jobs!$A$5:$A$504,$K122))</f>
        <v/>
      </c>
      <c r="C122" s="19" t="str">
        <f aca="false">IF($K122="","",INDEX(Jobs!$B$5:$B$504,$K122))</f>
        <v/>
      </c>
      <c r="D122" s="19" t="str">
        <f aca="false">IF($K122="","",INDEX(Jobs!$J$5:$J$504,$K122))</f>
        <v/>
      </c>
      <c r="E122" s="15" t="str">
        <f aca="false">IF($K122="","",INDEX(Jobs!$N$5:$N$504,$K122))</f>
        <v/>
      </c>
      <c r="F122" s="15" t="str">
        <f aca="false">IF($A122="","",SUMIFS($P$5:$P$1004,$N$5:$N$1004,$A122))</f>
        <v/>
      </c>
      <c r="G122" s="15" t="str">
        <f aca="false">IF($A122="","",$E122-$F122)</f>
        <v/>
      </c>
      <c r="H122" s="22" t="str">
        <f aca="false">IF($A122="","",$B122+Settings!$B$11)</f>
        <v/>
      </c>
      <c r="I122" s="19" t="str">
        <f aca="true">IF($A122="","",IF($G122&lt;=0,"Paid",IF(TODAY()&gt;$H122,"Overdue",IF($F122&gt;0,"Partial","Unpaid"))))</f>
        <v/>
      </c>
      <c r="J122" s="14" t="str">
        <f aca="true">IF($A122="","",IF(AND($G122&gt;0,TODAY()&gt;$H122),TODAY()-$H122,""))</f>
        <v/>
      </c>
      <c r="K122" s="2" t="str">
        <f aca="false">IFERROR(MATCH(ROWS($K$5:$K122),Jobs!$Q$5:$Q$504,0),"")</f>
        <v/>
      </c>
      <c r="M122" s="16"/>
      <c r="N122" s="12"/>
      <c r="O122" s="12"/>
      <c r="P122" s="13"/>
      <c r="Q122" s="19" t="str">
        <f aca="false">IF($N122="","",IFERROR(INDEX($C$5:$C$504,MATCH($N122,$A$5:$A$504,0)),"Invoice not found"))</f>
        <v/>
      </c>
    </row>
    <row r="123" customFormat="false" ht="15" hidden="false" customHeight="false" outlineLevel="0" collapsed="false">
      <c r="A123" s="19" t="str">
        <f aca="false">IF($K123="","",INDEX(Jobs!$O$5:$O$504,$K123))</f>
        <v/>
      </c>
      <c r="B123" s="22" t="str">
        <f aca="false">IF($K123="","",INDEX(Jobs!$A$5:$A$504,$K123))</f>
        <v/>
      </c>
      <c r="C123" s="19" t="str">
        <f aca="false">IF($K123="","",INDEX(Jobs!$B$5:$B$504,$K123))</f>
        <v/>
      </c>
      <c r="D123" s="19" t="str">
        <f aca="false">IF($K123="","",INDEX(Jobs!$J$5:$J$504,$K123))</f>
        <v/>
      </c>
      <c r="E123" s="15" t="str">
        <f aca="false">IF($K123="","",INDEX(Jobs!$N$5:$N$504,$K123))</f>
        <v/>
      </c>
      <c r="F123" s="15" t="str">
        <f aca="false">IF($A123="","",SUMIFS($P$5:$P$1004,$N$5:$N$1004,$A123))</f>
        <v/>
      </c>
      <c r="G123" s="15" t="str">
        <f aca="false">IF($A123="","",$E123-$F123)</f>
        <v/>
      </c>
      <c r="H123" s="22" t="str">
        <f aca="false">IF($A123="","",$B123+Settings!$B$11)</f>
        <v/>
      </c>
      <c r="I123" s="19" t="str">
        <f aca="true">IF($A123="","",IF($G123&lt;=0,"Paid",IF(TODAY()&gt;$H123,"Overdue",IF($F123&gt;0,"Partial","Unpaid"))))</f>
        <v/>
      </c>
      <c r="J123" s="14" t="str">
        <f aca="true">IF($A123="","",IF(AND($G123&gt;0,TODAY()&gt;$H123),TODAY()-$H123,""))</f>
        <v/>
      </c>
      <c r="K123" s="2" t="str">
        <f aca="false">IFERROR(MATCH(ROWS($K$5:$K123),Jobs!$Q$5:$Q$504,0),"")</f>
        <v/>
      </c>
      <c r="M123" s="16"/>
      <c r="N123" s="12"/>
      <c r="O123" s="12"/>
      <c r="P123" s="13"/>
      <c r="Q123" s="19" t="str">
        <f aca="false">IF($N123="","",IFERROR(INDEX($C$5:$C$504,MATCH($N123,$A$5:$A$504,0)),"Invoice not found"))</f>
        <v/>
      </c>
    </row>
    <row r="124" customFormat="false" ht="15" hidden="false" customHeight="false" outlineLevel="0" collapsed="false">
      <c r="A124" s="19" t="str">
        <f aca="false">IF($K124="","",INDEX(Jobs!$O$5:$O$504,$K124))</f>
        <v/>
      </c>
      <c r="B124" s="22" t="str">
        <f aca="false">IF($K124="","",INDEX(Jobs!$A$5:$A$504,$K124))</f>
        <v/>
      </c>
      <c r="C124" s="19" t="str">
        <f aca="false">IF($K124="","",INDEX(Jobs!$B$5:$B$504,$K124))</f>
        <v/>
      </c>
      <c r="D124" s="19" t="str">
        <f aca="false">IF($K124="","",INDEX(Jobs!$J$5:$J$504,$K124))</f>
        <v/>
      </c>
      <c r="E124" s="15" t="str">
        <f aca="false">IF($K124="","",INDEX(Jobs!$N$5:$N$504,$K124))</f>
        <v/>
      </c>
      <c r="F124" s="15" t="str">
        <f aca="false">IF($A124="","",SUMIFS($P$5:$P$1004,$N$5:$N$1004,$A124))</f>
        <v/>
      </c>
      <c r="G124" s="15" t="str">
        <f aca="false">IF($A124="","",$E124-$F124)</f>
        <v/>
      </c>
      <c r="H124" s="22" t="str">
        <f aca="false">IF($A124="","",$B124+Settings!$B$11)</f>
        <v/>
      </c>
      <c r="I124" s="19" t="str">
        <f aca="true">IF($A124="","",IF($G124&lt;=0,"Paid",IF(TODAY()&gt;$H124,"Overdue",IF($F124&gt;0,"Partial","Unpaid"))))</f>
        <v/>
      </c>
      <c r="J124" s="14" t="str">
        <f aca="true">IF($A124="","",IF(AND($G124&gt;0,TODAY()&gt;$H124),TODAY()-$H124,""))</f>
        <v/>
      </c>
      <c r="K124" s="2" t="str">
        <f aca="false">IFERROR(MATCH(ROWS($K$5:$K124),Jobs!$Q$5:$Q$504,0),"")</f>
        <v/>
      </c>
      <c r="M124" s="16"/>
      <c r="N124" s="12"/>
      <c r="O124" s="12"/>
      <c r="P124" s="13"/>
      <c r="Q124" s="19" t="str">
        <f aca="false">IF($N124="","",IFERROR(INDEX($C$5:$C$504,MATCH($N124,$A$5:$A$504,0)),"Invoice not found"))</f>
        <v/>
      </c>
    </row>
    <row r="125" customFormat="false" ht="15" hidden="false" customHeight="false" outlineLevel="0" collapsed="false">
      <c r="A125" s="19" t="str">
        <f aca="false">IF($K125="","",INDEX(Jobs!$O$5:$O$504,$K125))</f>
        <v/>
      </c>
      <c r="B125" s="22" t="str">
        <f aca="false">IF($K125="","",INDEX(Jobs!$A$5:$A$504,$K125))</f>
        <v/>
      </c>
      <c r="C125" s="19" t="str">
        <f aca="false">IF($K125="","",INDEX(Jobs!$B$5:$B$504,$K125))</f>
        <v/>
      </c>
      <c r="D125" s="19" t="str">
        <f aca="false">IF($K125="","",INDEX(Jobs!$J$5:$J$504,$K125))</f>
        <v/>
      </c>
      <c r="E125" s="15" t="str">
        <f aca="false">IF($K125="","",INDEX(Jobs!$N$5:$N$504,$K125))</f>
        <v/>
      </c>
      <c r="F125" s="15" t="str">
        <f aca="false">IF($A125="","",SUMIFS($P$5:$P$1004,$N$5:$N$1004,$A125))</f>
        <v/>
      </c>
      <c r="G125" s="15" t="str">
        <f aca="false">IF($A125="","",$E125-$F125)</f>
        <v/>
      </c>
      <c r="H125" s="22" t="str">
        <f aca="false">IF($A125="","",$B125+Settings!$B$11)</f>
        <v/>
      </c>
      <c r="I125" s="19" t="str">
        <f aca="true">IF($A125="","",IF($G125&lt;=0,"Paid",IF(TODAY()&gt;$H125,"Overdue",IF($F125&gt;0,"Partial","Unpaid"))))</f>
        <v/>
      </c>
      <c r="J125" s="14" t="str">
        <f aca="true">IF($A125="","",IF(AND($G125&gt;0,TODAY()&gt;$H125),TODAY()-$H125,""))</f>
        <v/>
      </c>
      <c r="K125" s="2" t="str">
        <f aca="false">IFERROR(MATCH(ROWS($K$5:$K125),Jobs!$Q$5:$Q$504,0),"")</f>
        <v/>
      </c>
      <c r="M125" s="16"/>
      <c r="N125" s="12"/>
      <c r="O125" s="12"/>
      <c r="P125" s="13"/>
      <c r="Q125" s="19" t="str">
        <f aca="false">IF($N125="","",IFERROR(INDEX($C$5:$C$504,MATCH($N125,$A$5:$A$504,0)),"Invoice not found"))</f>
        <v/>
      </c>
    </row>
    <row r="126" customFormat="false" ht="15" hidden="false" customHeight="false" outlineLevel="0" collapsed="false">
      <c r="A126" s="19" t="str">
        <f aca="false">IF($K126="","",INDEX(Jobs!$O$5:$O$504,$K126))</f>
        <v/>
      </c>
      <c r="B126" s="22" t="str">
        <f aca="false">IF($K126="","",INDEX(Jobs!$A$5:$A$504,$K126))</f>
        <v/>
      </c>
      <c r="C126" s="19" t="str">
        <f aca="false">IF($K126="","",INDEX(Jobs!$B$5:$B$504,$K126))</f>
        <v/>
      </c>
      <c r="D126" s="19" t="str">
        <f aca="false">IF($K126="","",INDEX(Jobs!$J$5:$J$504,$K126))</f>
        <v/>
      </c>
      <c r="E126" s="15" t="str">
        <f aca="false">IF($K126="","",INDEX(Jobs!$N$5:$N$504,$K126))</f>
        <v/>
      </c>
      <c r="F126" s="15" t="str">
        <f aca="false">IF($A126="","",SUMIFS($P$5:$P$1004,$N$5:$N$1004,$A126))</f>
        <v/>
      </c>
      <c r="G126" s="15" t="str">
        <f aca="false">IF($A126="","",$E126-$F126)</f>
        <v/>
      </c>
      <c r="H126" s="22" t="str">
        <f aca="false">IF($A126="","",$B126+Settings!$B$11)</f>
        <v/>
      </c>
      <c r="I126" s="19" t="str">
        <f aca="true">IF($A126="","",IF($G126&lt;=0,"Paid",IF(TODAY()&gt;$H126,"Overdue",IF($F126&gt;0,"Partial","Unpaid"))))</f>
        <v/>
      </c>
      <c r="J126" s="14" t="str">
        <f aca="true">IF($A126="","",IF(AND($G126&gt;0,TODAY()&gt;$H126),TODAY()-$H126,""))</f>
        <v/>
      </c>
      <c r="K126" s="2" t="str">
        <f aca="false">IFERROR(MATCH(ROWS($K$5:$K126),Jobs!$Q$5:$Q$504,0),"")</f>
        <v/>
      </c>
      <c r="M126" s="16"/>
      <c r="N126" s="12"/>
      <c r="O126" s="12"/>
      <c r="P126" s="13"/>
      <c r="Q126" s="19" t="str">
        <f aca="false">IF($N126="","",IFERROR(INDEX($C$5:$C$504,MATCH($N126,$A$5:$A$504,0)),"Invoice not found"))</f>
        <v/>
      </c>
    </row>
    <row r="127" customFormat="false" ht="15" hidden="false" customHeight="false" outlineLevel="0" collapsed="false">
      <c r="A127" s="19" t="str">
        <f aca="false">IF($K127="","",INDEX(Jobs!$O$5:$O$504,$K127))</f>
        <v/>
      </c>
      <c r="B127" s="22" t="str">
        <f aca="false">IF($K127="","",INDEX(Jobs!$A$5:$A$504,$K127))</f>
        <v/>
      </c>
      <c r="C127" s="19" t="str">
        <f aca="false">IF($K127="","",INDEX(Jobs!$B$5:$B$504,$K127))</f>
        <v/>
      </c>
      <c r="D127" s="19" t="str">
        <f aca="false">IF($K127="","",INDEX(Jobs!$J$5:$J$504,$K127))</f>
        <v/>
      </c>
      <c r="E127" s="15" t="str">
        <f aca="false">IF($K127="","",INDEX(Jobs!$N$5:$N$504,$K127))</f>
        <v/>
      </c>
      <c r="F127" s="15" t="str">
        <f aca="false">IF($A127="","",SUMIFS($P$5:$P$1004,$N$5:$N$1004,$A127))</f>
        <v/>
      </c>
      <c r="G127" s="15" t="str">
        <f aca="false">IF($A127="","",$E127-$F127)</f>
        <v/>
      </c>
      <c r="H127" s="22" t="str">
        <f aca="false">IF($A127="","",$B127+Settings!$B$11)</f>
        <v/>
      </c>
      <c r="I127" s="19" t="str">
        <f aca="true">IF($A127="","",IF($G127&lt;=0,"Paid",IF(TODAY()&gt;$H127,"Overdue",IF($F127&gt;0,"Partial","Unpaid"))))</f>
        <v/>
      </c>
      <c r="J127" s="14" t="str">
        <f aca="true">IF($A127="","",IF(AND($G127&gt;0,TODAY()&gt;$H127),TODAY()-$H127,""))</f>
        <v/>
      </c>
      <c r="K127" s="2" t="str">
        <f aca="false">IFERROR(MATCH(ROWS($K$5:$K127),Jobs!$Q$5:$Q$504,0),"")</f>
        <v/>
      </c>
      <c r="M127" s="16"/>
      <c r="N127" s="12"/>
      <c r="O127" s="12"/>
      <c r="P127" s="13"/>
      <c r="Q127" s="19" t="str">
        <f aca="false">IF($N127="","",IFERROR(INDEX($C$5:$C$504,MATCH($N127,$A$5:$A$504,0)),"Invoice not found"))</f>
        <v/>
      </c>
    </row>
    <row r="128" customFormat="false" ht="15" hidden="false" customHeight="false" outlineLevel="0" collapsed="false">
      <c r="A128" s="19" t="str">
        <f aca="false">IF($K128="","",INDEX(Jobs!$O$5:$O$504,$K128))</f>
        <v/>
      </c>
      <c r="B128" s="22" t="str">
        <f aca="false">IF($K128="","",INDEX(Jobs!$A$5:$A$504,$K128))</f>
        <v/>
      </c>
      <c r="C128" s="19" t="str">
        <f aca="false">IF($K128="","",INDEX(Jobs!$B$5:$B$504,$K128))</f>
        <v/>
      </c>
      <c r="D128" s="19" t="str">
        <f aca="false">IF($K128="","",INDEX(Jobs!$J$5:$J$504,$K128))</f>
        <v/>
      </c>
      <c r="E128" s="15" t="str">
        <f aca="false">IF($K128="","",INDEX(Jobs!$N$5:$N$504,$K128))</f>
        <v/>
      </c>
      <c r="F128" s="15" t="str">
        <f aca="false">IF($A128="","",SUMIFS($P$5:$P$1004,$N$5:$N$1004,$A128))</f>
        <v/>
      </c>
      <c r="G128" s="15" t="str">
        <f aca="false">IF($A128="","",$E128-$F128)</f>
        <v/>
      </c>
      <c r="H128" s="22" t="str">
        <f aca="false">IF($A128="","",$B128+Settings!$B$11)</f>
        <v/>
      </c>
      <c r="I128" s="19" t="str">
        <f aca="true">IF($A128="","",IF($G128&lt;=0,"Paid",IF(TODAY()&gt;$H128,"Overdue",IF($F128&gt;0,"Partial","Unpaid"))))</f>
        <v/>
      </c>
      <c r="J128" s="14" t="str">
        <f aca="true">IF($A128="","",IF(AND($G128&gt;0,TODAY()&gt;$H128),TODAY()-$H128,""))</f>
        <v/>
      </c>
      <c r="K128" s="2" t="str">
        <f aca="false">IFERROR(MATCH(ROWS($K$5:$K128),Jobs!$Q$5:$Q$504,0),"")</f>
        <v/>
      </c>
      <c r="M128" s="16"/>
      <c r="N128" s="12"/>
      <c r="O128" s="12"/>
      <c r="P128" s="13"/>
      <c r="Q128" s="19" t="str">
        <f aca="false">IF($N128="","",IFERROR(INDEX($C$5:$C$504,MATCH($N128,$A$5:$A$504,0)),"Invoice not found"))</f>
        <v/>
      </c>
    </row>
    <row r="129" customFormat="false" ht="15" hidden="false" customHeight="false" outlineLevel="0" collapsed="false">
      <c r="A129" s="19" t="str">
        <f aca="false">IF($K129="","",INDEX(Jobs!$O$5:$O$504,$K129))</f>
        <v/>
      </c>
      <c r="B129" s="22" t="str">
        <f aca="false">IF($K129="","",INDEX(Jobs!$A$5:$A$504,$K129))</f>
        <v/>
      </c>
      <c r="C129" s="19" t="str">
        <f aca="false">IF($K129="","",INDEX(Jobs!$B$5:$B$504,$K129))</f>
        <v/>
      </c>
      <c r="D129" s="19" t="str">
        <f aca="false">IF($K129="","",INDEX(Jobs!$J$5:$J$504,$K129))</f>
        <v/>
      </c>
      <c r="E129" s="15" t="str">
        <f aca="false">IF($K129="","",INDEX(Jobs!$N$5:$N$504,$K129))</f>
        <v/>
      </c>
      <c r="F129" s="15" t="str">
        <f aca="false">IF($A129="","",SUMIFS($P$5:$P$1004,$N$5:$N$1004,$A129))</f>
        <v/>
      </c>
      <c r="G129" s="15" t="str">
        <f aca="false">IF($A129="","",$E129-$F129)</f>
        <v/>
      </c>
      <c r="H129" s="22" t="str">
        <f aca="false">IF($A129="","",$B129+Settings!$B$11)</f>
        <v/>
      </c>
      <c r="I129" s="19" t="str">
        <f aca="true">IF($A129="","",IF($G129&lt;=0,"Paid",IF(TODAY()&gt;$H129,"Overdue",IF($F129&gt;0,"Partial","Unpaid"))))</f>
        <v/>
      </c>
      <c r="J129" s="14" t="str">
        <f aca="true">IF($A129="","",IF(AND($G129&gt;0,TODAY()&gt;$H129),TODAY()-$H129,""))</f>
        <v/>
      </c>
      <c r="K129" s="2" t="str">
        <f aca="false">IFERROR(MATCH(ROWS($K$5:$K129),Jobs!$Q$5:$Q$504,0),"")</f>
        <v/>
      </c>
      <c r="M129" s="16"/>
      <c r="N129" s="12"/>
      <c r="O129" s="12"/>
      <c r="P129" s="13"/>
      <c r="Q129" s="19" t="str">
        <f aca="false">IF($N129="","",IFERROR(INDEX($C$5:$C$504,MATCH($N129,$A$5:$A$504,0)),"Invoice not found"))</f>
        <v/>
      </c>
    </row>
    <row r="130" customFormat="false" ht="15" hidden="false" customHeight="false" outlineLevel="0" collapsed="false">
      <c r="A130" s="19" t="str">
        <f aca="false">IF($K130="","",INDEX(Jobs!$O$5:$O$504,$K130))</f>
        <v/>
      </c>
      <c r="B130" s="22" t="str">
        <f aca="false">IF($K130="","",INDEX(Jobs!$A$5:$A$504,$K130))</f>
        <v/>
      </c>
      <c r="C130" s="19" t="str">
        <f aca="false">IF($K130="","",INDEX(Jobs!$B$5:$B$504,$K130))</f>
        <v/>
      </c>
      <c r="D130" s="19" t="str">
        <f aca="false">IF($K130="","",INDEX(Jobs!$J$5:$J$504,$K130))</f>
        <v/>
      </c>
      <c r="E130" s="15" t="str">
        <f aca="false">IF($K130="","",INDEX(Jobs!$N$5:$N$504,$K130))</f>
        <v/>
      </c>
      <c r="F130" s="15" t="str">
        <f aca="false">IF($A130="","",SUMIFS($P$5:$P$1004,$N$5:$N$1004,$A130))</f>
        <v/>
      </c>
      <c r="G130" s="15" t="str">
        <f aca="false">IF($A130="","",$E130-$F130)</f>
        <v/>
      </c>
      <c r="H130" s="22" t="str">
        <f aca="false">IF($A130="","",$B130+Settings!$B$11)</f>
        <v/>
      </c>
      <c r="I130" s="19" t="str">
        <f aca="true">IF($A130="","",IF($G130&lt;=0,"Paid",IF(TODAY()&gt;$H130,"Overdue",IF($F130&gt;0,"Partial","Unpaid"))))</f>
        <v/>
      </c>
      <c r="J130" s="14" t="str">
        <f aca="true">IF($A130="","",IF(AND($G130&gt;0,TODAY()&gt;$H130),TODAY()-$H130,""))</f>
        <v/>
      </c>
      <c r="K130" s="2" t="str">
        <f aca="false">IFERROR(MATCH(ROWS($K$5:$K130),Jobs!$Q$5:$Q$504,0),"")</f>
        <v/>
      </c>
      <c r="M130" s="16"/>
      <c r="N130" s="12"/>
      <c r="O130" s="12"/>
      <c r="P130" s="13"/>
      <c r="Q130" s="19" t="str">
        <f aca="false">IF($N130="","",IFERROR(INDEX($C$5:$C$504,MATCH($N130,$A$5:$A$504,0)),"Invoice not found"))</f>
        <v/>
      </c>
    </row>
    <row r="131" customFormat="false" ht="15" hidden="false" customHeight="false" outlineLevel="0" collapsed="false">
      <c r="A131" s="19" t="str">
        <f aca="false">IF($K131="","",INDEX(Jobs!$O$5:$O$504,$K131))</f>
        <v/>
      </c>
      <c r="B131" s="22" t="str">
        <f aca="false">IF($K131="","",INDEX(Jobs!$A$5:$A$504,$K131))</f>
        <v/>
      </c>
      <c r="C131" s="19" t="str">
        <f aca="false">IF($K131="","",INDEX(Jobs!$B$5:$B$504,$K131))</f>
        <v/>
      </c>
      <c r="D131" s="19" t="str">
        <f aca="false">IF($K131="","",INDEX(Jobs!$J$5:$J$504,$K131))</f>
        <v/>
      </c>
      <c r="E131" s="15" t="str">
        <f aca="false">IF($K131="","",INDEX(Jobs!$N$5:$N$504,$K131))</f>
        <v/>
      </c>
      <c r="F131" s="15" t="str">
        <f aca="false">IF($A131="","",SUMIFS($P$5:$P$1004,$N$5:$N$1004,$A131))</f>
        <v/>
      </c>
      <c r="G131" s="15" t="str">
        <f aca="false">IF($A131="","",$E131-$F131)</f>
        <v/>
      </c>
      <c r="H131" s="22" t="str">
        <f aca="false">IF($A131="","",$B131+Settings!$B$11)</f>
        <v/>
      </c>
      <c r="I131" s="19" t="str">
        <f aca="true">IF($A131="","",IF($G131&lt;=0,"Paid",IF(TODAY()&gt;$H131,"Overdue",IF($F131&gt;0,"Partial","Unpaid"))))</f>
        <v/>
      </c>
      <c r="J131" s="14" t="str">
        <f aca="true">IF($A131="","",IF(AND($G131&gt;0,TODAY()&gt;$H131),TODAY()-$H131,""))</f>
        <v/>
      </c>
      <c r="K131" s="2" t="str">
        <f aca="false">IFERROR(MATCH(ROWS($K$5:$K131),Jobs!$Q$5:$Q$504,0),"")</f>
        <v/>
      </c>
      <c r="M131" s="16"/>
      <c r="N131" s="12"/>
      <c r="O131" s="12"/>
      <c r="P131" s="13"/>
      <c r="Q131" s="19" t="str">
        <f aca="false">IF($N131="","",IFERROR(INDEX($C$5:$C$504,MATCH($N131,$A$5:$A$504,0)),"Invoice not found"))</f>
        <v/>
      </c>
    </row>
    <row r="132" customFormat="false" ht="15" hidden="false" customHeight="false" outlineLevel="0" collapsed="false">
      <c r="A132" s="19" t="str">
        <f aca="false">IF($K132="","",INDEX(Jobs!$O$5:$O$504,$K132))</f>
        <v/>
      </c>
      <c r="B132" s="22" t="str">
        <f aca="false">IF($K132="","",INDEX(Jobs!$A$5:$A$504,$K132))</f>
        <v/>
      </c>
      <c r="C132" s="19" t="str">
        <f aca="false">IF($K132="","",INDEX(Jobs!$B$5:$B$504,$K132))</f>
        <v/>
      </c>
      <c r="D132" s="19" t="str">
        <f aca="false">IF($K132="","",INDEX(Jobs!$J$5:$J$504,$K132))</f>
        <v/>
      </c>
      <c r="E132" s="15" t="str">
        <f aca="false">IF($K132="","",INDEX(Jobs!$N$5:$N$504,$K132))</f>
        <v/>
      </c>
      <c r="F132" s="15" t="str">
        <f aca="false">IF($A132="","",SUMIFS($P$5:$P$1004,$N$5:$N$1004,$A132))</f>
        <v/>
      </c>
      <c r="G132" s="15" t="str">
        <f aca="false">IF($A132="","",$E132-$F132)</f>
        <v/>
      </c>
      <c r="H132" s="22" t="str">
        <f aca="false">IF($A132="","",$B132+Settings!$B$11)</f>
        <v/>
      </c>
      <c r="I132" s="19" t="str">
        <f aca="true">IF($A132="","",IF($G132&lt;=0,"Paid",IF(TODAY()&gt;$H132,"Overdue",IF($F132&gt;0,"Partial","Unpaid"))))</f>
        <v/>
      </c>
      <c r="J132" s="14" t="str">
        <f aca="true">IF($A132="","",IF(AND($G132&gt;0,TODAY()&gt;$H132),TODAY()-$H132,""))</f>
        <v/>
      </c>
      <c r="K132" s="2" t="str">
        <f aca="false">IFERROR(MATCH(ROWS($K$5:$K132),Jobs!$Q$5:$Q$504,0),"")</f>
        <v/>
      </c>
      <c r="M132" s="16"/>
      <c r="N132" s="12"/>
      <c r="O132" s="12"/>
      <c r="P132" s="13"/>
      <c r="Q132" s="19" t="str">
        <f aca="false">IF($N132="","",IFERROR(INDEX($C$5:$C$504,MATCH($N132,$A$5:$A$504,0)),"Invoice not found"))</f>
        <v/>
      </c>
    </row>
    <row r="133" customFormat="false" ht="15" hidden="false" customHeight="false" outlineLevel="0" collapsed="false">
      <c r="A133" s="19" t="str">
        <f aca="false">IF($K133="","",INDEX(Jobs!$O$5:$O$504,$K133))</f>
        <v/>
      </c>
      <c r="B133" s="22" t="str">
        <f aca="false">IF($K133="","",INDEX(Jobs!$A$5:$A$504,$K133))</f>
        <v/>
      </c>
      <c r="C133" s="19" t="str">
        <f aca="false">IF($K133="","",INDEX(Jobs!$B$5:$B$504,$K133))</f>
        <v/>
      </c>
      <c r="D133" s="19" t="str">
        <f aca="false">IF($K133="","",INDEX(Jobs!$J$5:$J$504,$K133))</f>
        <v/>
      </c>
      <c r="E133" s="15" t="str">
        <f aca="false">IF($K133="","",INDEX(Jobs!$N$5:$N$504,$K133))</f>
        <v/>
      </c>
      <c r="F133" s="15" t="str">
        <f aca="false">IF($A133="","",SUMIFS($P$5:$P$1004,$N$5:$N$1004,$A133))</f>
        <v/>
      </c>
      <c r="G133" s="15" t="str">
        <f aca="false">IF($A133="","",$E133-$F133)</f>
        <v/>
      </c>
      <c r="H133" s="22" t="str">
        <f aca="false">IF($A133="","",$B133+Settings!$B$11)</f>
        <v/>
      </c>
      <c r="I133" s="19" t="str">
        <f aca="true">IF($A133="","",IF($G133&lt;=0,"Paid",IF(TODAY()&gt;$H133,"Overdue",IF($F133&gt;0,"Partial","Unpaid"))))</f>
        <v/>
      </c>
      <c r="J133" s="14" t="str">
        <f aca="true">IF($A133="","",IF(AND($G133&gt;0,TODAY()&gt;$H133),TODAY()-$H133,""))</f>
        <v/>
      </c>
      <c r="K133" s="2" t="str">
        <f aca="false">IFERROR(MATCH(ROWS($K$5:$K133),Jobs!$Q$5:$Q$504,0),"")</f>
        <v/>
      </c>
      <c r="M133" s="16"/>
      <c r="N133" s="12"/>
      <c r="O133" s="12"/>
      <c r="P133" s="13"/>
      <c r="Q133" s="19" t="str">
        <f aca="false">IF($N133="","",IFERROR(INDEX($C$5:$C$504,MATCH($N133,$A$5:$A$504,0)),"Invoice not found"))</f>
        <v/>
      </c>
    </row>
    <row r="134" customFormat="false" ht="15" hidden="false" customHeight="false" outlineLevel="0" collapsed="false">
      <c r="A134" s="19" t="str">
        <f aca="false">IF($K134="","",INDEX(Jobs!$O$5:$O$504,$K134))</f>
        <v/>
      </c>
      <c r="B134" s="22" t="str">
        <f aca="false">IF($K134="","",INDEX(Jobs!$A$5:$A$504,$K134))</f>
        <v/>
      </c>
      <c r="C134" s="19" t="str">
        <f aca="false">IF($K134="","",INDEX(Jobs!$B$5:$B$504,$K134))</f>
        <v/>
      </c>
      <c r="D134" s="19" t="str">
        <f aca="false">IF($K134="","",INDEX(Jobs!$J$5:$J$504,$K134))</f>
        <v/>
      </c>
      <c r="E134" s="15" t="str">
        <f aca="false">IF($K134="","",INDEX(Jobs!$N$5:$N$504,$K134))</f>
        <v/>
      </c>
      <c r="F134" s="15" t="str">
        <f aca="false">IF($A134="","",SUMIFS($P$5:$P$1004,$N$5:$N$1004,$A134))</f>
        <v/>
      </c>
      <c r="G134" s="15" t="str">
        <f aca="false">IF($A134="","",$E134-$F134)</f>
        <v/>
      </c>
      <c r="H134" s="22" t="str">
        <f aca="false">IF($A134="","",$B134+Settings!$B$11)</f>
        <v/>
      </c>
      <c r="I134" s="19" t="str">
        <f aca="true">IF($A134="","",IF($G134&lt;=0,"Paid",IF(TODAY()&gt;$H134,"Overdue",IF($F134&gt;0,"Partial","Unpaid"))))</f>
        <v/>
      </c>
      <c r="J134" s="14" t="str">
        <f aca="true">IF($A134="","",IF(AND($G134&gt;0,TODAY()&gt;$H134),TODAY()-$H134,""))</f>
        <v/>
      </c>
      <c r="K134" s="2" t="str">
        <f aca="false">IFERROR(MATCH(ROWS($K$5:$K134),Jobs!$Q$5:$Q$504,0),"")</f>
        <v/>
      </c>
      <c r="M134" s="16"/>
      <c r="N134" s="12"/>
      <c r="O134" s="12"/>
      <c r="P134" s="13"/>
      <c r="Q134" s="19" t="str">
        <f aca="false">IF($N134="","",IFERROR(INDEX($C$5:$C$504,MATCH($N134,$A$5:$A$504,0)),"Invoice not found"))</f>
        <v/>
      </c>
    </row>
    <row r="135" customFormat="false" ht="15" hidden="false" customHeight="false" outlineLevel="0" collapsed="false">
      <c r="A135" s="19" t="str">
        <f aca="false">IF($K135="","",INDEX(Jobs!$O$5:$O$504,$K135))</f>
        <v/>
      </c>
      <c r="B135" s="22" t="str">
        <f aca="false">IF($K135="","",INDEX(Jobs!$A$5:$A$504,$K135))</f>
        <v/>
      </c>
      <c r="C135" s="19" t="str">
        <f aca="false">IF($K135="","",INDEX(Jobs!$B$5:$B$504,$K135))</f>
        <v/>
      </c>
      <c r="D135" s="19" t="str">
        <f aca="false">IF($K135="","",INDEX(Jobs!$J$5:$J$504,$K135))</f>
        <v/>
      </c>
      <c r="E135" s="15" t="str">
        <f aca="false">IF($K135="","",INDEX(Jobs!$N$5:$N$504,$K135))</f>
        <v/>
      </c>
      <c r="F135" s="15" t="str">
        <f aca="false">IF($A135="","",SUMIFS($P$5:$P$1004,$N$5:$N$1004,$A135))</f>
        <v/>
      </c>
      <c r="G135" s="15" t="str">
        <f aca="false">IF($A135="","",$E135-$F135)</f>
        <v/>
      </c>
      <c r="H135" s="22" t="str">
        <f aca="false">IF($A135="","",$B135+Settings!$B$11)</f>
        <v/>
      </c>
      <c r="I135" s="19" t="str">
        <f aca="true">IF($A135="","",IF($G135&lt;=0,"Paid",IF(TODAY()&gt;$H135,"Overdue",IF($F135&gt;0,"Partial","Unpaid"))))</f>
        <v/>
      </c>
      <c r="J135" s="14" t="str">
        <f aca="true">IF($A135="","",IF(AND($G135&gt;0,TODAY()&gt;$H135),TODAY()-$H135,""))</f>
        <v/>
      </c>
      <c r="K135" s="2" t="str">
        <f aca="false">IFERROR(MATCH(ROWS($K$5:$K135),Jobs!$Q$5:$Q$504,0),"")</f>
        <v/>
      </c>
      <c r="M135" s="16"/>
      <c r="N135" s="12"/>
      <c r="O135" s="12"/>
      <c r="P135" s="13"/>
      <c r="Q135" s="19" t="str">
        <f aca="false">IF($N135="","",IFERROR(INDEX($C$5:$C$504,MATCH($N135,$A$5:$A$504,0)),"Invoice not found"))</f>
        <v/>
      </c>
    </row>
    <row r="136" customFormat="false" ht="15" hidden="false" customHeight="false" outlineLevel="0" collapsed="false">
      <c r="A136" s="19" t="str">
        <f aca="false">IF($K136="","",INDEX(Jobs!$O$5:$O$504,$K136))</f>
        <v/>
      </c>
      <c r="B136" s="22" t="str">
        <f aca="false">IF($K136="","",INDEX(Jobs!$A$5:$A$504,$K136))</f>
        <v/>
      </c>
      <c r="C136" s="19" t="str">
        <f aca="false">IF($K136="","",INDEX(Jobs!$B$5:$B$504,$K136))</f>
        <v/>
      </c>
      <c r="D136" s="19" t="str">
        <f aca="false">IF($K136="","",INDEX(Jobs!$J$5:$J$504,$K136))</f>
        <v/>
      </c>
      <c r="E136" s="15" t="str">
        <f aca="false">IF($K136="","",INDEX(Jobs!$N$5:$N$504,$K136))</f>
        <v/>
      </c>
      <c r="F136" s="15" t="str">
        <f aca="false">IF($A136="","",SUMIFS($P$5:$P$1004,$N$5:$N$1004,$A136))</f>
        <v/>
      </c>
      <c r="G136" s="15" t="str">
        <f aca="false">IF($A136="","",$E136-$F136)</f>
        <v/>
      </c>
      <c r="H136" s="22" t="str">
        <f aca="false">IF($A136="","",$B136+Settings!$B$11)</f>
        <v/>
      </c>
      <c r="I136" s="19" t="str">
        <f aca="true">IF($A136="","",IF($G136&lt;=0,"Paid",IF(TODAY()&gt;$H136,"Overdue",IF($F136&gt;0,"Partial","Unpaid"))))</f>
        <v/>
      </c>
      <c r="J136" s="14" t="str">
        <f aca="true">IF($A136="","",IF(AND($G136&gt;0,TODAY()&gt;$H136),TODAY()-$H136,""))</f>
        <v/>
      </c>
      <c r="K136" s="2" t="str">
        <f aca="false">IFERROR(MATCH(ROWS($K$5:$K136),Jobs!$Q$5:$Q$504,0),"")</f>
        <v/>
      </c>
      <c r="M136" s="16"/>
      <c r="N136" s="12"/>
      <c r="O136" s="12"/>
      <c r="P136" s="13"/>
      <c r="Q136" s="19" t="str">
        <f aca="false">IF($N136="","",IFERROR(INDEX($C$5:$C$504,MATCH($N136,$A$5:$A$504,0)),"Invoice not found"))</f>
        <v/>
      </c>
    </row>
    <row r="137" customFormat="false" ht="15" hidden="false" customHeight="false" outlineLevel="0" collapsed="false">
      <c r="A137" s="19" t="str">
        <f aca="false">IF($K137="","",INDEX(Jobs!$O$5:$O$504,$K137))</f>
        <v/>
      </c>
      <c r="B137" s="22" t="str">
        <f aca="false">IF($K137="","",INDEX(Jobs!$A$5:$A$504,$K137))</f>
        <v/>
      </c>
      <c r="C137" s="19" t="str">
        <f aca="false">IF($K137="","",INDEX(Jobs!$B$5:$B$504,$K137))</f>
        <v/>
      </c>
      <c r="D137" s="19" t="str">
        <f aca="false">IF($K137="","",INDEX(Jobs!$J$5:$J$504,$K137))</f>
        <v/>
      </c>
      <c r="E137" s="15" t="str">
        <f aca="false">IF($K137="","",INDEX(Jobs!$N$5:$N$504,$K137))</f>
        <v/>
      </c>
      <c r="F137" s="15" t="str">
        <f aca="false">IF($A137="","",SUMIFS($P$5:$P$1004,$N$5:$N$1004,$A137))</f>
        <v/>
      </c>
      <c r="G137" s="15" t="str">
        <f aca="false">IF($A137="","",$E137-$F137)</f>
        <v/>
      </c>
      <c r="H137" s="22" t="str">
        <f aca="false">IF($A137="","",$B137+Settings!$B$11)</f>
        <v/>
      </c>
      <c r="I137" s="19" t="str">
        <f aca="true">IF($A137="","",IF($G137&lt;=0,"Paid",IF(TODAY()&gt;$H137,"Overdue",IF($F137&gt;0,"Partial","Unpaid"))))</f>
        <v/>
      </c>
      <c r="J137" s="14" t="str">
        <f aca="true">IF($A137="","",IF(AND($G137&gt;0,TODAY()&gt;$H137),TODAY()-$H137,""))</f>
        <v/>
      </c>
      <c r="K137" s="2" t="str">
        <f aca="false">IFERROR(MATCH(ROWS($K$5:$K137),Jobs!$Q$5:$Q$504,0),"")</f>
        <v/>
      </c>
      <c r="M137" s="16"/>
      <c r="N137" s="12"/>
      <c r="O137" s="12"/>
      <c r="P137" s="13"/>
      <c r="Q137" s="19" t="str">
        <f aca="false">IF($N137="","",IFERROR(INDEX($C$5:$C$504,MATCH($N137,$A$5:$A$504,0)),"Invoice not found"))</f>
        <v/>
      </c>
    </row>
    <row r="138" customFormat="false" ht="15" hidden="false" customHeight="false" outlineLevel="0" collapsed="false">
      <c r="A138" s="19" t="str">
        <f aca="false">IF($K138="","",INDEX(Jobs!$O$5:$O$504,$K138))</f>
        <v/>
      </c>
      <c r="B138" s="22" t="str">
        <f aca="false">IF($K138="","",INDEX(Jobs!$A$5:$A$504,$K138))</f>
        <v/>
      </c>
      <c r="C138" s="19" t="str">
        <f aca="false">IF($K138="","",INDEX(Jobs!$B$5:$B$504,$K138))</f>
        <v/>
      </c>
      <c r="D138" s="19" t="str">
        <f aca="false">IF($K138="","",INDEX(Jobs!$J$5:$J$504,$K138))</f>
        <v/>
      </c>
      <c r="E138" s="15" t="str">
        <f aca="false">IF($K138="","",INDEX(Jobs!$N$5:$N$504,$K138))</f>
        <v/>
      </c>
      <c r="F138" s="15" t="str">
        <f aca="false">IF($A138="","",SUMIFS($P$5:$P$1004,$N$5:$N$1004,$A138))</f>
        <v/>
      </c>
      <c r="G138" s="15" t="str">
        <f aca="false">IF($A138="","",$E138-$F138)</f>
        <v/>
      </c>
      <c r="H138" s="22" t="str">
        <f aca="false">IF($A138="","",$B138+Settings!$B$11)</f>
        <v/>
      </c>
      <c r="I138" s="19" t="str">
        <f aca="true">IF($A138="","",IF($G138&lt;=0,"Paid",IF(TODAY()&gt;$H138,"Overdue",IF($F138&gt;0,"Partial","Unpaid"))))</f>
        <v/>
      </c>
      <c r="J138" s="14" t="str">
        <f aca="true">IF($A138="","",IF(AND($G138&gt;0,TODAY()&gt;$H138),TODAY()-$H138,""))</f>
        <v/>
      </c>
      <c r="K138" s="2" t="str">
        <f aca="false">IFERROR(MATCH(ROWS($K$5:$K138),Jobs!$Q$5:$Q$504,0),"")</f>
        <v/>
      </c>
      <c r="M138" s="16"/>
      <c r="N138" s="12"/>
      <c r="O138" s="12"/>
      <c r="P138" s="13"/>
      <c r="Q138" s="19" t="str">
        <f aca="false">IF($N138="","",IFERROR(INDEX($C$5:$C$504,MATCH($N138,$A$5:$A$504,0)),"Invoice not found"))</f>
        <v/>
      </c>
    </row>
    <row r="139" customFormat="false" ht="15" hidden="false" customHeight="false" outlineLevel="0" collapsed="false">
      <c r="A139" s="19" t="str">
        <f aca="false">IF($K139="","",INDEX(Jobs!$O$5:$O$504,$K139))</f>
        <v/>
      </c>
      <c r="B139" s="22" t="str">
        <f aca="false">IF($K139="","",INDEX(Jobs!$A$5:$A$504,$K139))</f>
        <v/>
      </c>
      <c r="C139" s="19" t="str">
        <f aca="false">IF($K139="","",INDEX(Jobs!$B$5:$B$504,$K139))</f>
        <v/>
      </c>
      <c r="D139" s="19" t="str">
        <f aca="false">IF($K139="","",INDEX(Jobs!$J$5:$J$504,$K139))</f>
        <v/>
      </c>
      <c r="E139" s="15" t="str">
        <f aca="false">IF($K139="","",INDEX(Jobs!$N$5:$N$504,$K139))</f>
        <v/>
      </c>
      <c r="F139" s="15" t="str">
        <f aca="false">IF($A139="","",SUMIFS($P$5:$P$1004,$N$5:$N$1004,$A139))</f>
        <v/>
      </c>
      <c r="G139" s="15" t="str">
        <f aca="false">IF($A139="","",$E139-$F139)</f>
        <v/>
      </c>
      <c r="H139" s="22" t="str">
        <f aca="false">IF($A139="","",$B139+Settings!$B$11)</f>
        <v/>
      </c>
      <c r="I139" s="19" t="str">
        <f aca="true">IF($A139="","",IF($G139&lt;=0,"Paid",IF(TODAY()&gt;$H139,"Overdue",IF($F139&gt;0,"Partial","Unpaid"))))</f>
        <v/>
      </c>
      <c r="J139" s="14" t="str">
        <f aca="true">IF($A139="","",IF(AND($G139&gt;0,TODAY()&gt;$H139),TODAY()-$H139,""))</f>
        <v/>
      </c>
      <c r="K139" s="2" t="str">
        <f aca="false">IFERROR(MATCH(ROWS($K$5:$K139),Jobs!$Q$5:$Q$504,0),"")</f>
        <v/>
      </c>
      <c r="M139" s="16"/>
      <c r="N139" s="12"/>
      <c r="O139" s="12"/>
      <c r="P139" s="13"/>
      <c r="Q139" s="19" t="str">
        <f aca="false">IF($N139="","",IFERROR(INDEX($C$5:$C$504,MATCH($N139,$A$5:$A$504,0)),"Invoice not found"))</f>
        <v/>
      </c>
    </row>
    <row r="140" customFormat="false" ht="15" hidden="false" customHeight="false" outlineLevel="0" collapsed="false">
      <c r="A140" s="19" t="str">
        <f aca="false">IF($K140="","",INDEX(Jobs!$O$5:$O$504,$K140))</f>
        <v/>
      </c>
      <c r="B140" s="22" t="str">
        <f aca="false">IF($K140="","",INDEX(Jobs!$A$5:$A$504,$K140))</f>
        <v/>
      </c>
      <c r="C140" s="19" t="str">
        <f aca="false">IF($K140="","",INDEX(Jobs!$B$5:$B$504,$K140))</f>
        <v/>
      </c>
      <c r="D140" s="19" t="str">
        <f aca="false">IF($K140="","",INDEX(Jobs!$J$5:$J$504,$K140))</f>
        <v/>
      </c>
      <c r="E140" s="15" t="str">
        <f aca="false">IF($K140="","",INDEX(Jobs!$N$5:$N$504,$K140))</f>
        <v/>
      </c>
      <c r="F140" s="15" t="str">
        <f aca="false">IF($A140="","",SUMIFS($P$5:$P$1004,$N$5:$N$1004,$A140))</f>
        <v/>
      </c>
      <c r="G140" s="15" t="str">
        <f aca="false">IF($A140="","",$E140-$F140)</f>
        <v/>
      </c>
      <c r="H140" s="22" t="str">
        <f aca="false">IF($A140="","",$B140+Settings!$B$11)</f>
        <v/>
      </c>
      <c r="I140" s="19" t="str">
        <f aca="true">IF($A140="","",IF($G140&lt;=0,"Paid",IF(TODAY()&gt;$H140,"Overdue",IF($F140&gt;0,"Partial","Unpaid"))))</f>
        <v/>
      </c>
      <c r="J140" s="14" t="str">
        <f aca="true">IF($A140="","",IF(AND($G140&gt;0,TODAY()&gt;$H140),TODAY()-$H140,""))</f>
        <v/>
      </c>
      <c r="K140" s="2" t="str">
        <f aca="false">IFERROR(MATCH(ROWS($K$5:$K140),Jobs!$Q$5:$Q$504,0),"")</f>
        <v/>
      </c>
      <c r="M140" s="16"/>
      <c r="N140" s="12"/>
      <c r="O140" s="12"/>
      <c r="P140" s="13"/>
      <c r="Q140" s="19" t="str">
        <f aca="false">IF($N140="","",IFERROR(INDEX($C$5:$C$504,MATCH($N140,$A$5:$A$504,0)),"Invoice not found"))</f>
        <v/>
      </c>
    </row>
    <row r="141" customFormat="false" ht="15" hidden="false" customHeight="false" outlineLevel="0" collapsed="false">
      <c r="A141" s="19" t="str">
        <f aca="false">IF($K141="","",INDEX(Jobs!$O$5:$O$504,$K141))</f>
        <v/>
      </c>
      <c r="B141" s="22" t="str">
        <f aca="false">IF($K141="","",INDEX(Jobs!$A$5:$A$504,$K141))</f>
        <v/>
      </c>
      <c r="C141" s="19" t="str">
        <f aca="false">IF($K141="","",INDEX(Jobs!$B$5:$B$504,$K141))</f>
        <v/>
      </c>
      <c r="D141" s="19" t="str">
        <f aca="false">IF($K141="","",INDEX(Jobs!$J$5:$J$504,$K141))</f>
        <v/>
      </c>
      <c r="E141" s="15" t="str">
        <f aca="false">IF($K141="","",INDEX(Jobs!$N$5:$N$504,$K141))</f>
        <v/>
      </c>
      <c r="F141" s="15" t="str">
        <f aca="false">IF($A141="","",SUMIFS($P$5:$P$1004,$N$5:$N$1004,$A141))</f>
        <v/>
      </c>
      <c r="G141" s="15" t="str">
        <f aca="false">IF($A141="","",$E141-$F141)</f>
        <v/>
      </c>
      <c r="H141" s="22" t="str">
        <f aca="false">IF($A141="","",$B141+Settings!$B$11)</f>
        <v/>
      </c>
      <c r="I141" s="19" t="str">
        <f aca="true">IF($A141="","",IF($G141&lt;=0,"Paid",IF(TODAY()&gt;$H141,"Overdue",IF($F141&gt;0,"Partial","Unpaid"))))</f>
        <v/>
      </c>
      <c r="J141" s="14" t="str">
        <f aca="true">IF($A141="","",IF(AND($G141&gt;0,TODAY()&gt;$H141),TODAY()-$H141,""))</f>
        <v/>
      </c>
      <c r="K141" s="2" t="str">
        <f aca="false">IFERROR(MATCH(ROWS($K$5:$K141),Jobs!$Q$5:$Q$504,0),"")</f>
        <v/>
      </c>
      <c r="M141" s="16"/>
      <c r="N141" s="12"/>
      <c r="O141" s="12"/>
      <c r="P141" s="13"/>
      <c r="Q141" s="19" t="str">
        <f aca="false">IF($N141="","",IFERROR(INDEX($C$5:$C$504,MATCH($N141,$A$5:$A$504,0)),"Invoice not found"))</f>
        <v/>
      </c>
    </row>
    <row r="142" customFormat="false" ht="15" hidden="false" customHeight="false" outlineLevel="0" collapsed="false">
      <c r="A142" s="19" t="str">
        <f aca="false">IF($K142="","",INDEX(Jobs!$O$5:$O$504,$K142))</f>
        <v/>
      </c>
      <c r="B142" s="22" t="str">
        <f aca="false">IF($K142="","",INDEX(Jobs!$A$5:$A$504,$K142))</f>
        <v/>
      </c>
      <c r="C142" s="19" t="str">
        <f aca="false">IF($K142="","",INDEX(Jobs!$B$5:$B$504,$K142))</f>
        <v/>
      </c>
      <c r="D142" s="19" t="str">
        <f aca="false">IF($K142="","",INDEX(Jobs!$J$5:$J$504,$K142))</f>
        <v/>
      </c>
      <c r="E142" s="15" t="str">
        <f aca="false">IF($K142="","",INDEX(Jobs!$N$5:$N$504,$K142))</f>
        <v/>
      </c>
      <c r="F142" s="15" t="str">
        <f aca="false">IF($A142="","",SUMIFS($P$5:$P$1004,$N$5:$N$1004,$A142))</f>
        <v/>
      </c>
      <c r="G142" s="15" t="str">
        <f aca="false">IF($A142="","",$E142-$F142)</f>
        <v/>
      </c>
      <c r="H142" s="22" t="str">
        <f aca="false">IF($A142="","",$B142+Settings!$B$11)</f>
        <v/>
      </c>
      <c r="I142" s="19" t="str">
        <f aca="true">IF($A142="","",IF($G142&lt;=0,"Paid",IF(TODAY()&gt;$H142,"Overdue",IF($F142&gt;0,"Partial","Unpaid"))))</f>
        <v/>
      </c>
      <c r="J142" s="14" t="str">
        <f aca="true">IF($A142="","",IF(AND($G142&gt;0,TODAY()&gt;$H142),TODAY()-$H142,""))</f>
        <v/>
      </c>
      <c r="K142" s="2" t="str">
        <f aca="false">IFERROR(MATCH(ROWS($K$5:$K142),Jobs!$Q$5:$Q$504,0),"")</f>
        <v/>
      </c>
      <c r="M142" s="16"/>
      <c r="N142" s="12"/>
      <c r="O142" s="12"/>
      <c r="P142" s="13"/>
      <c r="Q142" s="19" t="str">
        <f aca="false">IF($N142="","",IFERROR(INDEX($C$5:$C$504,MATCH($N142,$A$5:$A$504,0)),"Invoice not found"))</f>
        <v/>
      </c>
    </row>
    <row r="143" customFormat="false" ht="15" hidden="false" customHeight="false" outlineLevel="0" collapsed="false">
      <c r="A143" s="19" t="str">
        <f aca="false">IF($K143="","",INDEX(Jobs!$O$5:$O$504,$K143))</f>
        <v/>
      </c>
      <c r="B143" s="22" t="str">
        <f aca="false">IF($K143="","",INDEX(Jobs!$A$5:$A$504,$K143))</f>
        <v/>
      </c>
      <c r="C143" s="19" t="str">
        <f aca="false">IF($K143="","",INDEX(Jobs!$B$5:$B$504,$K143))</f>
        <v/>
      </c>
      <c r="D143" s="19" t="str">
        <f aca="false">IF($K143="","",INDEX(Jobs!$J$5:$J$504,$K143))</f>
        <v/>
      </c>
      <c r="E143" s="15" t="str">
        <f aca="false">IF($K143="","",INDEX(Jobs!$N$5:$N$504,$K143))</f>
        <v/>
      </c>
      <c r="F143" s="15" t="str">
        <f aca="false">IF($A143="","",SUMIFS($P$5:$P$1004,$N$5:$N$1004,$A143))</f>
        <v/>
      </c>
      <c r="G143" s="15" t="str">
        <f aca="false">IF($A143="","",$E143-$F143)</f>
        <v/>
      </c>
      <c r="H143" s="22" t="str">
        <f aca="false">IF($A143="","",$B143+Settings!$B$11)</f>
        <v/>
      </c>
      <c r="I143" s="19" t="str">
        <f aca="true">IF($A143="","",IF($G143&lt;=0,"Paid",IF(TODAY()&gt;$H143,"Overdue",IF($F143&gt;0,"Partial","Unpaid"))))</f>
        <v/>
      </c>
      <c r="J143" s="14" t="str">
        <f aca="true">IF($A143="","",IF(AND($G143&gt;0,TODAY()&gt;$H143),TODAY()-$H143,""))</f>
        <v/>
      </c>
      <c r="K143" s="2" t="str">
        <f aca="false">IFERROR(MATCH(ROWS($K$5:$K143),Jobs!$Q$5:$Q$504,0),"")</f>
        <v/>
      </c>
      <c r="M143" s="16"/>
      <c r="N143" s="12"/>
      <c r="O143" s="12"/>
      <c r="P143" s="13"/>
      <c r="Q143" s="19" t="str">
        <f aca="false">IF($N143="","",IFERROR(INDEX($C$5:$C$504,MATCH($N143,$A$5:$A$504,0)),"Invoice not found"))</f>
        <v/>
      </c>
    </row>
    <row r="144" customFormat="false" ht="15" hidden="false" customHeight="false" outlineLevel="0" collapsed="false">
      <c r="A144" s="19" t="str">
        <f aca="false">IF($K144="","",INDEX(Jobs!$O$5:$O$504,$K144))</f>
        <v/>
      </c>
      <c r="B144" s="22" t="str">
        <f aca="false">IF($K144="","",INDEX(Jobs!$A$5:$A$504,$K144))</f>
        <v/>
      </c>
      <c r="C144" s="19" t="str">
        <f aca="false">IF($K144="","",INDEX(Jobs!$B$5:$B$504,$K144))</f>
        <v/>
      </c>
      <c r="D144" s="19" t="str">
        <f aca="false">IF($K144="","",INDEX(Jobs!$J$5:$J$504,$K144))</f>
        <v/>
      </c>
      <c r="E144" s="15" t="str">
        <f aca="false">IF($K144="","",INDEX(Jobs!$N$5:$N$504,$K144))</f>
        <v/>
      </c>
      <c r="F144" s="15" t="str">
        <f aca="false">IF($A144="","",SUMIFS($P$5:$P$1004,$N$5:$N$1004,$A144))</f>
        <v/>
      </c>
      <c r="G144" s="15" t="str">
        <f aca="false">IF($A144="","",$E144-$F144)</f>
        <v/>
      </c>
      <c r="H144" s="22" t="str">
        <f aca="false">IF($A144="","",$B144+Settings!$B$11)</f>
        <v/>
      </c>
      <c r="I144" s="19" t="str">
        <f aca="true">IF($A144="","",IF($G144&lt;=0,"Paid",IF(TODAY()&gt;$H144,"Overdue",IF($F144&gt;0,"Partial","Unpaid"))))</f>
        <v/>
      </c>
      <c r="J144" s="14" t="str">
        <f aca="true">IF($A144="","",IF(AND($G144&gt;0,TODAY()&gt;$H144),TODAY()-$H144,""))</f>
        <v/>
      </c>
      <c r="K144" s="2" t="str">
        <f aca="false">IFERROR(MATCH(ROWS($K$5:$K144),Jobs!$Q$5:$Q$504,0),"")</f>
        <v/>
      </c>
      <c r="M144" s="16"/>
      <c r="N144" s="12"/>
      <c r="O144" s="12"/>
      <c r="P144" s="13"/>
      <c r="Q144" s="19" t="str">
        <f aca="false">IF($N144="","",IFERROR(INDEX($C$5:$C$504,MATCH($N144,$A$5:$A$504,0)),"Invoice not found"))</f>
        <v/>
      </c>
    </row>
    <row r="145" customFormat="false" ht="15" hidden="false" customHeight="false" outlineLevel="0" collapsed="false">
      <c r="A145" s="19" t="str">
        <f aca="false">IF($K145="","",INDEX(Jobs!$O$5:$O$504,$K145))</f>
        <v/>
      </c>
      <c r="B145" s="22" t="str">
        <f aca="false">IF($K145="","",INDEX(Jobs!$A$5:$A$504,$K145))</f>
        <v/>
      </c>
      <c r="C145" s="19" t="str">
        <f aca="false">IF($K145="","",INDEX(Jobs!$B$5:$B$504,$K145))</f>
        <v/>
      </c>
      <c r="D145" s="19" t="str">
        <f aca="false">IF($K145="","",INDEX(Jobs!$J$5:$J$504,$K145))</f>
        <v/>
      </c>
      <c r="E145" s="15" t="str">
        <f aca="false">IF($K145="","",INDEX(Jobs!$N$5:$N$504,$K145))</f>
        <v/>
      </c>
      <c r="F145" s="15" t="str">
        <f aca="false">IF($A145="","",SUMIFS($P$5:$P$1004,$N$5:$N$1004,$A145))</f>
        <v/>
      </c>
      <c r="G145" s="15" t="str">
        <f aca="false">IF($A145="","",$E145-$F145)</f>
        <v/>
      </c>
      <c r="H145" s="22" t="str">
        <f aca="false">IF($A145="","",$B145+Settings!$B$11)</f>
        <v/>
      </c>
      <c r="I145" s="19" t="str">
        <f aca="true">IF($A145="","",IF($G145&lt;=0,"Paid",IF(TODAY()&gt;$H145,"Overdue",IF($F145&gt;0,"Partial","Unpaid"))))</f>
        <v/>
      </c>
      <c r="J145" s="14" t="str">
        <f aca="true">IF($A145="","",IF(AND($G145&gt;0,TODAY()&gt;$H145),TODAY()-$H145,""))</f>
        <v/>
      </c>
      <c r="K145" s="2" t="str">
        <f aca="false">IFERROR(MATCH(ROWS($K$5:$K145),Jobs!$Q$5:$Q$504,0),"")</f>
        <v/>
      </c>
      <c r="M145" s="16"/>
      <c r="N145" s="12"/>
      <c r="O145" s="12"/>
      <c r="P145" s="13"/>
      <c r="Q145" s="19" t="str">
        <f aca="false">IF($N145="","",IFERROR(INDEX($C$5:$C$504,MATCH($N145,$A$5:$A$504,0)),"Invoice not found"))</f>
        <v/>
      </c>
    </row>
    <row r="146" customFormat="false" ht="15" hidden="false" customHeight="false" outlineLevel="0" collapsed="false">
      <c r="A146" s="19" t="str">
        <f aca="false">IF($K146="","",INDEX(Jobs!$O$5:$O$504,$K146))</f>
        <v/>
      </c>
      <c r="B146" s="22" t="str">
        <f aca="false">IF($K146="","",INDEX(Jobs!$A$5:$A$504,$K146))</f>
        <v/>
      </c>
      <c r="C146" s="19" t="str">
        <f aca="false">IF($K146="","",INDEX(Jobs!$B$5:$B$504,$K146))</f>
        <v/>
      </c>
      <c r="D146" s="19" t="str">
        <f aca="false">IF($K146="","",INDEX(Jobs!$J$5:$J$504,$K146))</f>
        <v/>
      </c>
      <c r="E146" s="15" t="str">
        <f aca="false">IF($K146="","",INDEX(Jobs!$N$5:$N$504,$K146))</f>
        <v/>
      </c>
      <c r="F146" s="15" t="str">
        <f aca="false">IF($A146="","",SUMIFS($P$5:$P$1004,$N$5:$N$1004,$A146))</f>
        <v/>
      </c>
      <c r="G146" s="15" t="str">
        <f aca="false">IF($A146="","",$E146-$F146)</f>
        <v/>
      </c>
      <c r="H146" s="22" t="str">
        <f aca="false">IF($A146="","",$B146+Settings!$B$11)</f>
        <v/>
      </c>
      <c r="I146" s="19" t="str">
        <f aca="true">IF($A146="","",IF($G146&lt;=0,"Paid",IF(TODAY()&gt;$H146,"Overdue",IF($F146&gt;0,"Partial","Unpaid"))))</f>
        <v/>
      </c>
      <c r="J146" s="14" t="str">
        <f aca="true">IF($A146="","",IF(AND($G146&gt;0,TODAY()&gt;$H146),TODAY()-$H146,""))</f>
        <v/>
      </c>
      <c r="K146" s="2" t="str">
        <f aca="false">IFERROR(MATCH(ROWS($K$5:$K146),Jobs!$Q$5:$Q$504,0),"")</f>
        <v/>
      </c>
      <c r="M146" s="16"/>
      <c r="N146" s="12"/>
      <c r="O146" s="12"/>
      <c r="P146" s="13"/>
      <c r="Q146" s="19" t="str">
        <f aca="false">IF($N146="","",IFERROR(INDEX($C$5:$C$504,MATCH($N146,$A$5:$A$504,0)),"Invoice not found"))</f>
        <v/>
      </c>
    </row>
    <row r="147" customFormat="false" ht="15" hidden="false" customHeight="false" outlineLevel="0" collapsed="false">
      <c r="A147" s="19" t="str">
        <f aca="false">IF($K147="","",INDEX(Jobs!$O$5:$O$504,$K147))</f>
        <v/>
      </c>
      <c r="B147" s="22" t="str">
        <f aca="false">IF($K147="","",INDEX(Jobs!$A$5:$A$504,$K147))</f>
        <v/>
      </c>
      <c r="C147" s="19" t="str">
        <f aca="false">IF($K147="","",INDEX(Jobs!$B$5:$B$504,$K147))</f>
        <v/>
      </c>
      <c r="D147" s="19" t="str">
        <f aca="false">IF($K147="","",INDEX(Jobs!$J$5:$J$504,$K147))</f>
        <v/>
      </c>
      <c r="E147" s="15" t="str">
        <f aca="false">IF($K147="","",INDEX(Jobs!$N$5:$N$504,$K147))</f>
        <v/>
      </c>
      <c r="F147" s="15" t="str">
        <f aca="false">IF($A147="","",SUMIFS($P$5:$P$1004,$N$5:$N$1004,$A147))</f>
        <v/>
      </c>
      <c r="G147" s="15" t="str">
        <f aca="false">IF($A147="","",$E147-$F147)</f>
        <v/>
      </c>
      <c r="H147" s="22" t="str">
        <f aca="false">IF($A147="","",$B147+Settings!$B$11)</f>
        <v/>
      </c>
      <c r="I147" s="19" t="str">
        <f aca="true">IF($A147="","",IF($G147&lt;=0,"Paid",IF(TODAY()&gt;$H147,"Overdue",IF($F147&gt;0,"Partial","Unpaid"))))</f>
        <v/>
      </c>
      <c r="J147" s="14" t="str">
        <f aca="true">IF($A147="","",IF(AND($G147&gt;0,TODAY()&gt;$H147),TODAY()-$H147,""))</f>
        <v/>
      </c>
      <c r="K147" s="2" t="str">
        <f aca="false">IFERROR(MATCH(ROWS($K$5:$K147),Jobs!$Q$5:$Q$504,0),"")</f>
        <v/>
      </c>
      <c r="M147" s="16"/>
      <c r="N147" s="12"/>
      <c r="O147" s="12"/>
      <c r="P147" s="13"/>
      <c r="Q147" s="19" t="str">
        <f aca="false">IF($N147="","",IFERROR(INDEX($C$5:$C$504,MATCH($N147,$A$5:$A$504,0)),"Invoice not found"))</f>
        <v/>
      </c>
    </row>
    <row r="148" customFormat="false" ht="15" hidden="false" customHeight="false" outlineLevel="0" collapsed="false">
      <c r="A148" s="19" t="str">
        <f aca="false">IF($K148="","",INDEX(Jobs!$O$5:$O$504,$K148))</f>
        <v/>
      </c>
      <c r="B148" s="22" t="str">
        <f aca="false">IF($K148="","",INDEX(Jobs!$A$5:$A$504,$K148))</f>
        <v/>
      </c>
      <c r="C148" s="19" t="str">
        <f aca="false">IF($K148="","",INDEX(Jobs!$B$5:$B$504,$K148))</f>
        <v/>
      </c>
      <c r="D148" s="19" t="str">
        <f aca="false">IF($K148="","",INDEX(Jobs!$J$5:$J$504,$K148))</f>
        <v/>
      </c>
      <c r="E148" s="15" t="str">
        <f aca="false">IF($K148="","",INDEX(Jobs!$N$5:$N$504,$K148))</f>
        <v/>
      </c>
      <c r="F148" s="15" t="str">
        <f aca="false">IF($A148="","",SUMIFS($P$5:$P$1004,$N$5:$N$1004,$A148))</f>
        <v/>
      </c>
      <c r="G148" s="15" t="str">
        <f aca="false">IF($A148="","",$E148-$F148)</f>
        <v/>
      </c>
      <c r="H148" s="22" t="str">
        <f aca="false">IF($A148="","",$B148+Settings!$B$11)</f>
        <v/>
      </c>
      <c r="I148" s="19" t="str">
        <f aca="true">IF($A148="","",IF($G148&lt;=0,"Paid",IF(TODAY()&gt;$H148,"Overdue",IF($F148&gt;0,"Partial","Unpaid"))))</f>
        <v/>
      </c>
      <c r="J148" s="14" t="str">
        <f aca="true">IF($A148="","",IF(AND($G148&gt;0,TODAY()&gt;$H148),TODAY()-$H148,""))</f>
        <v/>
      </c>
      <c r="K148" s="2" t="str">
        <f aca="false">IFERROR(MATCH(ROWS($K$5:$K148),Jobs!$Q$5:$Q$504,0),"")</f>
        <v/>
      </c>
      <c r="M148" s="16"/>
      <c r="N148" s="12"/>
      <c r="O148" s="12"/>
      <c r="P148" s="13"/>
      <c r="Q148" s="19" t="str">
        <f aca="false">IF($N148="","",IFERROR(INDEX($C$5:$C$504,MATCH($N148,$A$5:$A$504,0)),"Invoice not found"))</f>
        <v/>
      </c>
    </row>
    <row r="149" customFormat="false" ht="15" hidden="false" customHeight="false" outlineLevel="0" collapsed="false">
      <c r="A149" s="19" t="str">
        <f aca="false">IF($K149="","",INDEX(Jobs!$O$5:$O$504,$K149))</f>
        <v/>
      </c>
      <c r="B149" s="22" t="str">
        <f aca="false">IF($K149="","",INDEX(Jobs!$A$5:$A$504,$K149))</f>
        <v/>
      </c>
      <c r="C149" s="19" t="str">
        <f aca="false">IF($K149="","",INDEX(Jobs!$B$5:$B$504,$K149))</f>
        <v/>
      </c>
      <c r="D149" s="19" t="str">
        <f aca="false">IF($K149="","",INDEX(Jobs!$J$5:$J$504,$K149))</f>
        <v/>
      </c>
      <c r="E149" s="15" t="str">
        <f aca="false">IF($K149="","",INDEX(Jobs!$N$5:$N$504,$K149))</f>
        <v/>
      </c>
      <c r="F149" s="15" t="str">
        <f aca="false">IF($A149="","",SUMIFS($P$5:$P$1004,$N$5:$N$1004,$A149))</f>
        <v/>
      </c>
      <c r="G149" s="15" t="str">
        <f aca="false">IF($A149="","",$E149-$F149)</f>
        <v/>
      </c>
      <c r="H149" s="22" t="str">
        <f aca="false">IF($A149="","",$B149+Settings!$B$11)</f>
        <v/>
      </c>
      <c r="I149" s="19" t="str">
        <f aca="true">IF($A149="","",IF($G149&lt;=0,"Paid",IF(TODAY()&gt;$H149,"Overdue",IF($F149&gt;0,"Partial","Unpaid"))))</f>
        <v/>
      </c>
      <c r="J149" s="14" t="str">
        <f aca="true">IF($A149="","",IF(AND($G149&gt;0,TODAY()&gt;$H149),TODAY()-$H149,""))</f>
        <v/>
      </c>
      <c r="K149" s="2" t="str">
        <f aca="false">IFERROR(MATCH(ROWS($K$5:$K149),Jobs!$Q$5:$Q$504,0),"")</f>
        <v/>
      </c>
      <c r="M149" s="16"/>
      <c r="N149" s="12"/>
      <c r="O149" s="12"/>
      <c r="P149" s="13"/>
      <c r="Q149" s="19" t="str">
        <f aca="false">IF($N149="","",IFERROR(INDEX($C$5:$C$504,MATCH($N149,$A$5:$A$504,0)),"Invoice not found"))</f>
        <v/>
      </c>
    </row>
    <row r="150" customFormat="false" ht="15" hidden="false" customHeight="false" outlineLevel="0" collapsed="false">
      <c r="A150" s="19" t="str">
        <f aca="false">IF($K150="","",INDEX(Jobs!$O$5:$O$504,$K150))</f>
        <v/>
      </c>
      <c r="B150" s="22" t="str">
        <f aca="false">IF($K150="","",INDEX(Jobs!$A$5:$A$504,$K150))</f>
        <v/>
      </c>
      <c r="C150" s="19" t="str">
        <f aca="false">IF($K150="","",INDEX(Jobs!$B$5:$B$504,$K150))</f>
        <v/>
      </c>
      <c r="D150" s="19" t="str">
        <f aca="false">IF($K150="","",INDEX(Jobs!$J$5:$J$504,$K150))</f>
        <v/>
      </c>
      <c r="E150" s="15" t="str">
        <f aca="false">IF($K150="","",INDEX(Jobs!$N$5:$N$504,$K150))</f>
        <v/>
      </c>
      <c r="F150" s="15" t="str">
        <f aca="false">IF($A150="","",SUMIFS($P$5:$P$1004,$N$5:$N$1004,$A150))</f>
        <v/>
      </c>
      <c r="G150" s="15" t="str">
        <f aca="false">IF($A150="","",$E150-$F150)</f>
        <v/>
      </c>
      <c r="H150" s="22" t="str">
        <f aca="false">IF($A150="","",$B150+Settings!$B$11)</f>
        <v/>
      </c>
      <c r="I150" s="19" t="str">
        <f aca="true">IF($A150="","",IF($G150&lt;=0,"Paid",IF(TODAY()&gt;$H150,"Overdue",IF($F150&gt;0,"Partial","Unpaid"))))</f>
        <v/>
      </c>
      <c r="J150" s="14" t="str">
        <f aca="true">IF($A150="","",IF(AND($G150&gt;0,TODAY()&gt;$H150),TODAY()-$H150,""))</f>
        <v/>
      </c>
      <c r="K150" s="2" t="str">
        <f aca="false">IFERROR(MATCH(ROWS($K$5:$K150),Jobs!$Q$5:$Q$504,0),"")</f>
        <v/>
      </c>
      <c r="M150" s="16"/>
      <c r="N150" s="12"/>
      <c r="O150" s="12"/>
      <c r="P150" s="13"/>
      <c r="Q150" s="19" t="str">
        <f aca="false">IF($N150="","",IFERROR(INDEX($C$5:$C$504,MATCH($N150,$A$5:$A$504,0)),"Invoice not found"))</f>
        <v/>
      </c>
    </row>
    <row r="151" customFormat="false" ht="15" hidden="false" customHeight="false" outlineLevel="0" collapsed="false">
      <c r="A151" s="19" t="str">
        <f aca="false">IF($K151="","",INDEX(Jobs!$O$5:$O$504,$K151))</f>
        <v/>
      </c>
      <c r="B151" s="22" t="str">
        <f aca="false">IF($K151="","",INDEX(Jobs!$A$5:$A$504,$K151))</f>
        <v/>
      </c>
      <c r="C151" s="19" t="str">
        <f aca="false">IF($K151="","",INDEX(Jobs!$B$5:$B$504,$K151))</f>
        <v/>
      </c>
      <c r="D151" s="19" t="str">
        <f aca="false">IF($K151="","",INDEX(Jobs!$J$5:$J$504,$K151))</f>
        <v/>
      </c>
      <c r="E151" s="15" t="str">
        <f aca="false">IF($K151="","",INDEX(Jobs!$N$5:$N$504,$K151))</f>
        <v/>
      </c>
      <c r="F151" s="15" t="str">
        <f aca="false">IF($A151="","",SUMIFS($P$5:$P$1004,$N$5:$N$1004,$A151))</f>
        <v/>
      </c>
      <c r="G151" s="15" t="str">
        <f aca="false">IF($A151="","",$E151-$F151)</f>
        <v/>
      </c>
      <c r="H151" s="22" t="str">
        <f aca="false">IF($A151="","",$B151+Settings!$B$11)</f>
        <v/>
      </c>
      <c r="I151" s="19" t="str">
        <f aca="true">IF($A151="","",IF($G151&lt;=0,"Paid",IF(TODAY()&gt;$H151,"Overdue",IF($F151&gt;0,"Partial","Unpaid"))))</f>
        <v/>
      </c>
      <c r="J151" s="14" t="str">
        <f aca="true">IF($A151="","",IF(AND($G151&gt;0,TODAY()&gt;$H151),TODAY()-$H151,""))</f>
        <v/>
      </c>
      <c r="K151" s="2" t="str">
        <f aca="false">IFERROR(MATCH(ROWS($K$5:$K151),Jobs!$Q$5:$Q$504,0),"")</f>
        <v/>
      </c>
      <c r="M151" s="16"/>
      <c r="N151" s="12"/>
      <c r="O151" s="12"/>
      <c r="P151" s="13"/>
      <c r="Q151" s="19" t="str">
        <f aca="false">IF($N151="","",IFERROR(INDEX($C$5:$C$504,MATCH($N151,$A$5:$A$504,0)),"Invoice not found"))</f>
        <v/>
      </c>
    </row>
    <row r="152" customFormat="false" ht="15" hidden="false" customHeight="false" outlineLevel="0" collapsed="false">
      <c r="A152" s="19" t="str">
        <f aca="false">IF($K152="","",INDEX(Jobs!$O$5:$O$504,$K152))</f>
        <v/>
      </c>
      <c r="B152" s="22" t="str">
        <f aca="false">IF($K152="","",INDEX(Jobs!$A$5:$A$504,$K152))</f>
        <v/>
      </c>
      <c r="C152" s="19" t="str">
        <f aca="false">IF($K152="","",INDEX(Jobs!$B$5:$B$504,$K152))</f>
        <v/>
      </c>
      <c r="D152" s="19" t="str">
        <f aca="false">IF($K152="","",INDEX(Jobs!$J$5:$J$504,$K152))</f>
        <v/>
      </c>
      <c r="E152" s="15" t="str">
        <f aca="false">IF($K152="","",INDEX(Jobs!$N$5:$N$504,$K152))</f>
        <v/>
      </c>
      <c r="F152" s="15" t="str">
        <f aca="false">IF($A152="","",SUMIFS($P$5:$P$1004,$N$5:$N$1004,$A152))</f>
        <v/>
      </c>
      <c r="G152" s="15" t="str">
        <f aca="false">IF($A152="","",$E152-$F152)</f>
        <v/>
      </c>
      <c r="H152" s="22" t="str">
        <f aca="false">IF($A152="","",$B152+Settings!$B$11)</f>
        <v/>
      </c>
      <c r="I152" s="19" t="str">
        <f aca="true">IF($A152="","",IF($G152&lt;=0,"Paid",IF(TODAY()&gt;$H152,"Overdue",IF($F152&gt;0,"Partial","Unpaid"))))</f>
        <v/>
      </c>
      <c r="J152" s="14" t="str">
        <f aca="true">IF($A152="","",IF(AND($G152&gt;0,TODAY()&gt;$H152),TODAY()-$H152,""))</f>
        <v/>
      </c>
      <c r="K152" s="2" t="str">
        <f aca="false">IFERROR(MATCH(ROWS($K$5:$K152),Jobs!$Q$5:$Q$504,0),"")</f>
        <v/>
      </c>
      <c r="M152" s="16"/>
      <c r="N152" s="12"/>
      <c r="O152" s="12"/>
      <c r="P152" s="13"/>
      <c r="Q152" s="19" t="str">
        <f aca="false">IF($N152="","",IFERROR(INDEX($C$5:$C$504,MATCH($N152,$A$5:$A$504,0)),"Invoice not found"))</f>
        <v/>
      </c>
    </row>
    <row r="153" customFormat="false" ht="15" hidden="false" customHeight="false" outlineLevel="0" collapsed="false">
      <c r="A153" s="19" t="str">
        <f aca="false">IF($K153="","",INDEX(Jobs!$O$5:$O$504,$K153))</f>
        <v/>
      </c>
      <c r="B153" s="22" t="str">
        <f aca="false">IF($K153="","",INDEX(Jobs!$A$5:$A$504,$K153))</f>
        <v/>
      </c>
      <c r="C153" s="19" t="str">
        <f aca="false">IF($K153="","",INDEX(Jobs!$B$5:$B$504,$K153))</f>
        <v/>
      </c>
      <c r="D153" s="19" t="str">
        <f aca="false">IF($K153="","",INDEX(Jobs!$J$5:$J$504,$K153))</f>
        <v/>
      </c>
      <c r="E153" s="15" t="str">
        <f aca="false">IF($K153="","",INDEX(Jobs!$N$5:$N$504,$K153))</f>
        <v/>
      </c>
      <c r="F153" s="15" t="str">
        <f aca="false">IF($A153="","",SUMIFS($P$5:$P$1004,$N$5:$N$1004,$A153))</f>
        <v/>
      </c>
      <c r="G153" s="15" t="str">
        <f aca="false">IF($A153="","",$E153-$F153)</f>
        <v/>
      </c>
      <c r="H153" s="22" t="str">
        <f aca="false">IF($A153="","",$B153+Settings!$B$11)</f>
        <v/>
      </c>
      <c r="I153" s="19" t="str">
        <f aca="true">IF($A153="","",IF($G153&lt;=0,"Paid",IF(TODAY()&gt;$H153,"Overdue",IF($F153&gt;0,"Partial","Unpaid"))))</f>
        <v/>
      </c>
      <c r="J153" s="14" t="str">
        <f aca="true">IF($A153="","",IF(AND($G153&gt;0,TODAY()&gt;$H153),TODAY()-$H153,""))</f>
        <v/>
      </c>
      <c r="K153" s="2" t="str">
        <f aca="false">IFERROR(MATCH(ROWS($K$5:$K153),Jobs!$Q$5:$Q$504,0),"")</f>
        <v/>
      </c>
      <c r="M153" s="16"/>
      <c r="N153" s="12"/>
      <c r="O153" s="12"/>
      <c r="P153" s="13"/>
      <c r="Q153" s="19" t="str">
        <f aca="false">IF($N153="","",IFERROR(INDEX($C$5:$C$504,MATCH($N153,$A$5:$A$504,0)),"Invoice not found"))</f>
        <v/>
      </c>
    </row>
    <row r="154" customFormat="false" ht="15" hidden="false" customHeight="false" outlineLevel="0" collapsed="false">
      <c r="A154" s="19" t="str">
        <f aca="false">IF($K154="","",INDEX(Jobs!$O$5:$O$504,$K154))</f>
        <v/>
      </c>
      <c r="B154" s="22" t="str">
        <f aca="false">IF($K154="","",INDEX(Jobs!$A$5:$A$504,$K154))</f>
        <v/>
      </c>
      <c r="C154" s="19" t="str">
        <f aca="false">IF($K154="","",INDEX(Jobs!$B$5:$B$504,$K154))</f>
        <v/>
      </c>
      <c r="D154" s="19" t="str">
        <f aca="false">IF($K154="","",INDEX(Jobs!$J$5:$J$504,$K154))</f>
        <v/>
      </c>
      <c r="E154" s="15" t="str">
        <f aca="false">IF($K154="","",INDEX(Jobs!$N$5:$N$504,$K154))</f>
        <v/>
      </c>
      <c r="F154" s="15" t="str">
        <f aca="false">IF($A154="","",SUMIFS($P$5:$P$1004,$N$5:$N$1004,$A154))</f>
        <v/>
      </c>
      <c r="G154" s="15" t="str">
        <f aca="false">IF($A154="","",$E154-$F154)</f>
        <v/>
      </c>
      <c r="H154" s="22" t="str">
        <f aca="false">IF($A154="","",$B154+Settings!$B$11)</f>
        <v/>
      </c>
      <c r="I154" s="19" t="str">
        <f aca="true">IF($A154="","",IF($G154&lt;=0,"Paid",IF(TODAY()&gt;$H154,"Overdue",IF($F154&gt;0,"Partial","Unpaid"))))</f>
        <v/>
      </c>
      <c r="J154" s="14" t="str">
        <f aca="true">IF($A154="","",IF(AND($G154&gt;0,TODAY()&gt;$H154),TODAY()-$H154,""))</f>
        <v/>
      </c>
      <c r="K154" s="2" t="str">
        <f aca="false">IFERROR(MATCH(ROWS($K$5:$K154),Jobs!$Q$5:$Q$504,0),"")</f>
        <v/>
      </c>
      <c r="M154" s="16"/>
      <c r="N154" s="12"/>
      <c r="O154" s="12"/>
      <c r="P154" s="13"/>
      <c r="Q154" s="19" t="str">
        <f aca="false">IF($N154="","",IFERROR(INDEX($C$5:$C$504,MATCH($N154,$A$5:$A$504,0)),"Invoice not found"))</f>
        <v/>
      </c>
    </row>
    <row r="155" customFormat="false" ht="15" hidden="false" customHeight="false" outlineLevel="0" collapsed="false">
      <c r="A155" s="19" t="str">
        <f aca="false">IF($K155="","",INDEX(Jobs!$O$5:$O$504,$K155))</f>
        <v/>
      </c>
      <c r="B155" s="22" t="str">
        <f aca="false">IF($K155="","",INDEX(Jobs!$A$5:$A$504,$K155))</f>
        <v/>
      </c>
      <c r="C155" s="19" t="str">
        <f aca="false">IF($K155="","",INDEX(Jobs!$B$5:$B$504,$K155))</f>
        <v/>
      </c>
      <c r="D155" s="19" t="str">
        <f aca="false">IF($K155="","",INDEX(Jobs!$J$5:$J$504,$K155))</f>
        <v/>
      </c>
      <c r="E155" s="15" t="str">
        <f aca="false">IF($K155="","",INDEX(Jobs!$N$5:$N$504,$K155))</f>
        <v/>
      </c>
      <c r="F155" s="15" t="str">
        <f aca="false">IF($A155="","",SUMIFS($P$5:$P$1004,$N$5:$N$1004,$A155))</f>
        <v/>
      </c>
      <c r="G155" s="15" t="str">
        <f aca="false">IF($A155="","",$E155-$F155)</f>
        <v/>
      </c>
      <c r="H155" s="22" t="str">
        <f aca="false">IF($A155="","",$B155+Settings!$B$11)</f>
        <v/>
      </c>
      <c r="I155" s="19" t="str">
        <f aca="true">IF($A155="","",IF($G155&lt;=0,"Paid",IF(TODAY()&gt;$H155,"Overdue",IF($F155&gt;0,"Partial","Unpaid"))))</f>
        <v/>
      </c>
      <c r="J155" s="14" t="str">
        <f aca="true">IF($A155="","",IF(AND($G155&gt;0,TODAY()&gt;$H155),TODAY()-$H155,""))</f>
        <v/>
      </c>
      <c r="K155" s="2" t="str">
        <f aca="false">IFERROR(MATCH(ROWS($K$5:$K155),Jobs!$Q$5:$Q$504,0),"")</f>
        <v/>
      </c>
      <c r="M155" s="16"/>
      <c r="N155" s="12"/>
      <c r="O155" s="12"/>
      <c r="P155" s="13"/>
      <c r="Q155" s="19" t="str">
        <f aca="false">IF($N155="","",IFERROR(INDEX($C$5:$C$504,MATCH($N155,$A$5:$A$504,0)),"Invoice not found"))</f>
        <v/>
      </c>
    </row>
    <row r="156" customFormat="false" ht="15" hidden="false" customHeight="false" outlineLevel="0" collapsed="false">
      <c r="A156" s="19" t="str">
        <f aca="false">IF($K156="","",INDEX(Jobs!$O$5:$O$504,$K156))</f>
        <v/>
      </c>
      <c r="B156" s="22" t="str">
        <f aca="false">IF($K156="","",INDEX(Jobs!$A$5:$A$504,$K156))</f>
        <v/>
      </c>
      <c r="C156" s="19" t="str">
        <f aca="false">IF($K156="","",INDEX(Jobs!$B$5:$B$504,$K156))</f>
        <v/>
      </c>
      <c r="D156" s="19" t="str">
        <f aca="false">IF($K156="","",INDEX(Jobs!$J$5:$J$504,$K156))</f>
        <v/>
      </c>
      <c r="E156" s="15" t="str">
        <f aca="false">IF($K156="","",INDEX(Jobs!$N$5:$N$504,$K156))</f>
        <v/>
      </c>
      <c r="F156" s="15" t="str">
        <f aca="false">IF($A156="","",SUMIFS($P$5:$P$1004,$N$5:$N$1004,$A156))</f>
        <v/>
      </c>
      <c r="G156" s="15" t="str">
        <f aca="false">IF($A156="","",$E156-$F156)</f>
        <v/>
      </c>
      <c r="H156" s="22" t="str">
        <f aca="false">IF($A156="","",$B156+Settings!$B$11)</f>
        <v/>
      </c>
      <c r="I156" s="19" t="str">
        <f aca="true">IF($A156="","",IF($G156&lt;=0,"Paid",IF(TODAY()&gt;$H156,"Overdue",IF($F156&gt;0,"Partial","Unpaid"))))</f>
        <v/>
      </c>
      <c r="J156" s="14" t="str">
        <f aca="true">IF($A156="","",IF(AND($G156&gt;0,TODAY()&gt;$H156),TODAY()-$H156,""))</f>
        <v/>
      </c>
      <c r="K156" s="2" t="str">
        <f aca="false">IFERROR(MATCH(ROWS($K$5:$K156),Jobs!$Q$5:$Q$504,0),"")</f>
        <v/>
      </c>
      <c r="M156" s="16"/>
      <c r="N156" s="12"/>
      <c r="O156" s="12"/>
      <c r="P156" s="13"/>
      <c r="Q156" s="19" t="str">
        <f aca="false">IF($N156="","",IFERROR(INDEX($C$5:$C$504,MATCH($N156,$A$5:$A$504,0)),"Invoice not found"))</f>
        <v/>
      </c>
    </row>
    <row r="157" customFormat="false" ht="15" hidden="false" customHeight="false" outlineLevel="0" collapsed="false">
      <c r="A157" s="19" t="str">
        <f aca="false">IF($K157="","",INDEX(Jobs!$O$5:$O$504,$K157))</f>
        <v/>
      </c>
      <c r="B157" s="22" t="str">
        <f aca="false">IF($K157="","",INDEX(Jobs!$A$5:$A$504,$K157))</f>
        <v/>
      </c>
      <c r="C157" s="19" t="str">
        <f aca="false">IF($K157="","",INDEX(Jobs!$B$5:$B$504,$K157))</f>
        <v/>
      </c>
      <c r="D157" s="19" t="str">
        <f aca="false">IF($K157="","",INDEX(Jobs!$J$5:$J$504,$K157))</f>
        <v/>
      </c>
      <c r="E157" s="15" t="str">
        <f aca="false">IF($K157="","",INDEX(Jobs!$N$5:$N$504,$K157))</f>
        <v/>
      </c>
      <c r="F157" s="15" t="str">
        <f aca="false">IF($A157="","",SUMIFS($P$5:$P$1004,$N$5:$N$1004,$A157))</f>
        <v/>
      </c>
      <c r="G157" s="15" t="str">
        <f aca="false">IF($A157="","",$E157-$F157)</f>
        <v/>
      </c>
      <c r="H157" s="22" t="str">
        <f aca="false">IF($A157="","",$B157+Settings!$B$11)</f>
        <v/>
      </c>
      <c r="I157" s="19" t="str">
        <f aca="true">IF($A157="","",IF($G157&lt;=0,"Paid",IF(TODAY()&gt;$H157,"Overdue",IF($F157&gt;0,"Partial","Unpaid"))))</f>
        <v/>
      </c>
      <c r="J157" s="14" t="str">
        <f aca="true">IF($A157="","",IF(AND($G157&gt;0,TODAY()&gt;$H157),TODAY()-$H157,""))</f>
        <v/>
      </c>
      <c r="K157" s="2" t="str">
        <f aca="false">IFERROR(MATCH(ROWS($K$5:$K157),Jobs!$Q$5:$Q$504,0),"")</f>
        <v/>
      </c>
      <c r="M157" s="16"/>
      <c r="N157" s="12"/>
      <c r="O157" s="12"/>
      <c r="P157" s="13"/>
      <c r="Q157" s="19" t="str">
        <f aca="false">IF($N157="","",IFERROR(INDEX($C$5:$C$504,MATCH($N157,$A$5:$A$504,0)),"Invoice not found"))</f>
        <v/>
      </c>
    </row>
    <row r="158" customFormat="false" ht="15" hidden="false" customHeight="false" outlineLevel="0" collapsed="false">
      <c r="A158" s="19" t="str">
        <f aca="false">IF($K158="","",INDEX(Jobs!$O$5:$O$504,$K158))</f>
        <v/>
      </c>
      <c r="B158" s="22" t="str">
        <f aca="false">IF($K158="","",INDEX(Jobs!$A$5:$A$504,$K158))</f>
        <v/>
      </c>
      <c r="C158" s="19" t="str">
        <f aca="false">IF($K158="","",INDEX(Jobs!$B$5:$B$504,$K158))</f>
        <v/>
      </c>
      <c r="D158" s="19" t="str">
        <f aca="false">IF($K158="","",INDEX(Jobs!$J$5:$J$504,$K158))</f>
        <v/>
      </c>
      <c r="E158" s="15" t="str">
        <f aca="false">IF($K158="","",INDEX(Jobs!$N$5:$N$504,$K158))</f>
        <v/>
      </c>
      <c r="F158" s="15" t="str">
        <f aca="false">IF($A158="","",SUMIFS($P$5:$P$1004,$N$5:$N$1004,$A158))</f>
        <v/>
      </c>
      <c r="G158" s="15" t="str">
        <f aca="false">IF($A158="","",$E158-$F158)</f>
        <v/>
      </c>
      <c r="H158" s="22" t="str">
        <f aca="false">IF($A158="","",$B158+Settings!$B$11)</f>
        <v/>
      </c>
      <c r="I158" s="19" t="str">
        <f aca="true">IF($A158="","",IF($G158&lt;=0,"Paid",IF(TODAY()&gt;$H158,"Overdue",IF($F158&gt;0,"Partial","Unpaid"))))</f>
        <v/>
      </c>
      <c r="J158" s="14" t="str">
        <f aca="true">IF($A158="","",IF(AND($G158&gt;0,TODAY()&gt;$H158),TODAY()-$H158,""))</f>
        <v/>
      </c>
      <c r="K158" s="2" t="str">
        <f aca="false">IFERROR(MATCH(ROWS($K$5:$K158),Jobs!$Q$5:$Q$504,0),"")</f>
        <v/>
      </c>
      <c r="M158" s="16"/>
      <c r="N158" s="12"/>
      <c r="O158" s="12"/>
      <c r="P158" s="13"/>
      <c r="Q158" s="19" t="str">
        <f aca="false">IF($N158="","",IFERROR(INDEX($C$5:$C$504,MATCH($N158,$A$5:$A$504,0)),"Invoice not found"))</f>
        <v/>
      </c>
    </row>
    <row r="159" customFormat="false" ht="15" hidden="false" customHeight="false" outlineLevel="0" collapsed="false">
      <c r="A159" s="19" t="str">
        <f aca="false">IF($K159="","",INDEX(Jobs!$O$5:$O$504,$K159))</f>
        <v/>
      </c>
      <c r="B159" s="22" t="str">
        <f aca="false">IF($K159="","",INDEX(Jobs!$A$5:$A$504,$K159))</f>
        <v/>
      </c>
      <c r="C159" s="19" t="str">
        <f aca="false">IF($K159="","",INDEX(Jobs!$B$5:$B$504,$K159))</f>
        <v/>
      </c>
      <c r="D159" s="19" t="str">
        <f aca="false">IF($K159="","",INDEX(Jobs!$J$5:$J$504,$K159))</f>
        <v/>
      </c>
      <c r="E159" s="15" t="str">
        <f aca="false">IF($K159="","",INDEX(Jobs!$N$5:$N$504,$K159))</f>
        <v/>
      </c>
      <c r="F159" s="15" t="str">
        <f aca="false">IF($A159="","",SUMIFS($P$5:$P$1004,$N$5:$N$1004,$A159))</f>
        <v/>
      </c>
      <c r="G159" s="15" t="str">
        <f aca="false">IF($A159="","",$E159-$F159)</f>
        <v/>
      </c>
      <c r="H159" s="22" t="str">
        <f aca="false">IF($A159="","",$B159+Settings!$B$11)</f>
        <v/>
      </c>
      <c r="I159" s="19" t="str">
        <f aca="true">IF($A159="","",IF($G159&lt;=0,"Paid",IF(TODAY()&gt;$H159,"Overdue",IF($F159&gt;0,"Partial","Unpaid"))))</f>
        <v/>
      </c>
      <c r="J159" s="14" t="str">
        <f aca="true">IF($A159="","",IF(AND($G159&gt;0,TODAY()&gt;$H159),TODAY()-$H159,""))</f>
        <v/>
      </c>
      <c r="K159" s="2" t="str">
        <f aca="false">IFERROR(MATCH(ROWS($K$5:$K159),Jobs!$Q$5:$Q$504,0),"")</f>
        <v/>
      </c>
      <c r="M159" s="16"/>
      <c r="N159" s="12"/>
      <c r="O159" s="12"/>
      <c r="P159" s="13"/>
      <c r="Q159" s="19" t="str">
        <f aca="false">IF($N159="","",IFERROR(INDEX($C$5:$C$504,MATCH($N159,$A$5:$A$504,0)),"Invoice not found"))</f>
        <v/>
      </c>
    </row>
    <row r="160" customFormat="false" ht="15" hidden="false" customHeight="false" outlineLevel="0" collapsed="false">
      <c r="A160" s="19" t="str">
        <f aca="false">IF($K160="","",INDEX(Jobs!$O$5:$O$504,$K160))</f>
        <v/>
      </c>
      <c r="B160" s="22" t="str">
        <f aca="false">IF($K160="","",INDEX(Jobs!$A$5:$A$504,$K160))</f>
        <v/>
      </c>
      <c r="C160" s="19" t="str">
        <f aca="false">IF($K160="","",INDEX(Jobs!$B$5:$B$504,$K160))</f>
        <v/>
      </c>
      <c r="D160" s="19" t="str">
        <f aca="false">IF($K160="","",INDEX(Jobs!$J$5:$J$504,$K160))</f>
        <v/>
      </c>
      <c r="E160" s="15" t="str">
        <f aca="false">IF($K160="","",INDEX(Jobs!$N$5:$N$504,$K160))</f>
        <v/>
      </c>
      <c r="F160" s="15" t="str">
        <f aca="false">IF($A160="","",SUMIFS($P$5:$P$1004,$N$5:$N$1004,$A160))</f>
        <v/>
      </c>
      <c r="G160" s="15" t="str">
        <f aca="false">IF($A160="","",$E160-$F160)</f>
        <v/>
      </c>
      <c r="H160" s="22" t="str">
        <f aca="false">IF($A160="","",$B160+Settings!$B$11)</f>
        <v/>
      </c>
      <c r="I160" s="19" t="str">
        <f aca="true">IF($A160="","",IF($G160&lt;=0,"Paid",IF(TODAY()&gt;$H160,"Overdue",IF($F160&gt;0,"Partial","Unpaid"))))</f>
        <v/>
      </c>
      <c r="J160" s="14" t="str">
        <f aca="true">IF($A160="","",IF(AND($G160&gt;0,TODAY()&gt;$H160),TODAY()-$H160,""))</f>
        <v/>
      </c>
      <c r="K160" s="2" t="str">
        <f aca="false">IFERROR(MATCH(ROWS($K$5:$K160),Jobs!$Q$5:$Q$504,0),"")</f>
        <v/>
      </c>
      <c r="M160" s="16"/>
      <c r="N160" s="12"/>
      <c r="O160" s="12"/>
      <c r="P160" s="13"/>
      <c r="Q160" s="19" t="str">
        <f aca="false">IF($N160="","",IFERROR(INDEX($C$5:$C$504,MATCH($N160,$A$5:$A$504,0)),"Invoice not found"))</f>
        <v/>
      </c>
    </row>
    <row r="161" customFormat="false" ht="15" hidden="false" customHeight="false" outlineLevel="0" collapsed="false">
      <c r="A161" s="19" t="str">
        <f aca="false">IF($K161="","",INDEX(Jobs!$O$5:$O$504,$K161))</f>
        <v/>
      </c>
      <c r="B161" s="22" t="str">
        <f aca="false">IF($K161="","",INDEX(Jobs!$A$5:$A$504,$K161))</f>
        <v/>
      </c>
      <c r="C161" s="19" t="str">
        <f aca="false">IF($K161="","",INDEX(Jobs!$B$5:$B$504,$K161))</f>
        <v/>
      </c>
      <c r="D161" s="19" t="str">
        <f aca="false">IF($K161="","",INDEX(Jobs!$J$5:$J$504,$K161))</f>
        <v/>
      </c>
      <c r="E161" s="15" t="str">
        <f aca="false">IF($K161="","",INDEX(Jobs!$N$5:$N$504,$K161))</f>
        <v/>
      </c>
      <c r="F161" s="15" t="str">
        <f aca="false">IF($A161="","",SUMIFS($P$5:$P$1004,$N$5:$N$1004,$A161))</f>
        <v/>
      </c>
      <c r="G161" s="15" t="str">
        <f aca="false">IF($A161="","",$E161-$F161)</f>
        <v/>
      </c>
      <c r="H161" s="22" t="str">
        <f aca="false">IF($A161="","",$B161+Settings!$B$11)</f>
        <v/>
      </c>
      <c r="I161" s="19" t="str">
        <f aca="true">IF($A161="","",IF($G161&lt;=0,"Paid",IF(TODAY()&gt;$H161,"Overdue",IF($F161&gt;0,"Partial","Unpaid"))))</f>
        <v/>
      </c>
      <c r="J161" s="14" t="str">
        <f aca="true">IF($A161="","",IF(AND($G161&gt;0,TODAY()&gt;$H161),TODAY()-$H161,""))</f>
        <v/>
      </c>
      <c r="K161" s="2" t="str">
        <f aca="false">IFERROR(MATCH(ROWS($K$5:$K161),Jobs!$Q$5:$Q$504,0),"")</f>
        <v/>
      </c>
      <c r="M161" s="16"/>
      <c r="N161" s="12"/>
      <c r="O161" s="12"/>
      <c r="P161" s="13"/>
      <c r="Q161" s="19" t="str">
        <f aca="false">IF($N161="","",IFERROR(INDEX($C$5:$C$504,MATCH($N161,$A$5:$A$504,0)),"Invoice not found"))</f>
        <v/>
      </c>
    </row>
    <row r="162" customFormat="false" ht="15" hidden="false" customHeight="false" outlineLevel="0" collapsed="false">
      <c r="A162" s="19" t="str">
        <f aca="false">IF($K162="","",INDEX(Jobs!$O$5:$O$504,$K162))</f>
        <v/>
      </c>
      <c r="B162" s="22" t="str">
        <f aca="false">IF($K162="","",INDEX(Jobs!$A$5:$A$504,$K162))</f>
        <v/>
      </c>
      <c r="C162" s="19" t="str">
        <f aca="false">IF($K162="","",INDEX(Jobs!$B$5:$B$504,$K162))</f>
        <v/>
      </c>
      <c r="D162" s="19" t="str">
        <f aca="false">IF($K162="","",INDEX(Jobs!$J$5:$J$504,$K162))</f>
        <v/>
      </c>
      <c r="E162" s="15" t="str">
        <f aca="false">IF($K162="","",INDEX(Jobs!$N$5:$N$504,$K162))</f>
        <v/>
      </c>
      <c r="F162" s="15" t="str">
        <f aca="false">IF($A162="","",SUMIFS($P$5:$P$1004,$N$5:$N$1004,$A162))</f>
        <v/>
      </c>
      <c r="G162" s="15" t="str">
        <f aca="false">IF($A162="","",$E162-$F162)</f>
        <v/>
      </c>
      <c r="H162" s="22" t="str">
        <f aca="false">IF($A162="","",$B162+Settings!$B$11)</f>
        <v/>
      </c>
      <c r="I162" s="19" t="str">
        <f aca="true">IF($A162="","",IF($G162&lt;=0,"Paid",IF(TODAY()&gt;$H162,"Overdue",IF($F162&gt;0,"Partial","Unpaid"))))</f>
        <v/>
      </c>
      <c r="J162" s="14" t="str">
        <f aca="true">IF($A162="","",IF(AND($G162&gt;0,TODAY()&gt;$H162),TODAY()-$H162,""))</f>
        <v/>
      </c>
      <c r="K162" s="2" t="str">
        <f aca="false">IFERROR(MATCH(ROWS($K$5:$K162),Jobs!$Q$5:$Q$504,0),"")</f>
        <v/>
      </c>
      <c r="M162" s="16"/>
      <c r="N162" s="12"/>
      <c r="O162" s="12"/>
      <c r="P162" s="13"/>
      <c r="Q162" s="19" t="str">
        <f aca="false">IF($N162="","",IFERROR(INDEX($C$5:$C$504,MATCH($N162,$A$5:$A$504,0)),"Invoice not found"))</f>
        <v/>
      </c>
    </row>
    <row r="163" customFormat="false" ht="15" hidden="false" customHeight="false" outlineLevel="0" collapsed="false">
      <c r="A163" s="19" t="str">
        <f aca="false">IF($K163="","",INDEX(Jobs!$O$5:$O$504,$K163))</f>
        <v/>
      </c>
      <c r="B163" s="22" t="str">
        <f aca="false">IF($K163="","",INDEX(Jobs!$A$5:$A$504,$K163))</f>
        <v/>
      </c>
      <c r="C163" s="19" t="str">
        <f aca="false">IF($K163="","",INDEX(Jobs!$B$5:$B$504,$K163))</f>
        <v/>
      </c>
      <c r="D163" s="19" t="str">
        <f aca="false">IF($K163="","",INDEX(Jobs!$J$5:$J$504,$K163))</f>
        <v/>
      </c>
      <c r="E163" s="15" t="str">
        <f aca="false">IF($K163="","",INDEX(Jobs!$N$5:$N$504,$K163))</f>
        <v/>
      </c>
      <c r="F163" s="15" t="str">
        <f aca="false">IF($A163="","",SUMIFS($P$5:$P$1004,$N$5:$N$1004,$A163))</f>
        <v/>
      </c>
      <c r="G163" s="15" t="str">
        <f aca="false">IF($A163="","",$E163-$F163)</f>
        <v/>
      </c>
      <c r="H163" s="22" t="str">
        <f aca="false">IF($A163="","",$B163+Settings!$B$11)</f>
        <v/>
      </c>
      <c r="I163" s="19" t="str">
        <f aca="true">IF($A163="","",IF($G163&lt;=0,"Paid",IF(TODAY()&gt;$H163,"Overdue",IF($F163&gt;0,"Partial","Unpaid"))))</f>
        <v/>
      </c>
      <c r="J163" s="14" t="str">
        <f aca="true">IF($A163="","",IF(AND($G163&gt;0,TODAY()&gt;$H163),TODAY()-$H163,""))</f>
        <v/>
      </c>
      <c r="K163" s="2" t="str">
        <f aca="false">IFERROR(MATCH(ROWS($K$5:$K163),Jobs!$Q$5:$Q$504,0),"")</f>
        <v/>
      </c>
      <c r="M163" s="16"/>
      <c r="N163" s="12"/>
      <c r="O163" s="12"/>
      <c r="P163" s="13"/>
      <c r="Q163" s="19" t="str">
        <f aca="false">IF($N163="","",IFERROR(INDEX($C$5:$C$504,MATCH($N163,$A$5:$A$504,0)),"Invoice not found"))</f>
        <v/>
      </c>
    </row>
    <row r="164" customFormat="false" ht="15" hidden="false" customHeight="false" outlineLevel="0" collapsed="false">
      <c r="A164" s="19" t="str">
        <f aca="false">IF($K164="","",INDEX(Jobs!$O$5:$O$504,$K164))</f>
        <v/>
      </c>
      <c r="B164" s="22" t="str">
        <f aca="false">IF($K164="","",INDEX(Jobs!$A$5:$A$504,$K164))</f>
        <v/>
      </c>
      <c r="C164" s="19" t="str">
        <f aca="false">IF($K164="","",INDEX(Jobs!$B$5:$B$504,$K164))</f>
        <v/>
      </c>
      <c r="D164" s="19" t="str">
        <f aca="false">IF($K164="","",INDEX(Jobs!$J$5:$J$504,$K164))</f>
        <v/>
      </c>
      <c r="E164" s="15" t="str">
        <f aca="false">IF($K164="","",INDEX(Jobs!$N$5:$N$504,$K164))</f>
        <v/>
      </c>
      <c r="F164" s="15" t="str">
        <f aca="false">IF($A164="","",SUMIFS($P$5:$P$1004,$N$5:$N$1004,$A164))</f>
        <v/>
      </c>
      <c r="G164" s="15" t="str">
        <f aca="false">IF($A164="","",$E164-$F164)</f>
        <v/>
      </c>
      <c r="H164" s="22" t="str">
        <f aca="false">IF($A164="","",$B164+Settings!$B$11)</f>
        <v/>
      </c>
      <c r="I164" s="19" t="str">
        <f aca="true">IF($A164="","",IF($G164&lt;=0,"Paid",IF(TODAY()&gt;$H164,"Overdue",IF($F164&gt;0,"Partial","Unpaid"))))</f>
        <v/>
      </c>
      <c r="J164" s="14" t="str">
        <f aca="true">IF($A164="","",IF(AND($G164&gt;0,TODAY()&gt;$H164),TODAY()-$H164,""))</f>
        <v/>
      </c>
      <c r="K164" s="2" t="str">
        <f aca="false">IFERROR(MATCH(ROWS($K$5:$K164),Jobs!$Q$5:$Q$504,0),"")</f>
        <v/>
      </c>
      <c r="M164" s="16"/>
      <c r="N164" s="12"/>
      <c r="O164" s="12"/>
      <c r="P164" s="13"/>
      <c r="Q164" s="19" t="str">
        <f aca="false">IF($N164="","",IFERROR(INDEX($C$5:$C$504,MATCH($N164,$A$5:$A$504,0)),"Invoice not found"))</f>
        <v/>
      </c>
    </row>
    <row r="165" customFormat="false" ht="15" hidden="false" customHeight="false" outlineLevel="0" collapsed="false">
      <c r="A165" s="19" t="str">
        <f aca="false">IF($K165="","",INDEX(Jobs!$O$5:$O$504,$K165))</f>
        <v/>
      </c>
      <c r="B165" s="22" t="str">
        <f aca="false">IF($K165="","",INDEX(Jobs!$A$5:$A$504,$K165))</f>
        <v/>
      </c>
      <c r="C165" s="19" t="str">
        <f aca="false">IF($K165="","",INDEX(Jobs!$B$5:$B$504,$K165))</f>
        <v/>
      </c>
      <c r="D165" s="19" t="str">
        <f aca="false">IF($K165="","",INDEX(Jobs!$J$5:$J$504,$K165))</f>
        <v/>
      </c>
      <c r="E165" s="15" t="str">
        <f aca="false">IF($K165="","",INDEX(Jobs!$N$5:$N$504,$K165))</f>
        <v/>
      </c>
      <c r="F165" s="15" t="str">
        <f aca="false">IF($A165="","",SUMIFS($P$5:$P$1004,$N$5:$N$1004,$A165))</f>
        <v/>
      </c>
      <c r="G165" s="15" t="str">
        <f aca="false">IF($A165="","",$E165-$F165)</f>
        <v/>
      </c>
      <c r="H165" s="22" t="str">
        <f aca="false">IF($A165="","",$B165+Settings!$B$11)</f>
        <v/>
      </c>
      <c r="I165" s="19" t="str">
        <f aca="true">IF($A165="","",IF($G165&lt;=0,"Paid",IF(TODAY()&gt;$H165,"Overdue",IF($F165&gt;0,"Partial","Unpaid"))))</f>
        <v/>
      </c>
      <c r="J165" s="14" t="str">
        <f aca="true">IF($A165="","",IF(AND($G165&gt;0,TODAY()&gt;$H165),TODAY()-$H165,""))</f>
        <v/>
      </c>
      <c r="K165" s="2" t="str">
        <f aca="false">IFERROR(MATCH(ROWS($K$5:$K165),Jobs!$Q$5:$Q$504,0),"")</f>
        <v/>
      </c>
      <c r="M165" s="16"/>
      <c r="N165" s="12"/>
      <c r="O165" s="12"/>
      <c r="P165" s="13"/>
      <c r="Q165" s="19" t="str">
        <f aca="false">IF($N165="","",IFERROR(INDEX($C$5:$C$504,MATCH($N165,$A$5:$A$504,0)),"Invoice not found"))</f>
        <v/>
      </c>
    </row>
    <row r="166" customFormat="false" ht="15" hidden="false" customHeight="false" outlineLevel="0" collapsed="false">
      <c r="A166" s="19" t="str">
        <f aca="false">IF($K166="","",INDEX(Jobs!$O$5:$O$504,$K166))</f>
        <v/>
      </c>
      <c r="B166" s="22" t="str">
        <f aca="false">IF($K166="","",INDEX(Jobs!$A$5:$A$504,$K166))</f>
        <v/>
      </c>
      <c r="C166" s="19" t="str">
        <f aca="false">IF($K166="","",INDEX(Jobs!$B$5:$B$504,$K166))</f>
        <v/>
      </c>
      <c r="D166" s="19" t="str">
        <f aca="false">IF($K166="","",INDEX(Jobs!$J$5:$J$504,$K166))</f>
        <v/>
      </c>
      <c r="E166" s="15" t="str">
        <f aca="false">IF($K166="","",INDEX(Jobs!$N$5:$N$504,$K166))</f>
        <v/>
      </c>
      <c r="F166" s="15" t="str">
        <f aca="false">IF($A166="","",SUMIFS($P$5:$P$1004,$N$5:$N$1004,$A166))</f>
        <v/>
      </c>
      <c r="G166" s="15" t="str">
        <f aca="false">IF($A166="","",$E166-$F166)</f>
        <v/>
      </c>
      <c r="H166" s="22" t="str">
        <f aca="false">IF($A166="","",$B166+Settings!$B$11)</f>
        <v/>
      </c>
      <c r="I166" s="19" t="str">
        <f aca="true">IF($A166="","",IF($G166&lt;=0,"Paid",IF(TODAY()&gt;$H166,"Overdue",IF($F166&gt;0,"Partial","Unpaid"))))</f>
        <v/>
      </c>
      <c r="J166" s="14" t="str">
        <f aca="true">IF($A166="","",IF(AND($G166&gt;0,TODAY()&gt;$H166),TODAY()-$H166,""))</f>
        <v/>
      </c>
      <c r="K166" s="2" t="str">
        <f aca="false">IFERROR(MATCH(ROWS($K$5:$K166),Jobs!$Q$5:$Q$504,0),"")</f>
        <v/>
      </c>
      <c r="M166" s="16"/>
      <c r="N166" s="12"/>
      <c r="O166" s="12"/>
      <c r="P166" s="13"/>
      <c r="Q166" s="19" t="str">
        <f aca="false">IF($N166="","",IFERROR(INDEX($C$5:$C$504,MATCH($N166,$A$5:$A$504,0)),"Invoice not found"))</f>
        <v/>
      </c>
    </row>
    <row r="167" customFormat="false" ht="15" hidden="false" customHeight="false" outlineLevel="0" collapsed="false">
      <c r="A167" s="19" t="str">
        <f aca="false">IF($K167="","",INDEX(Jobs!$O$5:$O$504,$K167))</f>
        <v/>
      </c>
      <c r="B167" s="22" t="str">
        <f aca="false">IF($K167="","",INDEX(Jobs!$A$5:$A$504,$K167))</f>
        <v/>
      </c>
      <c r="C167" s="19" t="str">
        <f aca="false">IF($K167="","",INDEX(Jobs!$B$5:$B$504,$K167))</f>
        <v/>
      </c>
      <c r="D167" s="19" t="str">
        <f aca="false">IF($K167="","",INDEX(Jobs!$J$5:$J$504,$K167))</f>
        <v/>
      </c>
      <c r="E167" s="15" t="str">
        <f aca="false">IF($K167="","",INDEX(Jobs!$N$5:$N$504,$K167))</f>
        <v/>
      </c>
      <c r="F167" s="15" t="str">
        <f aca="false">IF($A167="","",SUMIFS($P$5:$P$1004,$N$5:$N$1004,$A167))</f>
        <v/>
      </c>
      <c r="G167" s="15" t="str">
        <f aca="false">IF($A167="","",$E167-$F167)</f>
        <v/>
      </c>
      <c r="H167" s="22" t="str">
        <f aca="false">IF($A167="","",$B167+Settings!$B$11)</f>
        <v/>
      </c>
      <c r="I167" s="19" t="str">
        <f aca="true">IF($A167="","",IF($G167&lt;=0,"Paid",IF(TODAY()&gt;$H167,"Overdue",IF($F167&gt;0,"Partial","Unpaid"))))</f>
        <v/>
      </c>
      <c r="J167" s="14" t="str">
        <f aca="true">IF($A167="","",IF(AND($G167&gt;0,TODAY()&gt;$H167),TODAY()-$H167,""))</f>
        <v/>
      </c>
      <c r="K167" s="2" t="str">
        <f aca="false">IFERROR(MATCH(ROWS($K$5:$K167),Jobs!$Q$5:$Q$504,0),"")</f>
        <v/>
      </c>
      <c r="M167" s="16"/>
      <c r="N167" s="12"/>
      <c r="O167" s="12"/>
      <c r="P167" s="13"/>
      <c r="Q167" s="19" t="str">
        <f aca="false">IF($N167="","",IFERROR(INDEX($C$5:$C$504,MATCH($N167,$A$5:$A$504,0)),"Invoice not found"))</f>
        <v/>
      </c>
    </row>
    <row r="168" customFormat="false" ht="15" hidden="false" customHeight="false" outlineLevel="0" collapsed="false">
      <c r="A168" s="19" t="str">
        <f aca="false">IF($K168="","",INDEX(Jobs!$O$5:$O$504,$K168))</f>
        <v/>
      </c>
      <c r="B168" s="22" t="str">
        <f aca="false">IF($K168="","",INDEX(Jobs!$A$5:$A$504,$K168))</f>
        <v/>
      </c>
      <c r="C168" s="19" t="str">
        <f aca="false">IF($K168="","",INDEX(Jobs!$B$5:$B$504,$K168))</f>
        <v/>
      </c>
      <c r="D168" s="19" t="str">
        <f aca="false">IF($K168="","",INDEX(Jobs!$J$5:$J$504,$K168))</f>
        <v/>
      </c>
      <c r="E168" s="15" t="str">
        <f aca="false">IF($K168="","",INDEX(Jobs!$N$5:$N$504,$K168))</f>
        <v/>
      </c>
      <c r="F168" s="15" t="str">
        <f aca="false">IF($A168="","",SUMIFS($P$5:$P$1004,$N$5:$N$1004,$A168))</f>
        <v/>
      </c>
      <c r="G168" s="15" t="str">
        <f aca="false">IF($A168="","",$E168-$F168)</f>
        <v/>
      </c>
      <c r="H168" s="22" t="str">
        <f aca="false">IF($A168="","",$B168+Settings!$B$11)</f>
        <v/>
      </c>
      <c r="I168" s="19" t="str">
        <f aca="true">IF($A168="","",IF($G168&lt;=0,"Paid",IF(TODAY()&gt;$H168,"Overdue",IF($F168&gt;0,"Partial","Unpaid"))))</f>
        <v/>
      </c>
      <c r="J168" s="14" t="str">
        <f aca="true">IF($A168="","",IF(AND($G168&gt;0,TODAY()&gt;$H168),TODAY()-$H168,""))</f>
        <v/>
      </c>
      <c r="K168" s="2" t="str">
        <f aca="false">IFERROR(MATCH(ROWS($K$5:$K168),Jobs!$Q$5:$Q$504,0),"")</f>
        <v/>
      </c>
      <c r="M168" s="16"/>
      <c r="N168" s="12"/>
      <c r="O168" s="12"/>
      <c r="P168" s="13"/>
      <c r="Q168" s="19" t="str">
        <f aca="false">IF($N168="","",IFERROR(INDEX($C$5:$C$504,MATCH($N168,$A$5:$A$504,0)),"Invoice not found"))</f>
        <v/>
      </c>
    </row>
    <row r="169" customFormat="false" ht="15" hidden="false" customHeight="false" outlineLevel="0" collapsed="false">
      <c r="A169" s="19" t="str">
        <f aca="false">IF($K169="","",INDEX(Jobs!$O$5:$O$504,$K169))</f>
        <v/>
      </c>
      <c r="B169" s="22" t="str">
        <f aca="false">IF($K169="","",INDEX(Jobs!$A$5:$A$504,$K169))</f>
        <v/>
      </c>
      <c r="C169" s="19" t="str">
        <f aca="false">IF($K169="","",INDEX(Jobs!$B$5:$B$504,$K169))</f>
        <v/>
      </c>
      <c r="D169" s="19" t="str">
        <f aca="false">IF($K169="","",INDEX(Jobs!$J$5:$J$504,$K169))</f>
        <v/>
      </c>
      <c r="E169" s="15" t="str">
        <f aca="false">IF($K169="","",INDEX(Jobs!$N$5:$N$504,$K169))</f>
        <v/>
      </c>
      <c r="F169" s="15" t="str">
        <f aca="false">IF($A169="","",SUMIFS($P$5:$P$1004,$N$5:$N$1004,$A169))</f>
        <v/>
      </c>
      <c r="G169" s="15" t="str">
        <f aca="false">IF($A169="","",$E169-$F169)</f>
        <v/>
      </c>
      <c r="H169" s="22" t="str">
        <f aca="false">IF($A169="","",$B169+Settings!$B$11)</f>
        <v/>
      </c>
      <c r="I169" s="19" t="str">
        <f aca="true">IF($A169="","",IF($G169&lt;=0,"Paid",IF(TODAY()&gt;$H169,"Overdue",IF($F169&gt;0,"Partial","Unpaid"))))</f>
        <v/>
      </c>
      <c r="J169" s="14" t="str">
        <f aca="true">IF($A169="","",IF(AND($G169&gt;0,TODAY()&gt;$H169),TODAY()-$H169,""))</f>
        <v/>
      </c>
      <c r="K169" s="2" t="str">
        <f aca="false">IFERROR(MATCH(ROWS($K$5:$K169),Jobs!$Q$5:$Q$504,0),"")</f>
        <v/>
      </c>
      <c r="M169" s="16"/>
      <c r="N169" s="12"/>
      <c r="O169" s="12"/>
      <c r="P169" s="13"/>
      <c r="Q169" s="19" t="str">
        <f aca="false">IF($N169="","",IFERROR(INDEX($C$5:$C$504,MATCH($N169,$A$5:$A$504,0)),"Invoice not found"))</f>
        <v/>
      </c>
    </row>
    <row r="170" customFormat="false" ht="15" hidden="false" customHeight="false" outlineLevel="0" collapsed="false">
      <c r="A170" s="19" t="str">
        <f aca="false">IF($K170="","",INDEX(Jobs!$O$5:$O$504,$K170))</f>
        <v/>
      </c>
      <c r="B170" s="22" t="str">
        <f aca="false">IF($K170="","",INDEX(Jobs!$A$5:$A$504,$K170))</f>
        <v/>
      </c>
      <c r="C170" s="19" t="str">
        <f aca="false">IF($K170="","",INDEX(Jobs!$B$5:$B$504,$K170))</f>
        <v/>
      </c>
      <c r="D170" s="19" t="str">
        <f aca="false">IF($K170="","",INDEX(Jobs!$J$5:$J$504,$K170))</f>
        <v/>
      </c>
      <c r="E170" s="15" t="str">
        <f aca="false">IF($K170="","",INDEX(Jobs!$N$5:$N$504,$K170))</f>
        <v/>
      </c>
      <c r="F170" s="15" t="str">
        <f aca="false">IF($A170="","",SUMIFS($P$5:$P$1004,$N$5:$N$1004,$A170))</f>
        <v/>
      </c>
      <c r="G170" s="15" t="str">
        <f aca="false">IF($A170="","",$E170-$F170)</f>
        <v/>
      </c>
      <c r="H170" s="22" t="str">
        <f aca="false">IF($A170="","",$B170+Settings!$B$11)</f>
        <v/>
      </c>
      <c r="I170" s="19" t="str">
        <f aca="true">IF($A170="","",IF($G170&lt;=0,"Paid",IF(TODAY()&gt;$H170,"Overdue",IF($F170&gt;0,"Partial","Unpaid"))))</f>
        <v/>
      </c>
      <c r="J170" s="14" t="str">
        <f aca="true">IF($A170="","",IF(AND($G170&gt;0,TODAY()&gt;$H170),TODAY()-$H170,""))</f>
        <v/>
      </c>
      <c r="K170" s="2" t="str">
        <f aca="false">IFERROR(MATCH(ROWS($K$5:$K170),Jobs!$Q$5:$Q$504,0),"")</f>
        <v/>
      </c>
      <c r="M170" s="16"/>
      <c r="N170" s="12"/>
      <c r="O170" s="12"/>
      <c r="P170" s="13"/>
      <c r="Q170" s="19" t="str">
        <f aca="false">IF($N170="","",IFERROR(INDEX($C$5:$C$504,MATCH($N170,$A$5:$A$504,0)),"Invoice not found"))</f>
        <v/>
      </c>
    </row>
    <row r="171" customFormat="false" ht="15" hidden="false" customHeight="false" outlineLevel="0" collapsed="false">
      <c r="A171" s="19" t="str">
        <f aca="false">IF($K171="","",INDEX(Jobs!$O$5:$O$504,$K171))</f>
        <v/>
      </c>
      <c r="B171" s="22" t="str">
        <f aca="false">IF($K171="","",INDEX(Jobs!$A$5:$A$504,$K171))</f>
        <v/>
      </c>
      <c r="C171" s="19" t="str">
        <f aca="false">IF($K171="","",INDEX(Jobs!$B$5:$B$504,$K171))</f>
        <v/>
      </c>
      <c r="D171" s="19" t="str">
        <f aca="false">IF($K171="","",INDEX(Jobs!$J$5:$J$504,$K171))</f>
        <v/>
      </c>
      <c r="E171" s="15" t="str">
        <f aca="false">IF($K171="","",INDEX(Jobs!$N$5:$N$504,$K171))</f>
        <v/>
      </c>
      <c r="F171" s="15" t="str">
        <f aca="false">IF($A171="","",SUMIFS($P$5:$P$1004,$N$5:$N$1004,$A171))</f>
        <v/>
      </c>
      <c r="G171" s="15" t="str">
        <f aca="false">IF($A171="","",$E171-$F171)</f>
        <v/>
      </c>
      <c r="H171" s="22" t="str">
        <f aca="false">IF($A171="","",$B171+Settings!$B$11)</f>
        <v/>
      </c>
      <c r="I171" s="19" t="str">
        <f aca="true">IF($A171="","",IF($G171&lt;=0,"Paid",IF(TODAY()&gt;$H171,"Overdue",IF($F171&gt;0,"Partial","Unpaid"))))</f>
        <v/>
      </c>
      <c r="J171" s="14" t="str">
        <f aca="true">IF($A171="","",IF(AND($G171&gt;0,TODAY()&gt;$H171),TODAY()-$H171,""))</f>
        <v/>
      </c>
      <c r="K171" s="2" t="str">
        <f aca="false">IFERROR(MATCH(ROWS($K$5:$K171),Jobs!$Q$5:$Q$504,0),"")</f>
        <v/>
      </c>
      <c r="M171" s="16"/>
      <c r="N171" s="12"/>
      <c r="O171" s="12"/>
      <c r="P171" s="13"/>
      <c r="Q171" s="19" t="str">
        <f aca="false">IF($N171="","",IFERROR(INDEX($C$5:$C$504,MATCH($N171,$A$5:$A$504,0)),"Invoice not found"))</f>
        <v/>
      </c>
    </row>
    <row r="172" customFormat="false" ht="15" hidden="false" customHeight="false" outlineLevel="0" collapsed="false">
      <c r="A172" s="19" t="str">
        <f aca="false">IF($K172="","",INDEX(Jobs!$O$5:$O$504,$K172))</f>
        <v/>
      </c>
      <c r="B172" s="22" t="str">
        <f aca="false">IF($K172="","",INDEX(Jobs!$A$5:$A$504,$K172))</f>
        <v/>
      </c>
      <c r="C172" s="19" t="str">
        <f aca="false">IF($K172="","",INDEX(Jobs!$B$5:$B$504,$K172))</f>
        <v/>
      </c>
      <c r="D172" s="19" t="str">
        <f aca="false">IF($K172="","",INDEX(Jobs!$J$5:$J$504,$K172))</f>
        <v/>
      </c>
      <c r="E172" s="15" t="str">
        <f aca="false">IF($K172="","",INDEX(Jobs!$N$5:$N$504,$K172))</f>
        <v/>
      </c>
      <c r="F172" s="15" t="str">
        <f aca="false">IF($A172="","",SUMIFS($P$5:$P$1004,$N$5:$N$1004,$A172))</f>
        <v/>
      </c>
      <c r="G172" s="15" t="str">
        <f aca="false">IF($A172="","",$E172-$F172)</f>
        <v/>
      </c>
      <c r="H172" s="22" t="str">
        <f aca="false">IF($A172="","",$B172+Settings!$B$11)</f>
        <v/>
      </c>
      <c r="I172" s="19" t="str">
        <f aca="true">IF($A172="","",IF($G172&lt;=0,"Paid",IF(TODAY()&gt;$H172,"Overdue",IF($F172&gt;0,"Partial","Unpaid"))))</f>
        <v/>
      </c>
      <c r="J172" s="14" t="str">
        <f aca="true">IF($A172="","",IF(AND($G172&gt;0,TODAY()&gt;$H172),TODAY()-$H172,""))</f>
        <v/>
      </c>
      <c r="K172" s="2" t="str">
        <f aca="false">IFERROR(MATCH(ROWS($K$5:$K172),Jobs!$Q$5:$Q$504,0),"")</f>
        <v/>
      </c>
      <c r="M172" s="16"/>
      <c r="N172" s="12"/>
      <c r="O172" s="12"/>
      <c r="P172" s="13"/>
      <c r="Q172" s="19" t="str">
        <f aca="false">IF($N172="","",IFERROR(INDEX($C$5:$C$504,MATCH($N172,$A$5:$A$504,0)),"Invoice not found"))</f>
        <v/>
      </c>
    </row>
    <row r="173" customFormat="false" ht="15" hidden="false" customHeight="false" outlineLevel="0" collapsed="false">
      <c r="A173" s="19" t="str">
        <f aca="false">IF($K173="","",INDEX(Jobs!$O$5:$O$504,$K173))</f>
        <v/>
      </c>
      <c r="B173" s="22" t="str">
        <f aca="false">IF($K173="","",INDEX(Jobs!$A$5:$A$504,$K173))</f>
        <v/>
      </c>
      <c r="C173" s="19" t="str">
        <f aca="false">IF($K173="","",INDEX(Jobs!$B$5:$B$504,$K173))</f>
        <v/>
      </c>
      <c r="D173" s="19" t="str">
        <f aca="false">IF($K173="","",INDEX(Jobs!$J$5:$J$504,$K173))</f>
        <v/>
      </c>
      <c r="E173" s="15" t="str">
        <f aca="false">IF($K173="","",INDEX(Jobs!$N$5:$N$504,$K173))</f>
        <v/>
      </c>
      <c r="F173" s="15" t="str">
        <f aca="false">IF($A173="","",SUMIFS($P$5:$P$1004,$N$5:$N$1004,$A173))</f>
        <v/>
      </c>
      <c r="G173" s="15" t="str">
        <f aca="false">IF($A173="","",$E173-$F173)</f>
        <v/>
      </c>
      <c r="H173" s="22" t="str">
        <f aca="false">IF($A173="","",$B173+Settings!$B$11)</f>
        <v/>
      </c>
      <c r="I173" s="19" t="str">
        <f aca="true">IF($A173="","",IF($G173&lt;=0,"Paid",IF(TODAY()&gt;$H173,"Overdue",IF($F173&gt;0,"Partial","Unpaid"))))</f>
        <v/>
      </c>
      <c r="J173" s="14" t="str">
        <f aca="true">IF($A173="","",IF(AND($G173&gt;0,TODAY()&gt;$H173),TODAY()-$H173,""))</f>
        <v/>
      </c>
      <c r="K173" s="2" t="str">
        <f aca="false">IFERROR(MATCH(ROWS($K$5:$K173),Jobs!$Q$5:$Q$504,0),"")</f>
        <v/>
      </c>
      <c r="M173" s="16"/>
      <c r="N173" s="12"/>
      <c r="O173" s="12"/>
      <c r="P173" s="13"/>
      <c r="Q173" s="19" t="str">
        <f aca="false">IF($N173="","",IFERROR(INDEX($C$5:$C$504,MATCH($N173,$A$5:$A$504,0)),"Invoice not found"))</f>
        <v/>
      </c>
    </row>
    <row r="174" customFormat="false" ht="15" hidden="false" customHeight="false" outlineLevel="0" collapsed="false">
      <c r="A174" s="19" t="str">
        <f aca="false">IF($K174="","",INDEX(Jobs!$O$5:$O$504,$K174))</f>
        <v/>
      </c>
      <c r="B174" s="22" t="str">
        <f aca="false">IF($K174="","",INDEX(Jobs!$A$5:$A$504,$K174))</f>
        <v/>
      </c>
      <c r="C174" s="19" t="str">
        <f aca="false">IF($K174="","",INDEX(Jobs!$B$5:$B$504,$K174))</f>
        <v/>
      </c>
      <c r="D174" s="19" t="str">
        <f aca="false">IF($K174="","",INDEX(Jobs!$J$5:$J$504,$K174))</f>
        <v/>
      </c>
      <c r="E174" s="15" t="str">
        <f aca="false">IF($K174="","",INDEX(Jobs!$N$5:$N$504,$K174))</f>
        <v/>
      </c>
      <c r="F174" s="15" t="str">
        <f aca="false">IF($A174="","",SUMIFS($P$5:$P$1004,$N$5:$N$1004,$A174))</f>
        <v/>
      </c>
      <c r="G174" s="15" t="str">
        <f aca="false">IF($A174="","",$E174-$F174)</f>
        <v/>
      </c>
      <c r="H174" s="22" t="str">
        <f aca="false">IF($A174="","",$B174+Settings!$B$11)</f>
        <v/>
      </c>
      <c r="I174" s="19" t="str">
        <f aca="true">IF($A174="","",IF($G174&lt;=0,"Paid",IF(TODAY()&gt;$H174,"Overdue",IF($F174&gt;0,"Partial","Unpaid"))))</f>
        <v/>
      </c>
      <c r="J174" s="14" t="str">
        <f aca="true">IF($A174="","",IF(AND($G174&gt;0,TODAY()&gt;$H174),TODAY()-$H174,""))</f>
        <v/>
      </c>
      <c r="K174" s="2" t="str">
        <f aca="false">IFERROR(MATCH(ROWS($K$5:$K174),Jobs!$Q$5:$Q$504,0),"")</f>
        <v/>
      </c>
      <c r="M174" s="16"/>
      <c r="N174" s="12"/>
      <c r="O174" s="12"/>
      <c r="P174" s="13"/>
      <c r="Q174" s="19" t="str">
        <f aca="false">IF($N174="","",IFERROR(INDEX($C$5:$C$504,MATCH($N174,$A$5:$A$504,0)),"Invoice not found"))</f>
        <v/>
      </c>
    </row>
    <row r="175" customFormat="false" ht="15" hidden="false" customHeight="false" outlineLevel="0" collapsed="false">
      <c r="A175" s="19" t="str">
        <f aca="false">IF($K175="","",INDEX(Jobs!$O$5:$O$504,$K175))</f>
        <v/>
      </c>
      <c r="B175" s="22" t="str">
        <f aca="false">IF($K175="","",INDEX(Jobs!$A$5:$A$504,$K175))</f>
        <v/>
      </c>
      <c r="C175" s="19" t="str">
        <f aca="false">IF($K175="","",INDEX(Jobs!$B$5:$B$504,$K175))</f>
        <v/>
      </c>
      <c r="D175" s="19" t="str">
        <f aca="false">IF($K175="","",INDEX(Jobs!$J$5:$J$504,$K175))</f>
        <v/>
      </c>
      <c r="E175" s="15" t="str">
        <f aca="false">IF($K175="","",INDEX(Jobs!$N$5:$N$504,$K175))</f>
        <v/>
      </c>
      <c r="F175" s="15" t="str">
        <f aca="false">IF($A175="","",SUMIFS($P$5:$P$1004,$N$5:$N$1004,$A175))</f>
        <v/>
      </c>
      <c r="G175" s="15" t="str">
        <f aca="false">IF($A175="","",$E175-$F175)</f>
        <v/>
      </c>
      <c r="H175" s="22" t="str">
        <f aca="false">IF($A175="","",$B175+Settings!$B$11)</f>
        <v/>
      </c>
      <c r="I175" s="19" t="str">
        <f aca="true">IF($A175="","",IF($G175&lt;=0,"Paid",IF(TODAY()&gt;$H175,"Overdue",IF($F175&gt;0,"Partial","Unpaid"))))</f>
        <v/>
      </c>
      <c r="J175" s="14" t="str">
        <f aca="true">IF($A175="","",IF(AND($G175&gt;0,TODAY()&gt;$H175),TODAY()-$H175,""))</f>
        <v/>
      </c>
      <c r="K175" s="2" t="str">
        <f aca="false">IFERROR(MATCH(ROWS($K$5:$K175),Jobs!$Q$5:$Q$504,0),"")</f>
        <v/>
      </c>
      <c r="M175" s="16"/>
      <c r="N175" s="12"/>
      <c r="O175" s="12"/>
      <c r="P175" s="13"/>
      <c r="Q175" s="19" t="str">
        <f aca="false">IF($N175="","",IFERROR(INDEX($C$5:$C$504,MATCH($N175,$A$5:$A$504,0)),"Invoice not found"))</f>
        <v/>
      </c>
    </row>
    <row r="176" customFormat="false" ht="15" hidden="false" customHeight="false" outlineLevel="0" collapsed="false">
      <c r="A176" s="19" t="str">
        <f aca="false">IF($K176="","",INDEX(Jobs!$O$5:$O$504,$K176))</f>
        <v/>
      </c>
      <c r="B176" s="22" t="str">
        <f aca="false">IF($K176="","",INDEX(Jobs!$A$5:$A$504,$K176))</f>
        <v/>
      </c>
      <c r="C176" s="19" t="str">
        <f aca="false">IF($K176="","",INDEX(Jobs!$B$5:$B$504,$K176))</f>
        <v/>
      </c>
      <c r="D176" s="19" t="str">
        <f aca="false">IF($K176="","",INDEX(Jobs!$J$5:$J$504,$K176))</f>
        <v/>
      </c>
      <c r="E176" s="15" t="str">
        <f aca="false">IF($K176="","",INDEX(Jobs!$N$5:$N$504,$K176))</f>
        <v/>
      </c>
      <c r="F176" s="15" t="str">
        <f aca="false">IF($A176="","",SUMIFS($P$5:$P$1004,$N$5:$N$1004,$A176))</f>
        <v/>
      </c>
      <c r="G176" s="15" t="str">
        <f aca="false">IF($A176="","",$E176-$F176)</f>
        <v/>
      </c>
      <c r="H176" s="22" t="str">
        <f aca="false">IF($A176="","",$B176+Settings!$B$11)</f>
        <v/>
      </c>
      <c r="I176" s="19" t="str">
        <f aca="true">IF($A176="","",IF($G176&lt;=0,"Paid",IF(TODAY()&gt;$H176,"Overdue",IF($F176&gt;0,"Partial","Unpaid"))))</f>
        <v/>
      </c>
      <c r="J176" s="14" t="str">
        <f aca="true">IF($A176="","",IF(AND($G176&gt;0,TODAY()&gt;$H176),TODAY()-$H176,""))</f>
        <v/>
      </c>
      <c r="K176" s="2" t="str">
        <f aca="false">IFERROR(MATCH(ROWS($K$5:$K176),Jobs!$Q$5:$Q$504,0),"")</f>
        <v/>
      </c>
      <c r="M176" s="16"/>
      <c r="N176" s="12"/>
      <c r="O176" s="12"/>
      <c r="P176" s="13"/>
      <c r="Q176" s="19" t="str">
        <f aca="false">IF($N176="","",IFERROR(INDEX($C$5:$C$504,MATCH($N176,$A$5:$A$504,0)),"Invoice not found"))</f>
        <v/>
      </c>
    </row>
    <row r="177" customFormat="false" ht="15" hidden="false" customHeight="false" outlineLevel="0" collapsed="false">
      <c r="A177" s="19" t="str">
        <f aca="false">IF($K177="","",INDEX(Jobs!$O$5:$O$504,$K177))</f>
        <v/>
      </c>
      <c r="B177" s="22" t="str">
        <f aca="false">IF($K177="","",INDEX(Jobs!$A$5:$A$504,$K177))</f>
        <v/>
      </c>
      <c r="C177" s="19" t="str">
        <f aca="false">IF($K177="","",INDEX(Jobs!$B$5:$B$504,$K177))</f>
        <v/>
      </c>
      <c r="D177" s="19" t="str">
        <f aca="false">IF($K177="","",INDEX(Jobs!$J$5:$J$504,$K177))</f>
        <v/>
      </c>
      <c r="E177" s="15" t="str">
        <f aca="false">IF($K177="","",INDEX(Jobs!$N$5:$N$504,$K177))</f>
        <v/>
      </c>
      <c r="F177" s="15" t="str">
        <f aca="false">IF($A177="","",SUMIFS($P$5:$P$1004,$N$5:$N$1004,$A177))</f>
        <v/>
      </c>
      <c r="G177" s="15" t="str">
        <f aca="false">IF($A177="","",$E177-$F177)</f>
        <v/>
      </c>
      <c r="H177" s="22" t="str">
        <f aca="false">IF($A177="","",$B177+Settings!$B$11)</f>
        <v/>
      </c>
      <c r="I177" s="19" t="str">
        <f aca="true">IF($A177="","",IF($G177&lt;=0,"Paid",IF(TODAY()&gt;$H177,"Overdue",IF($F177&gt;0,"Partial","Unpaid"))))</f>
        <v/>
      </c>
      <c r="J177" s="14" t="str">
        <f aca="true">IF($A177="","",IF(AND($G177&gt;0,TODAY()&gt;$H177),TODAY()-$H177,""))</f>
        <v/>
      </c>
      <c r="K177" s="2" t="str">
        <f aca="false">IFERROR(MATCH(ROWS($K$5:$K177),Jobs!$Q$5:$Q$504,0),"")</f>
        <v/>
      </c>
      <c r="M177" s="16"/>
      <c r="N177" s="12"/>
      <c r="O177" s="12"/>
      <c r="P177" s="13"/>
      <c r="Q177" s="19" t="str">
        <f aca="false">IF($N177="","",IFERROR(INDEX($C$5:$C$504,MATCH($N177,$A$5:$A$504,0)),"Invoice not found"))</f>
        <v/>
      </c>
    </row>
    <row r="178" customFormat="false" ht="15" hidden="false" customHeight="false" outlineLevel="0" collapsed="false">
      <c r="A178" s="19" t="str">
        <f aca="false">IF($K178="","",INDEX(Jobs!$O$5:$O$504,$K178))</f>
        <v/>
      </c>
      <c r="B178" s="22" t="str">
        <f aca="false">IF($K178="","",INDEX(Jobs!$A$5:$A$504,$K178))</f>
        <v/>
      </c>
      <c r="C178" s="19" t="str">
        <f aca="false">IF($K178="","",INDEX(Jobs!$B$5:$B$504,$K178))</f>
        <v/>
      </c>
      <c r="D178" s="19" t="str">
        <f aca="false">IF($K178="","",INDEX(Jobs!$J$5:$J$504,$K178))</f>
        <v/>
      </c>
      <c r="E178" s="15" t="str">
        <f aca="false">IF($K178="","",INDEX(Jobs!$N$5:$N$504,$K178))</f>
        <v/>
      </c>
      <c r="F178" s="15" t="str">
        <f aca="false">IF($A178="","",SUMIFS($P$5:$P$1004,$N$5:$N$1004,$A178))</f>
        <v/>
      </c>
      <c r="G178" s="15" t="str">
        <f aca="false">IF($A178="","",$E178-$F178)</f>
        <v/>
      </c>
      <c r="H178" s="22" t="str">
        <f aca="false">IF($A178="","",$B178+Settings!$B$11)</f>
        <v/>
      </c>
      <c r="I178" s="19" t="str">
        <f aca="true">IF($A178="","",IF($G178&lt;=0,"Paid",IF(TODAY()&gt;$H178,"Overdue",IF($F178&gt;0,"Partial","Unpaid"))))</f>
        <v/>
      </c>
      <c r="J178" s="14" t="str">
        <f aca="true">IF($A178="","",IF(AND($G178&gt;0,TODAY()&gt;$H178),TODAY()-$H178,""))</f>
        <v/>
      </c>
      <c r="K178" s="2" t="str">
        <f aca="false">IFERROR(MATCH(ROWS($K$5:$K178),Jobs!$Q$5:$Q$504,0),"")</f>
        <v/>
      </c>
      <c r="M178" s="16"/>
      <c r="N178" s="12"/>
      <c r="O178" s="12"/>
      <c r="P178" s="13"/>
      <c r="Q178" s="19" t="str">
        <f aca="false">IF($N178="","",IFERROR(INDEX($C$5:$C$504,MATCH($N178,$A$5:$A$504,0)),"Invoice not found"))</f>
        <v/>
      </c>
    </row>
    <row r="179" customFormat="false" ht="15" hidden="false" customHeight="false" outlineLevel="0" collapsed="false">
      <c r="A179" s="19" t="str">
        <f aca="false">IF($K179="","",INDEX(Jobs!$O$5:$O$504,$K179))</f>
        <v/>
      </c>
      <c r="B179" s="22" t="str">
        <f aca="false">IF($K179="","",INDEX(Jobs!$A$5:$A$504,$K179))</f>
        <v/>
      </c>
      <c r="C179" s="19" t="str">
        <f aca="false">IF($K179="","",INDEX(Jobs!$B$5:$B$504,$K179))</f>
        <v/>
      </c>
      <c r="D179" s="19" t="str">
        <f aca="false">IF($K179="","",INDEX(Jobs!$J$5:$J$504,$K179))</f>
        <v/>
      </c>
      <c r="E179" s="15" t="str">
        <f aca="false">IF($K179="","",INDEX(Jobs!$N$5:$N$504,$K179))</f>
        <v/>
      </c>
      <c r="F179" s="15" t="str">
        <f aca="false">IF($A179="","",SUMIFS($P$5:$P$1004,$N$5:$N$1004,$A179))</f>
        <v/>
      </c>
      <c r="G179" s="15" t="str">
        <f aca="false">IF($A179="","",$E179-$F179)</f>
        <v/>
      </c>
      <c r="H179" s="22" t="str">
        <f aca="false">IF($A179="","",$B179+Settings!$B$11)</f>
        <v/>
      </c>
      <c r="I179" s="19" t="str">
        <f aca="true">IF($A179="","",IF($G179&lt;=0,"Paid",IF(TODAY()&gt;$H179,"Overdue",IF($F179&gt;0,"Partial","Unpaid"))))</f>
        <v/>
      </c>
      <c r="J179" s="14" t="str">
        <f aca="true">IF($A179="","",IF(AND($G179&gt;0,TODAY()&gt;$H179),TODAY()-$H179,""))</f>
        <v/>
      </c>
      <c r="K179" s="2" t="str">
        <f aca="false">IFERROR(MATCH(ROWS($K$5:$K179),Jobs!$Q$5:$Q$504,0),"")</f>
        <v/>
      </c>
      <c r="M179" s="16"/>
      <c r="N179" s="12"/>
      <c r="O179" s="12"/>
      <c r="P179" s="13"/>
      <c r="Q179" s="19" t="str">
        <f aca="false">IF($N179="","",IFERROR(INDEX($C$5:$C$504,MATCH($N179,$A$5:$A$504,0)),"Invoice not found"))</f>
        <v/>
      </c>
    </row>
    <row r="180" customFormat="false" ht="15" hidden="false" customHeight="false" outlineLevel="0" collapsed="false">
      <c r="A180" s="19" t="str">
        <f aca="false">IF($K180="","",INDEX(Jobs!$O$5:$O$504,$K180))</f>
        <v/>
      </c>
      <c r="B180" s="22" t="str">
        <f aca="false">IF($K180="","",INDEX(Jobs!$A$5:$A$504,$K180))</f>
        <v/>
      </c>
      <c r="C180" s="19" t="str">
        <f aca="false">IF($K180="","",INDEX(Jobs!$B$5:$B$504,$K180))</f>
        <v/>
      </c>
      <c r="D180" s="19" t="str">
        <f aca="false">IF($K180="","",INDEX(Jobs!$J$5:$J$504,$K180))</f>
        <v/>
      </c>
      <c r="E180" s="15" t="str">
        <f aca="false">IF($K180="","",INDEX(Jobs!$N$5:$N$504,$K180))</f>
        <v/>
      </c>
      <c r="F180" s="15" t="str">
        <f aca="false">IF($A180="","",SUMIFS($P$5:$P$1004,$N$5:$N$1004,$A180))</f>
        <v/>
      </c>
      <c r="G180" s="15" t="str">
        <f aca="false">IF($A180="","",$E180-$F180)</f>
        <v/>
      </c>
      <c r="H180" s="22" t="str">
        <f aca="false">IF($A180="","",$B180+Settings!$B$11)</f>
        <v/>
      </c>
      <c r="I180" s="19" t="str">
        <f aca="true">IF($A180="","",IF($G180&lt;=0,"Paid",IF(TODAY()&gt;$H180,"Overdue",IF($F180&gt;0,"Partial","Unpaid"))))</f>
        <v/>
      </c>
      <c r="J180" s="14" t="str">
        <f aca="true">IF($A180="","",IF(AND($G180&gt;0,TODAY()&gt;$H180),TODAY()-$H180,""))</f>
        <v/>
      </c>
      <c r="K180" s="2" t="str">
        <f aca="false">IFERROR(MATCH(ROWS($K$5:$K180),Jobs!$Q$5:$Q$504,0),"")</f>
        <v/>
      </c>
      <c r="M180" s="16"/>
      <c r="N180" s="12"/>
      <c r="O180" s="12"/>
      <c r="P180" s="13"/>
      <c r="Q180" s="19" t="str">
        <f aca="false">IF($N180="","",IFERROR(INDEX($C$5:$C$504,MATCH($N180,$A$5:$A$504,0)),"Invoice not found"))</f>
        <v/>
      </c>
    </row>
    <row r="181" customFormat="false" ht="15" hidden="false" customHeight="false" outlineLevel="0" collapsed="false">
      <c r="A181" s="19" t="str">
        <f aca="false">IF($K181="","",INDEX(Jobs!$O$5:$O$504,$K181))</f>
        <v/>
      </c>
      <c r="B181" s="22" t="str">
        <f aca="false">IF($K181="","",INDEX(Jobs!$A$5:$A$504,$K181))</f>
        <v/>
      </c>
      <c r="C181" s="19" t="str">
        <f aca="false">IF($K181="","",INDEX(Jobs!$B$5:$B$504,$K181))</f>
        <v/>
      </c>
      <c r="D181" s="19" t="str">
        <f aca="false">IF($K181="","",INDEX(Jobs!$J$5:$J$504,$K181))</f>
        <v/>
      </c>
      <c r="E181" s="15" t="str">
        <f aca="false">IF($K181="","",INDEX(Jobs!$N$5:$N$504,$K181))</f>
        <v/>
      </c>
      <c r="F181" s="15" t="str">
        <f aca="false">IF($A181="","",SUMIFS($P$5:$P$1004,$N$5:$N$1004,$A181))</f>
        <v/>
      </c>
      <c r="G181" s="15" t="str">
        <f aca="false">IF($A181="","",$E181-$F181)</f>
        <v/>
      </c>
      <c r="H181" s="22" t="str">
        <f aca="false">IF($A181="","",$B181+Settings!$B$11)</f>
        <v/>
      </c>
      <c r="I181" s="19" t="str">
        <f aca="true">IF($A181="","",IF($G181&lt;=0,"Paid",IF(TODAY()&gt;$H181,"Overdue",IF($F181&gt;0,"Partial","Unpaid"))))</f>
        <v/>
      </c>
      <c r="J181" s="14" t="str">
        <f aca="true">IF($A181="","",IF(AND($G181&gt;0,TODAY()&gt;$H181),TODAY()-$H181,""))</f>
        <v/>
      </c>
      <c r="K181" s="2" t="str">
        <f aca="false">IFERROR(MATCH(ROWS($K$5:$K181),Jobs!$Q$5:$Q$504,0),"")</f>
        <v/>
      </c>
      <c r="M181" s="16"/>
      <c r="N181" s="12"/>
      <c r="O181" s="12"/>
      <c r="P181" s="13"/>
      <c r="Q181" s="19" t="str">
        <f aca="false">IF($N181="","",IFERROR(INDEX($C$5:$C$504,MATCH($N181,$A$5:$A$504,0)),"Invoice not found"))</f>
        <v/>
      </c>
    </row>
    <row r="182" customFormat="false" ht="15" hidden="false" customHeight="false" outlineLevel="0" collapsed="false">
      <c r="A182" s="19" t="str">
        <f aca="false">IF($K182="","",INDEX(Jobs!$O$5:$O$504,$K182))</f>
        <v/>
      </c>
      <c r="B182" s="22" t="str">
        <f aca="false">IF($K182="","",INDEX(Jobs!$A$5:$A$504,$K182))</f>
        <v/>
      </c>
      <c r="C182" s="19" t="str">
        <f aca="false">IF($K182="","",INDEX(Jobs!$B$5:$B$504,$K182))</f>
        <v/>
      </c>
      <c r="D182" s="19" t="str">
        <f aca="false">IF($K182="","",INDEX(Jobs!$J$5:$J$504,$K182))</f>
        <v/>
      </c>
      <c r="E182" s="15" t="str">
        <f aca="false">IF($K182="","",INDEX(Jobs!$N$5:$N$504,$K182))</f>
        <v/>
      </c>
      <c r="F182" s="15" t="str">
        <f aca="false">IF($A182="","",SUMIFS($P$5:$P$1004,$N$5:$N$1004,$A182))</f>
        <v/>
      </c>
      <c r="G182" s="15" t="str">
        <f aca="false">IF($A182="","",$E182-$F182)</f>
        <v/>
      </c>
      <c r="H182" s="22" t="str">
        <f aca="false">IF($A182="","",$B182+Settings!$B$11)</f>
        <v/>
      </c>
      <c r="I182" s="19" t="str">
        <f aca="true">IF($A182="","",IF($G182&lt;=0,"Paid",IF(TODAY()&gt;$H182,"Overdue",IF($F182&gt;0,"Partial","Unpaid"))))</f>
        <v/>
      </c>
      <c r="J182" s="14" t="str">
        <f aca="true">IF($A182="","",IF(AND($G182&gt;0,TODAY()&gt;$H182),TODAY()-$H182,""))</f>
        <v/>
      </c>
      <c r="K182" s="2" t="str">
        <f aca="false">IFERROR(MATCH(ROWS($K$5:$K182),Jobs!$Q$5:$Q$504,0),"")</f>
        <v/>
      </c>
      <c r="M182" s="16"/>
      <c r="N182" s="12"/>
      <c r="O182" s="12"/>
      <c r="P182" s="13"/>
      <c r="Q182" s="19" t="str">
        <f aca="false">IF($N182="","",IFERROR(INDEX($C$5:$C$504,MATCH($N182,$A$5:$A$504,0)),"Invoice not found"))</f>
        <v/>
      </c>
    </row>
    <row r="183" customFormat="false" ht="15" hidden="false" customHeight="false" outlineLevel="0" collapsed="false">
      <c r="A183" s="19" t="str">
        <f aca="false">IF($K183="","",INDEX(Jobs!$O$5:$O$504,$K183))</f>
        <v/>
      </c>
      <c r="B183" s="22" t="str">
        <f aca="false">IF($K183="","",INDEX(Jobs!$A$5:$A$504,$K183))</f>
        <v/>
      </c>
      <c r="C183" s="19" t="str">
        <f aca="false">IF($K183="","",INDEX(Jobs!$B$5:$B$504,$K183))</f>
        <v/>
      </c>
      <c r="D183" s="19" t="str">
        <f aca="false">IF($K183="","",INDEX(Jobs!$J$5:$J$504,$K183))</f>
        <v/>
      </c>
      <c r="E183" s="15" t="str">
        <f aca="false">IF($K183="","",INDEX(Jobs!$N$5:$N$504,$K183))</f>
        <v/>
      </c>
      <c r="F183" s="15" t="str">
        <f aca="false">IF($A183="","",SUMIFS($P$5:$P$1004,$N$5:$N$1004,$A183))</f>
        <v/>
      </c>
      <c r="G183" s="15" t="str">
        <f aca="false">IF($A183="","",$E183-$F183)</f>
        <v/>
      </c>
      <c r="H183" s="22" t="str">
        <f aca="false">IF($A183="","",$B183+Settings!$B$11)</f>
        <v/>
      </c>
      <c r="I183" s="19" t="str">
        <f aca="true">IF($A183="","",IF($G183&lt;=0,"Paid",IF(TODAY()&gt;$H183,"Overdue",IF($F183&gt;0,"Partial","Unpaid"))))</f>
        <v/>
      </c>
      <c r="J183" s="14" t="str">
        <f aca="true">IF($A183="","",IF(AND($G183&gt;0,TODAY()&gt;$H183),TODAY()-$H183,""))</f>
        <v/>
      </c>
      <c r="K183" s="2" t="str">
        <f aca="false">IFERROR(MATCH(ROWS($K$5:$K183),Jobs!$Q$5:$Q$504,0),"")</f>
        <v/>
      </c>
      <c r="M183" s="16"/>
      <c r="N183" s="12"/>
      <c r="O183" s="12"/>
      <c r="P183" s="13"/>
      <c r="Q183" s="19" t="str">
        <f aca="false">IF($N183="","",IFERROR(INDEX($C$5:$C$504,MATCH($N183,$A$5:$A$504,0)),"Invoice not found"))</f>
        <v/>
      </c>
    </row>
    <row r="184" customFormat="false" ht="15" hidden="false" customHeight="false" outlineLevel="0" collapsed="false">
      <c r="A184" s="19" t="str">
        <f aca="false">IF($K184="","",INDEX(Jobs!$O$5:$O$504,$K184))</f>
        <v/>
      </c>
      <c r="B184" s="22" t="str">
        <f aca="false">IF($K184="","",INDEX(Jobs!$A$5:$A$504,$K184))</f>
        <v/>
      </c>
      <c r="C184" s="19" t="str">
        <f aca="false">IF($K184="","",INDEX(Jobs!$B$5:$B$504,$K184))</f>
        <v/>
      </c>
      <c r="D184" s="19" t="str">
        <f aca="false">IF($K184="","",INDEX(Jobs!$J$5:$J$504,$K184))</f>
        <v/>
      </c>
      <c r="E184" s="15" t="str">
        <f aca="false">IF($K184="","",INDEX(Jobs!$N$5:$N$504,$K184))</f>
        <v/>
      </c>
      <c r="F184" s="15" t="str">
        <f aca="false">IF($A184="","",SUMIFS($P$5:$P$1004,$N$5:$N$1004,$A184))</f>
        <v/>
      </c>
      <c r="G184" s="15" t="str">
        <f aca="false">IF($A184="","",$E184-$F184)</f>
        <v/>
      </c>
      <c r="H184" s="22" t="str">
        <f aca="false">IF($A184="","",$B184+Settings!$B$11)</f>
        <v/>
      </c>
      <c r="I184" s="19" t="str">
        <f aca="true">IF($A184="","",IF($G184&lt;=0,"Paid",IF(TODAY()&gt;$H184,"Overdue",IF($F184&gt;0,"Partial","Unpaid"))))</f>
        <v/>
      </c>
      <c r="J184" s="14" t="str">
        <f aca="true">IF($A184="","",IF(AND($G184&gt;0,TODAY()&gt;$H184),TODAY()-$H184,""))</f>
        <v/>
      </c>
      <c r="K184" s="2" t="str">
        <f aca="false">IFERROR(MATCH(ROWS($K$5:$K184),Jobs!$Q$5:$Q$504,0),"")</f>
        <v/>
      </c>
      <c r="M184" s="16"/>
      <c r="N184" s="12"/>
      <c r="O184" s="12"/>
      <c r="P184" s="13"/>
      <c r="Q184" s="19" t="str">
        <f aca="false">IF($N184="","",IFERROR(INDEX($C$5:$C$504,MATCH($N184,$A$5:$A$504,0)),"Invoice not found"))</f>
        <v/>
      </c>
    </row>
    <row r="185" customFormat="false" ht="15" hidden="false" customHeight="false" outlineLevel="0" collapsed="false">
      <c r="A185" s="19" t="str">
        <f aca="false">IF($K185="","",INDEX(Jobs!$O$5:$O$504,$K185))</f>
        <v/>
      </c>
      <c r="B185" s="22" t="str">
        <f aca="false">IF($K185="","",INDEX(Jobs!$A$5:$A$504,$K185))</f>
        <v/>
      </c>
      <c r="C185" s="19" t="str">
        <f aca="false">IF($K185="","",INDEX(Jobs!$B$5:$B$504,$K185))</f>
        <v/>
      </c>
      <c r="D185" s="19" t="str">
        <f aca="false">IF($K185="","",INDEX(Jobs!$J$5:$J$504,$K185))</f>
        <v/>
      </c>
      <c r="E185" s="15" t="str">
        <f aca="false">IF($K185="","",INDEX(Jobs!$N$5:$N$504,$K185))</f>
        <v/>
      </c>
      <c r="F185" s="15" t="str">
        <f aca="false">IF($A185="","",SUMIFS($P$5:$P$1004,$N$5:$N$1004,$A185))</f>
        <v/>
      </c>
      <c r="G185" s="15" t="str">
        <f aca="false">IF($A185="","",$E185-$F185)</f>
        <v/>
      </c>
      <c r="H185" s="22" t="str">
        <f aca="false">IF($A185="","",$B185+Settings!$B$11)</f>
        <v/>
      </c>
      <c r="I185" s="19" t="str">
        <f aca="true">IF($A185="","",IF($G185&lt;=0,"Paid",IF(TODAY()&gt;$H185,"Overdue",IF($F185&gt;0,"Partial","Unpaid"))))</f>
        <v/>
      </c>
      <c r="J185" s="14" t="str">
        <f aca="true">IF($A185="","",IF(AND($G185&gt;0,TODAY()&gt;$H185),TODAY()-$H185,""))</f>
        <v/>
      </c>
      <c r="K185" s="2" t="str">
        <f aca="false">IFERROR(MATCH(ROWS($K$5:$K185),Jobs!$Q$5:$Q$504,0),"")</f>
        <v/>
      </c>
      <c r="M185" s="16"/>
      <c r="N185" s="12"/>
      <c r="O185" s="12"/>
      <c r="P185" s="13"/>
      <c r="Q185" s="19" t="str">
        <f aca="false">IF($N185="","",IFERROR(INDEX($C$5:$C$504,MATCH($N185,$A$5:$A$504,0)),"Invoice not found"))</f>
        <v/>
      </c>
    </row>
    <row r="186" customFormat="false" ht="15" hidden="false" customHeight="false" outlineLevel="0" collapsed="false">
      <c r="A186" s="19" t="str">
        <f aca="false">IF($K186="","",INDEX(Jobs!$O$5:$O$504,$K186))</f>
        <v/>
      </c>
      <c r="B186" s="22" t="str">
        <f aca="false">IF($K186="","",INDEX(Jobs!$A$5:$A$504,$K186))</f>
        <v/>
      </c>
      <c r="C186" s="19" t="str">
        <f aca="false">IF($K186="","",INDEX(Jobs!$B$5:$B$504,$K186))</f>
        <v/>
      </c>
      <c r="D186" s="19" t="str">
        <f aca="false">IF($K186="","",INDEX(Jobs!$J$5:$J$504,$K186))</f>
        <v/>
      </c>
      <c r="E186" s="15" t="str">
        <f aca="false">IF($K186="","",INDEX(Jobs!$N$5:$N$504,$K186))</f>
        <v/>
      </c>
      <c r="F186" s="15" t="str">
        <f aca="false">IF($A186="","",SUMIFS($P$5:$P$1004,$N$5:$N$1004,$A186))</f>
        <v/>
      </c>
      <c r="G186" s="15" t="str">
        <f aca="false">IF($A186="","",$E186-$F186)</f>
        <v/>
      </c>
      <c r="H186" s="22" t="str">
        <f aca="false">IF($A186="","",$B186+Settings!$B$11)</f>
        <v/>
      </c>
      <c r="I186" s="19" t="str">
        <f aca="true">IF($A186="","",IF($G186&lt;=0,"Paid",IF(TODAY()&gt;$H186,"Overdue",IF($F186&gt;0,"Partial","Unpaid"))))</f>
        <v/>
      </c>
      <c r="J186" s="14" t="str">
        <f aca="true">IF($A186="","",IF(AND($G186&gt;0,TODAY()&gt;$H186),TODAY()-$H186,""))</f>
        <v/>
      </c>
      <c r="K186" s="2" t="str">
        <f aca="false">IFERROR(MATCH(ROWS($K$5:$K186),Jobs!$Q$5:$Q$504,0),"")</f>
        <v/>
      </c>
      <c r="M186" s="16"/>
      <c r="N186" s="12"/>
      <c r="O186" s="12"/>
      <c r="P186" s="13"/>
      <c r="Q186" s="19" t="str">
        <f aca="false">IF($N186="","",IFERROR(INDEX($C$5:$C$504,MATCH($N186,$A$5:$A$504,0)),"Invoice not found"))</f>
        <v/>
      </c>
    </row>
    <row r="187" customFormat="false" ht="15" hidden="false" customHeight="false" outlineLevel="0" collapsed="false">
      <c r="A187" s="19" t="str">
        <f aca="false">IF($K187="","",INDEX(Jobs!$O$5:$O$504,$K187))</f>
        <v/>
      </c>
      <c r="B187" s="22" t="str">
        <f aca="false">IF($K187="","",INDEX(Jobs!$A$5:$A$504,$K187))</f>
        <v/>
      </c>
      <c r="C187" s="19" t="str">
        <f aca="false">IF($K187="","",INDEX(Jobs!$B$5:$B$504,$K187))</f>
        <v/>
      </c>
      <c r="D187" s="19" t="str">
        <f aca="false">IF($K187="","",INDEX(Jobs!$J$5:$J$504,$K187))</f>
        <v/>
      </c>
      <c r="E187" s="15" t="str">
        <f aca="false">IF($K187="","",INDEX(Jobs!$N$5:$N$504,$K187))</f>
        <v/>
      </c>
      <c r="F187" s="15" t="str">
        <f aca="false">IF($A187="","",SUMIFS($P$5:$P$1004,$N$5:$N$1004,$A187))</f>
        <v/>
      </c>
      <c r="G187" s="15" t="str">
        <f aca="false">IF($A187="","",$E187-$F187)</f>
        <v/>
      </c>
      <c r="H187" s="22" t="str">
        <f aca="false">IF($A187="","",$B187+Settings!$B$11)</f>
        <v/>
      </c>
      <c r="I187" s="19" t="str">
        <f aca="true">IF($A187="","",IF($G187&lt;=0,"Paid",IF(TODAY()&gt;$H187,"Overdue",IF($F187&gt;0,"Partial","Unpaid"))))</f>
        <v/>
      </c>
      <c r="J187" s="14" t="str">
        <f aca="true">IF($A187="","",IF(AND($G187&gt;0,TODAY()&gt;$H187),TODAY()-$H187,""))</f>
        <v/>
      </c>
      <c r="K187" s="2" t="str">
        <f aca="false">IFERROR(MATCH(ROWS($K$5:$K187),Jobs!$Q$5:$Q$504,0),"")</f>
        <v/>
      </c>
      <c r="M187" s="16"/>
      <c r="N187" s="12"/>
      <c r="O187" s="12"/>
      <c r="P187" s="13"/>
      <c r="Q187" s="19" t="str">
        <f aca="false">IF($N187="","",IFERROR(INDEX($C$5:$C$504,MATCH($N187,$A$5:$A$504,0)),"Invoice not found"))</f>
        <v/>
      </c>
    </row>
    <row r="188" customFormat="false" ht="15" hidden="false" customHeight="false" outlineLevel="0" collapsed="false">
      <c r="A188" s="19" t="str">
        <f aca="false">IF($K188="","",INDEX(Jobs!$O$5:$O$504,$K188))</f>
        <v/>
      </c>
      <c r="B188" s="22" t="str">
        <f aca="false">IF($K188="","",INDEX(Jobs!$A$5:$A$504,$K188))</f>
        <v/>
      </c>
      <c r="C188" s="19" t="str">
        <f aca="false">IF($K188="","",INDEX(Jobs!$B$5:$B$504,$K188))</f>
        <v/>
      </c>
      <c r="D188" s="19" t="str">
        <f aca="false">IF($K188="","",INDEX(Jobs!$J$5:$J$504,$K188))</f>
        <v/>
      </c>
      <c r="E188" s="15" t="str">
        <f aca="false">IF($K188="","",INDEX(Jobs!$N$5:$N$504,$K188))</f>
        <v/>
      </c>
      <c r="F188" s="15" t="str">
        <f aca="false">IF($A188="","",SUMIFS($P$5:$P$1004,$N$5:$N$1004,$A188))</f>
        <v/>
      </c>
      <c r="G188" s="15" t="str">
        <f aca="false">IF($A188="","",$E188-$F188)</f>
        <v/>
      </c>
      <c r="H188" s="22" t="str">
        <f aca="false">IF($A188="","",$B188+Settings!$B$11)</f>
        <v/>
      </c>
      <c r="I188" s="19" t="str">
        <f aca="true">IF($A188="","",IF($G188&lt;=0,"Paid",IF(TODAY()&gt;$H188,"Overdue",IF($F188&gt;0,"Partial","Unpaid"))))</f>
        <v/>
      </c>
      <c r="J188" s="14" t="str">
        <f aca="true">IF($A188="","",IF(AND($G188&gt;0,TODAY()&gt;$H188),TODAY()-$H188,""))</f>
        <v/>
      </c>
      <c r="K188" s="2" t="str">
        <f aca="false">IFERROR(MATCH(ROWS($K$5:$K188),Jobs!$Q$5:$Q$504,0),"")</f>
        <v/>
      </c>
      <c r="M188" s="16"/>
      <c r="N188" s="12"/>
      <c r="O188" s="12"/>
      <c r="P188" s="13"/>
      <c r="Q188" s="19" t="str">
        <f aca="false">IF($N188="","",IFERROR(INDEX($C$5:$C$504,MATCH($N188,$A$5:$A$504,0)),"Invoice not found"))</f>
        <v/>
      </c>
    </row>
    <row r="189" customFormat="false" ht="15" hidden="false" customHeight="false" outlineLevel="0" collapsed="false">
      <c r="A189" s="19" t="str">
        <f aca="false">IF($K189="","",INDEX(Jobs!$O$5:$O$504,$K189))</f>
        <v/>
      </c>
      <c r="B189" s="22" t="str">
        <f aca="false">IF($K189="","",INDEX(Jobs!$A$5:$A$504,$K189))</f>
        <v/>
      </c>
      <c r="C189" s="19" t="str">
        <f aca="false">IF($K189="","",INDEX(Jobs!$B$5:$B$504,$K189))</f>
        <v/>
      </c>
      <c r="D189" s="19" t="str">
        <f aca="false">IF($K189="","",INDEX(Jobs!$J$5:$J$504,$K189))</f>
        <v/>
      </c>
      <c r="E189" s="15" t="str">
        <f aca="false">IF($K189="","",INDEX(Jobs!$N$5:$N$504,$K189))</f>
        <v/>
      </c>
      <c r="F189" s="15" t="str">
        <f aca="false">IF($A189="","",SUMIFS($P$5:$P$1004,$N$5:$N$1004,$A189))</f>
        <v/>
      </c>
      <c r="G189" s="15" t="str">
        <f aca="false">IF($A189="","",$E189-$F189)</f>
        <v/>
      </c>
      <c r="H189" s="22" t="str">
        <f aca="false">IF($A189="","",$B189+Settings!$B$11)</f>
        <v/>
      </c>
      <c r="I189" s="19" t="str">
        <f aca="true">IF($A189="","",IF($G189&lt;=0,"Paid",IF(TODAY()&gt;$H189,"Overdue",IF($F189&gt;0,"Partial","Unpaid"))))</f>
        <v/>
      </c>
      <c r="J189" s="14" t="str">
        <f aca="true">IF($A189="","",IF(AND($G189&gt;0,TODAY()&gt;$H189),TODAY()-$H189,""))</f>
        <v/>
      </c>
      <c r="K189" s="2" t="str">
        <f aca="false">IFERROR(MATCH(ROWS($K$5:$K189),Jobs!$Q$5:$Q$504,0),"")</f>
        <v/>
      </c>
      <c r="M189" s="16"/>
      <c r="N189" s="12"/>
      <c r="O189" s="12"/>
      <c r="P189" s="13"/>
      <c r="Q189" s="19" t="str">
        <f aca="false">IF($N189="","",IFERROR(INDEX($C$5:$C$504,MATCH($N189,$A$5:$A$504,0)),"Invoice not found"))</f>
        <v/>
      </c>
    </row>
    <row r="190" customFormat="false" ht="15" hidden="false" customHeight="false" outlineLevel="0" collapsed="false">
      <c r="A190" s="19" t="str">
        <f aca="false">IF($K190="","",INDEX(Jobs!$O$5:$O$504,$K190))</f>
        <v/>
      </c>
      <c r="B190" s="22" t="str">
        <f aca="false">IF($K190="","",INDEX(Jobs!$A$5:$A$504,$K190))</f>
        <v/>
      </c>
      <c r="C190" s="19" t="str">
        <f aca="false">IF($K190="","",INDEX(Jobs!$B$5:$B$504,$K190))</f>
        <v/>
      </c>
      <c r="D190" s="19" t="str">
        <f aca="false">IF($K190="","",INDEX(Jobs!$J$5:$J$504,$K190))</f>
        <v/>
      </c>
      <c r="E190" s="15" t="str">
        <f aca="false">IF($K190="","",INDEX(Jobs!$N$5:$N$504,$K190))</f>
        <v/>
      </c>
      <c r="F190" s="15" t="str">
        <f aca="false">IF($A190="","",SUMIFS($P$5:$P$1004,$N$5:$N$1004,$A190))</f>
        <v/>
      </c>
      <c r="G190" s="15" t="str">
        <f aca="false">IF($A190="","",$E190-$F190)</f>
        <v/>
      </c>
      <c r="H190" s="22" t="str">
        <f aca="false">IF($A190="","",$B190+Settings!$B$11)</f>
        <v/>
      </c>
      <c r="I190" s="19" t="str">
        <f aca="true">IF($A190="","",IF($G190&lt;=0,"Paid",IF(TODAY()&gt;$H190,"Overdue",IF($F190&gt;0,"Partial","Unpaid"))))</f>
        <v/>
      </c>
      <c r="J190" s="14" t="str">
        <f aca="true">IF($A190="","",IF(AND($G190&gt;0,TODAY()&gt;$H190),TODAY()-$H190,""))</f>
        <v/>
      </c>
      <c r="K190" s="2" t="str">
        <f aca="false">IFERROR(MATCH(ROWS($K$5:$K190),Jobs!$Q$5:$Q$504,0),"")</f>
        <v/>
      </c>
      <c r="M190" s="16"/>
      <c r="N190" s="12"/>
      <c r="O190" s="12"/>
      <c r="P190" s="13"/>
      <c r="Q190" s="19" t="str">
        <f aca="false">IF($N190="","",IFERROR(INDEX($C$5:$C$504,MATCH($N190,$A$5:$A$504,0)),"Invoice not found"))</f>
        <v/>
      </c>
    </row>
    <row r="191" customFormat="false" ht="15" hidden="false" customHeight="false" outlineLevel="0" collapsed="false">
      <c r="A191" s="19" t="str">
        <f aca="false">IF($K191="","",INDEX(Jobs!$O$5:$O$504,$K191))</f>
        <v/>
      </c>
      <c r="B191" s="22" t="str">
        <f aca="false">IF($K191="","",INDEX(Jobs!$A$5:$A$504,$K191))</f>
        <v/>
      </c>
      <c r="C191" s="19" t="str">
        <f aca="false">IF($K191="","",INDEX(Jobs!$B$5:$B$504,$K191))</f>
        <v/>
      </c>
      <c r="D191" s="19" t="str">
        <f aca="false">IF($K191="","",INDEX(Jobs!$J$5:$J$504,$K191))</f>
        <v/>
      </c>
      <c r="E191" s="15" t="str">
        <f aca="false">IF($K191="","",INDEX(Jobs!$N$5:$N$504,$K191))</f>
        <v/>
      </c>
      <c r="F191" s="15" t="str">
        <f aca="false">IF($A191="","",SUMIFS($P$5:$P$1004,$N$5:$N$1004,$A191))</f>
        <v/>
      </c>
      <c r="G191" s="15" t="str">
        <f aca="false">IF($A191="","",$E191-$F191)</f>
        <v/>
      </c>
      <c r="H191" s="22" t="str">
        <f aca="false">IF($A191="","",$B191+Settings!$B$11)</f>
        <v/>
      </c>
      <c r="I191" s="19" t="str">
        <f aca="true">IF($A191="","",IF($G191&lt;=0,"Paid",IF(TODAY()&gt;$H191,"Overdue",IF($F191&gt;0,"Partial","Unpaid"))))</f>
        <v/>
      </c>
      <c r="J191" s="14" t="str">
        <f aca="true">IF($A191="","",IF(AND($G191&gt;0,TODAY()&gt;$H191),TODAY()-$H191,""))</f>
        <v/>
      </c>
      <c r="K191" s="2" t="str">
        <f aca="false">IFERROR(MATCH(ROWS($K$5:$K191),Jobs!$Q$5:$Q$504,0),"")</f>
        <v/>
      </c>
      <c r="M191" s="16"/>
      <c r="N191" s="12"/>
      <c r="O191" s="12"/>
      <c r="P191" s="13"/>
      <c r="Q191" s="19" t="str">
        <f aca="false">IF($N191="","",IFERROR(INDEX($C$5:$C$504,MATCH($N191,$A$5:$A$504,0)),"Invoice not found"))</f>
        <v/>
      </c>
    </row>
    <row r="192" customFormat="false" ht="15" hidden="false" customHeight="false" outlineLevel="0" collapsed="false">
      <c r="A192" s="19" t="str">
        <f aca="false">IF($K192="","",INDEX(Jobs!$O$5:$O$504,$K192))</f>
        <v/>
      </c>
      <c r="B192" s="22" t="str">
        <f aca="false">IF($K192="","",INDEX(Jobs!$A$5:$A$504,$K192))</f>
        <v/>
      </c>
      <c r="C192" s="19" t="str">
        <f aca="false">IF($K192="","",INDEX(Jobs!$B$5:$B$504,$K192))</f>
        <v/>
      </c>
      <c r="D192" s="19" t="str">
        <f aca="false">IF($K192="","",INDEX(Jobs!$J$5:$J$504,$K192))</f>
        <v/>
      </c>
      <c r="E192" s="15" t="str">
        <f aca="false">IF($K192="","",INDEX(Jobs!$N$5:$N$504,$K192))</f>
        <v/>
      </c>
      <c r="F192" s="15" t="str">
        <f aca="false">IF($A192="","",SUMIFS($P$5:$P$1004,$N$5:$N$1004,$A192))</f>
        <v/>
      </c>
      <c r="G192" s="15" t="str">
        <f aca="false">IF($A192="","",$E192-$F192)</f>
        <v/>
      </c>
      <c r="H192" s="22" t="str">
        <f aca="false">IF($A192="","",$B192+Settings!$B$11)</f>
        <v/>
      </c>
      <c r="I192" s="19" t="str">
        <f aca="true">IF($A192="","",IF($G192&lt;=0,"Paid",IF(TODAY()&gt;$H192,"Overdue",IF($F192&gt;0,"Partial","Unpaid"))))</f>
        <v/>
      </c>
      <c r="J192" s="14" t="str">
        <f aca="true">IF($A192="","",IF(AND($G192&gt;0,TODAY()&gt;$H192),TODAY()-$H192,""))</f>
        <v/>
      </c>
      <c r="K192" s="2" t="str">
        <f aca="false">IFERROR(MATCH(ROWS($K$5:$K192),Jobs!$Q$5:$Q$504,0),"")</f>
        <v/>
      </c>
      <c r="M192" s="16"/>
      <c r="N192" s="12"/>
      <c r="O192" s="12"/>
      <c r="P192" s="13"/>
      <c r="Q192" s="19" t="str">
        <f aca="false">IF($N192="","",IFERROR(INDEX($C$5:$C$504,MATCH($N192,$A$5:$A$504,0)),"Invoice not found"))</f>
        <v/>
      </c>
    </row>
    <row r="193" customFormat="false" ht="15" hidden="false" customHeight="false" outlineLevel="0" collapsed="false">
      <c r="A193" s="19" t="str">
        <f aca="false">IF($K193="","",INDEX(Jobs!$O$5:$O$504,$K193))</f>
        <v/>
      </c>
      <c r="B193" s="22" t="str">
        <f aca="false">IF($K193="","",INDEX(Jobs!$A$5:$A$504,$K193))</f>
        <v/>
      </c>
      <c r="C193" s="19" t="str">
        <f aca="false">IF($K193="","",INDEX(Jobs!$B$5:$B$504,$K193))</f>
        <v/>
      </c>
      <c r="D193" s="19" t="str">
        <f aca="false">IF($K193="","",INDEX(Jobs!$J$5:$J$504,$K193))</f>
        <v/>
      </c>
      <c r="E193" s="15" t="str">
        <f aca="false">IF($K193="","",INDEX(Jobs!$N$5:$N$504,$K193))</f>
        <v/>
      </c>
      <c r="F193" s="15" t="str">
        <f aca="false">IF($A193="","",SUMIFS($P$5:$P$1004,$N$5:$N$1004,$A193))</f>
        <v/>
      </c>
      <c r="G193" s="15" t="str">
        <f aca="false">IF($A193="","",$E193-$F193)</f>
        <v/>
      </c>
      <c r="H193" s="22" t="str">
        <f aca="false">IF($A193="","",$B193+Settings!$B$11)</f>
        <v/>
      </c>
      <c r="I193" s="19" t="str">
        <f aca="true">IF($A193="","",IF($G193&lt;=0,"Paid",IF(TODAY()&gt;$H193,"Overdue",IF($F193&gt;0,"Partial","Unpaid"))))</f>
        <v/>
      </c>
      <c r="J193" s="14" t="str">
        <f aca="true">IF($A193="","",IF(AND($G193&gt;0,TODAY()&gt;$H193),TODAY()-$H193,""))</f>
        <v/>
      </c>
      <c r="K193" s="2" t="str">
        <f aca="false">IFERROR(MATCH(ROWS($K$5:$K193),Jobs!$Q$5:$Q$504,0),"")</f>
        <v/>
      </c>
      <c r="M193" s="16"/>
      <c r="N193" s="12"/>
      <c r="O193" s="12"/>
      <c r="P193" s="13"/>
      <c r="Q193" s="19" t="str">
        <f aca="false">IF($N193="","",IFERROR(INDEX($C$5:$C$504,MATCH($N193,$A$5:$A$504,0)),"Invoice not found"))</f>
        <v/>
      </c>
    </row>
    <row r="194" customFormat="false" ht="15" hidden="false" customHeight="false" outlineLevel="0" collapsed="false">
      <c r="A194" s="19" t="str">
        <f aca="false">IF($K194="","",INDEX(Jobs!$O$5:$O$504,$K194))</f>
        <v/>
      </c>
      <c r="B194" s="22" t="str">
        <f aca="false">IF($K194="","",INDEX(Jobs!$A$5:$A$504,$K194))</f>
        <v/>
      </c>
      <c r="C194" s="19" t="str">
        <f aca="false">IF($K194="","",INDEX(Jobs!$B$5:$B$504,$K194))</f>
        <v/>
      </c>
      <c r="D194" s="19" t="str">
        <f aca="false">IF($K194="","",INDEX(Jobs!$J$5:$J$504,$K194))</f>
        <v/>
      </c>
      <c r="E194" s="15" t="str">
        <f aca="false">IF($K194="","",INDEX(Jobs!$N$5:$N$504,$K194))</f>
        <v/>
      </c>
      <c r="F194" s="15" t="str">
        <f aca="false">IF($A194="","",SUMIFS($P$5:$P$1004,$N$5:$N$1004,$A194))</f>
        <v/>
      </c>
      <c r="G194" s="15" t="str">
        <f aca="false">IF($A194="","",$E194-$F194)</f>
        <v/>
      </c>
      <c r="H194" s="22" t="str">
        <f aca="false">IF($A194="","",$B194+Settings!$B$11)</f>
        <v/>
      </c>
      <c r="I194" s="19" t="str">
        <f aca="true">IF($A194="","",IF($G194&lt;=0,"Paid",IF(TODAY()&gt;$H194,"Overdue",IF($F194&gt;0,"Partial","Unpaid"))))</f>
        <v/>
      </c>
      <c r="J194" s="14" t="str">
        <f aca="true">IF($A194="","",IF(AND($G194&gt;0,TODAY()&gt;$H194),TODAY()-$H194,""))</f>
        <v/>
      </c>
      <c r="K194" s="2" t="str">
        <f aca="false">IFERROR(MATCH(ROWS($K$5:$K194),Jobs!$Q$5:$Q$504,0),"")</f>
        <v/>
      </c>
      <c r="M194" s="16"/>
      <c r="N194" s="12"/>
      <c r="O194" s="12"/>
      <c r="P194" s="13"/>
      <c r="Q194" s="19" t="str">
        <f aca="false">IF($N194="","",IFERROR(INDEX($C$5:$C$504,MATCH($N194,$A$5:$A$504,0)),"Invoice not found"))</f>
        <v/>
      </c>
    </row>
    <row r="195" customFormat="false" ht="15" hidden="false" customHeight="false" outlineLevel="0" collapsed="false">
      <c r="A195" s="19" t="str">
        <f aca="false">IF($K195="","",INDEX(Jobs!$O$5:$O$504,$K195))</f>
        <v/>
      </c>
      <c r="B195" s="22" t="str">
        <f aca="false">IF($K195="","",INDEX(Jobs!$A$5:$A$504,$K195))</f>
        <v/>
      </c>
      <c r="C195" s="19" t="str">
        <f aca="false">IF($K195="","",INDEX(Jobs!$B$5:$B$504,$K195))</f>
        <v/>
      </c>
      <c r="D195" s="19" t="str">
        <f aca="false">IF($K195="","",INDEX(Jobs!$J$5:$J$504,$K195))</f>
        <v/>
      </c>
      <c r="E195" s="15" t="str">
        <f aca="false">IF($K195="","",INDEX(Jobs!$N$5:$N$504,$K195))</f>
        <v/>
      </c>
      <c r="F195" s="15" t="str">
        <f aca="false">IF($A195="","",SUMIFS($P$5:$P$1004,$N$5:$N$1004,$A195))</f>
        <v/>
      </c>
      <c r="G195" s="15" t="str">
        <f aca="false">IF($A195="","",$E195-$F195)</f>
        <v/>
      </c>
      <c r="H195" s="22" t="str">
        <f aca="false">IF($A195="","",$B195+Settings!$B$11)</f>
        <v/>
      </c>
      <c r="I195" s="19" t="str">
        <f aca="true">IF($A195="","",IF($G195&lt;=0,"Paid",IF(TODAY()&gt;$H195,"Overdue",IF($F195&gt;0,"Partial","Unpaid"))))</f>
        <v/>
      </c>
      <c r="J195" s="14" t="str">
        <f aca="true">IF($A195="","",IF(AND($G195&gt;0,TODAY()&gt;$H195),TODAY()-$H195,""))</f>
        <v/>
      </c>
      <c r="K195" s="2" t="str">
        <f aca="false">IFERROR(MATCH(ROWS($K$5:$K195),Jobs!$Q$5:$Q$504,0),"")</f>
        <v/>
      </c>
      <c r="M195" s="16"/>
      <c r="N195" s="12"/>
      <c r="O195" s="12"/>
      <c r="P195" s="13"/>
      <c r="Q195" s="19" t="str">
        <f aca="false">IF($N195="","",IFERROR(INDEX($C$5:$C$504,MATCH($N195,$A$5:$A$504,0)),"Invoice not found"))</f>
        <v/>
      </c>
    </row>
    <row r="196" customFormat="false" ht="15" hidden="false" customHeight="false" outlineLevel="0" collapsed="false">
      <c r="A196" s="19" t="str">
        <f aca="false">IF($K196="","",INDEX(Jobs!$O$5:$O$504,$K196))</f>
        <v/>
      </c>
      <c r="B196" s="22" t="str">
        <f aca="false">IF($K196="","",INDEX(Jobs!$A$5:$A$504,$K196))</f>
        <v/>
      </c>
      <c r="C196" s="19" t="str">
        <f aca="false">IF($K196="","",INDEX(Jobs!$B$5:$B$504,$K196))</f>
        <v/>
      </c>
      <c r="D196" s="19" t="str">
        <f aca="false">IF($K196="","",INDEX(Jobs!$J$5:$J$504,$K196))</f>
        <v/>
      </c>
      <c r="E196" s="15" t="str">
        <f aca="false">IF($K196="","",INDEX(Jobs!$N$5:$N$504,$K196))</f>
        <v/>
      </c>
      <c r="F196" s="15" t="str">
        <f aca="false">IF($A196="","",SUMIFS($P$5:$P$1004,$N$5:$N$1004,$A196))</f>
        <v/>
      </c>
      <c r="G196" s="15" t="str">
        <f aca="false">IF($A196="","",$E196-$F196)</f>
        <v/>
      </c>
      <c r="H196" s="22" t="str">
        <f aca="false">IF($A196="","",$B196+Settings!$B$11)</f>
        <v/>
      </c>
      <c r="I196" s="19" t="str">
        <f aca="true">IF($A196="","",IF($G196&lt;=0,"Paid",IF(TODAY()&gt;$H196,"Overdue",IF($F196&gt;0,"Partial","Unpaid"))))</f>
        <v/>
      </c>
      <c r="J196" s="14" t="str">
        <f aca="true">IF($A196="","",IF(AND($G196&gt;0,TODAY()&gt;$H196),TODAY()-$H196,""))</f>
        <v/>
      </c>
      <c r="K196" s="2" t="str">
        <f aca="false">IFERROR(MATCH(ROWS($K$5:$K196),Jobs!$Q$5:$Q$504,0),"")</f>
        <v/>
      </c>
      <c r="M196" s="16"/>
      <c r="N196" s="12"/>
      <c r="O196" s="12"/>
      <c r="P196" s="13"/>
      <c r="Q196" s="19" t="str">
        <f aca="false">IF($N196="","",IFERROR(INDEX($C$5:$C$504,MATCH($N196,$A$5:$A$504,0)),"Invoice not found"))</f>
        <v/>
      </c>
    </row>
    <row r="197" customFormat="false" ht="15" hidden="false" customHeight="false" outlineLevel="0" collapsed="false">
      <c r="A197" s="19" t="str">
        <f aca="false">IF($K197="","",INDEX(Jobs!$O$5:$O$504,$K197))</f>
        <v/>
      </c>
      <c r="B197" s="22" t="str">
        <f aca="false">IF($K197="","",INDEX(Jobs!$A$5:$A$504,$K197))</f>
        <v/>
      </c>
      <c r="C197" s="19" t="str">
        <f aca="false">IF($K197="","",INDEX(Jobs!$B$5:$B$504,$K197))</f>
        <v/>
      </c>
      <c r="D197" s="19" t="str">
        <f aca="false">IF($K197="","",INDEX(Jobs!$J$5:$J$504,$K197))</f>
        <v/>
      </c>
      <c r="E197" s="15" t="str">
        <f aca="false">IF($K197="","",INDEX(Jobs!$N$5:$N$504,$K197))</f>
        <v/>
      </c>
      <c r="F197" s="15" t="str">
        <f aca="false">IF($A197="","",SUMIFS($P$5:$P$1004,$N$5:$N$1004,$A197))</f>
        <v/>
      </c>
      <c r="G197" s="15" t="str">
        <f aca="false">IF($A197="","",$E197-$F197)</f>
        <v/>
      </c>
      <c r="H197" s="22" t="str">
        <f aca="false">IF($A197="","",$B197+Settings!$B$11)</f>
        <v/>
      </c>
      <c r="I197" s="19" t="str">
        <f aca="true">IF($A197="","",IF($G197&lt;=0,"Paid",IF(TODAY()&gt;$H197,"Overdue",IF($F197&gt;0,"Partial","Unpaid"))))</f>
        <v/>
      </c>
      <c r="J197" s="14" t="str">
        <f aca="true">IF($A197="","",IF(AND($G197&gt;0,TODAY()&gt;$H197),TODAY()-$H197,""))</f>
        <v/>
      </c>
      <c r="K197" s="2" t="str">
        <f aca="false">IFERROR(MATCH(ROWS($K$5:$K197),Jobs!$Q$5:$Q$504,0),"")</f>
        <v/>
      </c>
      <c r="M197" s="16"/>
      <c r="N197" s="12"/>
      <c r="O197" s="12"/>
      <c r="P197" s="13"/>
      <c r="Q197" s="19" t="str">
        <f aca="false">IF($N197="","",IFERROR(INDEX($C$5:$C$504,MATCH($N197,$A$5:$A$504,0)),"Invoice not found"))</f>
        <v/>
      </c>
    </row>
    <row r="198" customFormat="false" ht="15" hidden="false" customHeight="false" outlineLevel="0" collapsed="false">
      <c r="A198" s="19" t="str">
        <f aca="false">IF($K198="","",INDEX(Jobs!$O$5:$O$504,$K198))</f>
        <v/>
      </c>
      <c r="B198" s="22" t="str">
        <f aca="false">IF($K198="","",INDEX(Jobs!$A$5:$A$504,$K198))</f>
        <v/>
      </c>
      <c r="C198" s="19" t="str">
        <f aca="false">IF($K198="","",INDEX(Jobs!$B$5:$B$504,$K198))</f>
        <v/>
      </c>
      <c r="D198" s="19" t="str">
        <f aca="false">IF($K198="","",INDEX(Jobs!$J$5:$J$504,$K198))</f>
        <v/>
      </c>
      <c r="E198" s="15" t="str">
        <f aca="false">IF($K198="","",INDEX(Jobs!$N$5:$N$504,$K198))</f>
        <v/>
      </c>
      <c r="F198" s="15" t="str">
        <f aca="false">IF($A198="","",SUMIFS($P$5:$P$1004,$N$5:$N$1004,$A198))</f>
        <v/>
      </c>
      <c r="G198" s="15" t="str">
        <f aca="false">IF($A198="","",$E198-$F198)</f>
        <v/>
      </c>
      <c r="H198" s="22" t="str">
        <f aca="false">IF($A198="","",$B198+Settings!$B$11)</f>
        <v/>
      </c>
      <c r="I198" s="19" t="str">
        <f aca="true">IF($A198="","",IF($G198&lt;=0,"Paid",IF(TODAY()&gt;$H198,"Overdue",IF($F198&gt;0,"Partial","Unpaid"))))</f>
        <v/>
      </c>
      <c r="J198" s="14" t="str">
        <f aca="true">IF($A198="","",IF(AND($G198&gt;0,TODAY()&gt;$H198),TODAY()-$H198,""))</f>
        <v/>
      </c>
      <c r="K198" s="2" t="str">
        <f aca="false">IFERROR(MATCH(ROWS($K$5:$K198),Jobs!$Q$5:$Q$504,0),"")</f>
        <v/>
      </c>
      <c r="M198" s="16"/>
      <c r="N198" s="12"/>
      <c r="O198" s="12"/>
      <c r="P198" s="13"/>
      <c r="Q198" s="19" t="str">
        <f aca="false">IF($N198="","",IFERROR(INDEX($C$5:$C$504,MATCH($N198,$A$5:$A$504,0)),"Invoice not found"))</f>
        <v/>
      </c>
    </row>
    <row r="199" customFormat="false" ht="15" hidden="false" customHeight="false" outlineLevel="0" collapsed="false">
      <c r="A199" s="19" t="str">
        <f aca="false">IF($K199="","",INDEX(Jobs!$O$5:$O$504,$K199))</f>
        <v/>
      </c>
      <c r="B199" s="22" t="str">
        <f aca="false">IF($K199="","",INDEX(Jobs!$A$5:$A$504,$K199))</f>
        <v/>
      </c>
      <c r="C199" s="19" t="str">
        <f aca="false">IF($K199="","",INDEX(Jobs!$B$5:$B$504,$K199))</f>
        <v/>
      </c>
      <c r="D199" s="19" t="str">
        <f aca="false">IF($K199="","",INDEX(Jobs!$J$5:$J$504,$K199))</f>
        <v/>
      </c>
      <c r="E199" s="15" t="str">
        <f aca="false">IF($K199="","",INDEX(Jobs!$N$5:$N$504,$K199))</f>
        <v/>
      </c>
      <c r="F199" s="15" t="str">
        <f aca="false">IF($A199="","",SUMIFS($P$5:$P$1004,$N$5:$N$1004,$A199))</f>
        <v/>
      </c>
      <c r="G199" s="15" t="str">
        <f aca="false">IF($A199="","",$E199-$F199)</f>
        <v/>
      </c>
      <c r="H199" s="22" t="str">
        <f aca="false">IF($A199="","",$B199+Settings!$B$11)</f>
        <v/>
      </c>
      <c r="I199" s="19" t="str">
        <f aca="true">IF($A199="","",IF($G199&lt;=0,"Paid",IF(TODAY()&gt;$H199,"Overdue",IF($F199&gt;0,"Partial","Unpaid"))))</f>
        <v/>
      </c>
      <c r="J199" s="14" t="str">
        <f aca="true">IF($A199="","",IF(AND($G199&gt;0,TODAY()&gt;$H199),TODAY()-$H199,""))</f>
        <v/>
      </c>
      <c r="K199" s="2" t="str">
        <f aca="false">IFERROR(MATCH(ROWS($K$5:$K199),Jobs!$Q$5:$Q$504,0),"")</f>
        <v/>
      </c>
      <c r="M199" s="16"/>
      <c r="N199" s="12"/>
      <c r="O199" s="12"/>
      <c r="P199" s="13"/>
      <c r="Q199" s="19" t="str">
        <f aca="false">IF($N199="","",IFERROR(INDEX($C$5:$C$504,MATCH($N199,$A$5:$A$504,0)),"Invoice not found"))</f>
        <v/>
      </c>
    </row>
    <row r="200" customFormat="false" ht="15" hidden="false" customHeight="false" outlineLevel="0" collapsed="false">
      <c r="A200" s="19" t="str">
        <f aca="false">IF($K200="","",INDEX(Jobs!$O$5:$O$504,$K200))</f>
        <v/>
      </c>
      <c r="B200" s="22" t="str">
        <f aca="false">IF($K200="","",INDEX(Jobs!$A$5:$A$504,$K200))</f>
        <v/>
      </c>
      <c r="C200" s="19" t="str">
        <f aca="false">IF($K200="","",INDEX(Jobs!$B$5:$B$504,$K200))</f>
        <v/>
      </c>
      <c r="D200" s="19" t="str">
        <f aca="false">IF($K200="","",INDEX(Jobs!$J$5:$J$504,$K200))</f>
        <v/>
      </c>
      <c r="E200" s="15" t="str">
        <f aca="false">IF($K200="","",INDEX(Jobs!$N$5:$N$504,$K200))</f>
        <v/>
      </c>
      <c r="F200" s="15" t="str">
        <f aca="false">IF($A200="","",SUMIFS($P$5:$P$1004,$N$5:$N$1004,$A200))</f>
        <v/>
      </c>
      <c r="G200" s="15" t="str">
        <f aca="false">IF($A200="","",$E200-$F200)</f>
        <v/>
      </c>
      <c r="H200" s="22" t="str">
        <f aca="false">IF($A200="","",$B200+Settings!$B$11)</f>
        <v/>
      </c>
      <c r="I200" s="19" t="str">
        <f aca="true">IF($A200="","",IF($G200&lt;=0,"Paid",IF(TODAY()&gt;$H200,"Overdue",IF($F200&gt;0,"Partial","Unpaid"))))</f>
        <v/>
      </c>
      <c r="J200" s="14" t="str">
        <f aca="true">IF($A200="","",IF(AND($G200&gt;0,TODAY()&gt;$H200),TODAY()-$H200,""))</f>
        <v/>
      </c>
      <c r="K200" s="2" t="str">
        <f aca="false">IFERROR(MATCH(ROWS($K$5:$K200),Jobs!$Q$5:$Q$504,0),"")</f>
        <v/>
      </c>
      <c r="M200" s="16"/>
      <c r="N200" s="12"/>
      <c r="O200" s="12"/>
      <c r="P200" s="13"/>
      <c r="Q200" s="19" t="str">
        <f aca="false">IF($N200="","",IFERROR(INDEX($C$5:$C$504,MATCH($N200,$A$5:$A$504,0)),"Invoice not found"))</f>
        <v/>
      </c>
    </row>
    <row r="201" customFormat="false" ht="15" hidden="false" customHeight="false" outlineLevel="0" collapsed="false">
      <c r="A201" s="19" t="str">
        <f aca="false">IF($K201="","",INDEX(Jobs!$O$5:$O$504,$K201))</f>
        <v/>
      </c>
      <c r="B201" s="22" t="str">
        <f aca="false">IF($K201="","",INDEX(Jobs!$A$5:$A$504,$K201))</f>
        <v/>
      </c>
      <c r="C201" s="19" t="str">
        <f aca="false">IF($K201="","",INDEX(Jobs!$B$5:$B$504,$K201))</f>
        <v/>
      </c>
      <c r="D201" s="19" t="str">
        <f aca="false">IF($K201="","",INDEX(Jobs!$J$5:$J$504,$K201))</f>
        <v/>
      </c>
      <c r="E201" s="15" t="str">
        <f aca="false">IF($K201="","",INDEX(Jobs!$N$5:$N$504,$K201))</f>
        <v/>
      </c>
      <c r="F201" s="15" t="str">
        <f aca="false">IF($A201="","",SUMIFS($P$5:$P$1004,$N$5:$N$1004,$A201))</f>
        <v/>
      </c>
      <c r="G201" s="15" t="str">
        <f aca="false">IF($A201="","",$E201-$F201)</f>
        <v/>
      </c>
      <c r="H201" s="22" t="str">
        <f aca="false">IF($A201="","",$B201+Settings!$B$11)</f>
        <v/>
      </c>
      <c r="I201" s="19" t="str">
        <f aca="true">IF($A201="","",IF($G201&lt;=0,"Paid",IF(TODAY()&gt;$H201,"Overdue",IF($F201&gt;0,"Partial","Unpaid"))))</f>
        <v/>
      </c>
      <c r="J201" s="14" t="str">
        <f aca="true">IF($A201="","",IF(AND($G201&gt;0,TODAY()&gt;$H201),TODAY()-$H201,""))</f>
        <v/>
      </c>
      <c r="K201" s="2" t="str">
        <f aca="false">IFERROR(MATCH(ROWS($K$5:$K201),Jobs!$Q$5:$Q$504,0),"")</f>
        <v/>
      </c>
      <c r="M201" s="16"/>
      <c r="N201" s="12"/>
      <c r="O201" s="12"/>
      <c r="P201" s="13"/>
      <c r="Q201" s="19" t="str">
        <f aca="false">IF($N201="","",IFERROR(INDEX($C$5:$C$504,MATCH($N201,$A$5:$A$504,0)),"Invoice not found"))</f>
        <v/>
      </c>
    </row>
    <row r="202" customFormat="false" ht="15" hidden="false" customHeight="false" outlineLevel="0" collapsed="false">
      <c r="A202" s="19" t="str">
        <f aca="false">IF($K202="","",INDEX(Jobs!$O$5:$O$504,$K202))</f>
        <v/>
      </c>
      <c r="B202" s="22" t="str">
        <f aca="false">IF($K202="","",INDEX(Jobs!$A$5:$A$504,$K202))</f>
        <v/>
      </c>
      <c r="C202" s="19" t="str">
        <f aca="false">IF($K202="","",INDEX(Jobs!$B$5:$B$504,$K202))</f>
        <v/>
      </c>
      <c r="D202" s="19" t="str">
        <f aca="false">IF($K202="","",INDEX(Jobs!$J$5:$J$504,$K202))</f>
        <v/>
      </c>
      <c r="E202" s="15" t="str">
        <f aca="false">IF($K202="","",INDEX(Jobs!$N$5:$N$504,$K202))</f>
        <v/>
      </c>
      <c r="F202" s="15" t="str">
        <f aca="false">IF($A202="","",SUMIFS($P$5:$P$1004,$N$5:$N$1004,$A202))</f>
        <v/>
      </c>
      <c r="G202" s="15" t="str">
        <f aca="false">IF($A202="","",$E202-$F202)</f>
        <v/>
      </c>
      <c r="H202" s="22" t="str">
        <f aca="false">IF($A202="","",$B202+Settings!$B$11)</f>
        <v/>
      </c>
      <c r="I202" s="19" t="str">
        <f aca="true">IF($A202="","",IF($G202&lt;=0,"Paid",IF(TODAY()&gt;$H202,"Overdue",IF($F202&gt;0,"Partial","Unpaid"))))</f>
        <v/>
      </c>
      <c r="J202" s="14" t="str">
        <f aca="true">IF($A202="","",IF(AND($G202&gt;0,TODAY()&gt;$H202),TODAY()-$H202,""))</f>
        <v/>
      </c>
      <c r="K202" s="2" t="str">
        <f aca="false">IFERROR(MATCH(ROWS($K$5:$K202),Jobs!$Q$5:$Q$504,0),"")</f>
        <v/>
      </c>
      <c r="M202" s="16"/>
      <c r="N202" s="12"/>
      <c r="O202" s="12"/>
      <c r="P202" s="13"/>
      <c r="Q202" s="19" t="str">
        <f aca="false">IF($N202="","",IFERROR(INDEX($C$5:$C$504,MATCH($N202,$A$5:$A$504,0)),"Invoice not found"))</f>
        <v/>
      </c>
    </row>
    <row r="203" customFormat="false" ht="15" hidden="false" customHeight="false" outlineLevel="0" collapsed="false">
      <c r="A203" s="19" t="str">
        <f aca="false">IF($K203="","",INDEX(Jobs!$O$5:$O$504,$K203))</f>
        <v/>
      </c>
      <c r="B203" s="22" t="str">
        <f aca="false">IF($K203="","",INDEX(Jobs!$A$5:$A$504,$K203))</f>
        <v/>
      </c>
      <c r="C203" s="19" t="str">
        <f aca="false">IF($K203="","",INDEX(Jobs!$B$5:$B$504,$K203))</f>
        <v/>
      </c>
      <c r="D203" s="19" t="str">
        <f aca="false">IF($K203="","",INDEX(Jobs!$J$5:$J$504,$K203))</f>
        <v/>
      </c>
      <c r="E203" s="15" t="str">
        <f aca="false">IF($K203="","",INDEX(Jobs!$N$5:$N$504,$K203))</f>
        <v/>
      </c>
      <c r="F203" s="15" t="str">
        <f aca="false">IF($A203="","",SUMIFS($P$5:$P$1004,$N$5:$N$1004,$A203))</f>
        <v/>
      </c>
      <c r="G203" s="15" t="str">
        <f aca="false">IF($A203="","",$E203-$F203)</f>
        <v/>
      </c>
      <c r="H203" s="22" t="str">
        <f aca="false">IF($A203="","",$B203+Settings!$B$11)</f>
        <v/>
      </c>
      <c r="I203" s="19" t="str">
        <f aca="true">IF($A203="","",IF($G203&lt;=0,"Paid",IF(TODAY()&gt;$H203,"Overdue",IF($F203&gt;0,"Partial","Unpaid"))))</f>
        <v/>
      </c>
      <c r="J203" s="14" t="str">
        <f aca="true">IF($A203="","",IF(AND($G203&gt;0,TODAY()&gt;$H203),TODAY()-$H203,""))</f>
        <v/>
      </c>
      <c r="K203" s="2" t="str">
        <f aca="false">IFERROR(MATCH(ROWS($K$5:$K203),Jobs!$Q$5:$Q$504,0),"")</f>
        <v/>
      </c>
      <c r="M203" s="16"/>
      <c r="N203" s="12"/>
      <c r="O203" s="12"/>
      <c r="P203" s="13"/>
      <c r="Q203" s="19" t="str">
        <f aca="false">IF($N203="","",IFERROR(INDEX($C$5:$C$504,MATCH($N203,$A$5:$A$504,0)),"Invoice not found"))</f>
        <v/>
      </c>
    </row>
    <row r="204" customFormat="false" ht="15" hidden="false" customHeight="false" outlineLevel="0" collapsed="false">
      <c r="A204" s="19" t="str">
        <f aca="false">IF($K204="","",INDEX(Jobs!$O$5:$O$504,$K204))</f>
        <v/>
      </c>
      <c r="B204" s="22" t="str">
        <f aca="false">IF($K204="","",INDEX(Jobs!$A$5:$A$504,$K204))</f>
        <v/>
      </c>
      <c r="C204" s="19" t="str">
        <f aca="false">IF($K204="","",INDEX(Jobs!$B$5:$B$504,$K204))</f>
        <v/>
      </c>
      <c r="D204" s="19" t="str">
        <f aca="false">IF($K204="","",INDEX(Jobs!$J$5:$J$504,$K204))</f>
        <v/>
      </c>
      <c r="E204" s="15" t="str">
        <f aca="false">IF($K204="","",INDEX(Jobs!$N$5:$N$504,$K204))</f>
        <v/>
      </c>
      <c r="F204" s="15" t="str">
        <f aca="false">IF($A204="","",SUMIFS($P$5:$P$1004,$N$5:$N$1004,$A204))</f>
        <v/>
      </c>
      <c r="G204" s="15" t="str">
        <f aca="false">IF($A204="","",$E204-$F204)</f>
        <v/>
      </c>
      <c r="H204" s="22" t="str">
        <f aca="false">IF($A204="","",$B204+Settings!$B$11)</f>
        <v/>
      </c>
      <c r="I204" s="19" t="str">
        <f aca="true">IF($A204="","",IF($G204&lt;=0,"Paid",IF(TODAY()&gt;$H204,"Overdue",IF($F204&gt;0,"Partial","Unpaid"))))</f>
        <v/>
      </c>
      <c r="J204" s="14" t="str">
        <f aca="true">IF($A204="","",IF(AND($G204&gt;0,TODAY()&gt;$H204),TODAY()-$H204,""))</f>
        <v/>
      </c>
      <c r="K204" s="2" t="str">
        <f aca="false">IFERROR(MATCH(ROWS($K$5:$K204),Jobs!$Q$5:$Q$504,0),"")</f>
        <v/>
      </c>
      <c r="M204" s="16"/>
      <c r="N204" s="12"/>
      <c r="O204" s="12"/>
      <c r="P204" s="13"/>
      <c r="Q204" s="19" t="str">
        <f aca="false">IF($N204="","",IFERROR(INDEX($C$5:$C$504,MATCH($N204,$A$5:$A$504,0)),"Invoice not found"))</f>
        <v/>
      </c>
    </row>
    <row r="205" customFormat="false" ht="15" hidden="false" customHeight="false" outlineLevel="0" collapsed="false">
      <c r="A205" s="19" t="str">
        <f aca="false">IF($K205="","",INDEX(Jobs!$O$5:$O$504,$K205))</f>
        <v/>
      </c>
      <c r="B205" s="22" t="str">
        <f aca="false">IF($K205="","",INDEX(Jobs!$A$5:$A$504,$K205))</f>
        <v/>
      </c>
      <c r="C205" s="19" t="str">
        <f aca="false">IF($K205="","",INDEX(Jobs!$B$5:$B$504,$K205))</f>
        <v/>
      </c>
      <c r="D205" s="19" t="str">
        <f aca="false">IF($K205="","",INDEX(Jobs!$J$5:$J$504,$K205))</f>
        <v/>
      </c>
      <c r="E205" s="15" t="str">
        <f aca="false">IF($K205="","",INDEX(Jobs!$N$5:$N$504,$K205))</f>
        <v/>
      </c>
      <c r="F205" s="15" t="str">
        <f aca="false">IF($A205="","",SUMIFS($P$5:$P$1004,$N$5:$N$1004,$A205))</f>
        <v/>
      </c>
      <c r="G205" s="15" t="str">
        <f aca="false">IF($A205="","",$E205-$F205)</f>
        <v/>
      </c>
      <c r="H205" s="22" t="str">
        <f aca="false">IF($A205="","",$B205+Settings!$B$11)</f>
        <v/>
      </c>
      <c r="I205" s="19" t="str">
        <f aca="true">IF($A205="","",IF($G205&lt;=0,"Paid",IF(TODAY()&gt;$H205,"Overdue",IF($F205&gt;0,"Partial","Unpaid"))))</f>
        <v/>
      </c>
      <c r="J205" s="14" t="str">
        <f aca="true">IF($A205="","",IF(AND($G205&gt;0,TODAY()&gt;$H205),TODAY()-$H205,""))</f>
        <v/>
      </c>
      <c r="K205" s="2" t="str">
        <f aca="false">IFERROR(MATCH(ROWS($K$5:$K205),Jobs!$Q$5:$Q$504,0),"")</f>
        <v/>
      </c>
      <c r="M205" s="16"/>
      <c r="N205" s="12"/>
      <c r="O205" s="12"/>
      <c r="P205" s="13"/>
      <c r="Q205" s="19" t="str">
        <f aca="false">IF($N205="","",IFERROR(INDEX($C$5:$C$504,MATCH($N205,$A$5:$A$504,0)),"Invoice not found"))</f>
        <v/>
      </c>
    </row>
    <row r="206" customFormat="false" ht="15" hidden="false" customHeight="false" outlineLevel="0" collapsed="false">
      <c r="A206" s="19" t="str">
        <f aca="false">IF($K206="","",INDEX(Jobs!$O$5:$O$504,$K206))</f>
        <v/>
      </c>
      <c r="B206" s="22" t="str">
        <f aca="false">IF($K206="","",INDEX(Jobs!$A$5:$A$504,$K206))</f>
        <v/>
      </c>
      <c r="C206" s="19" t="str">
        <f aca="false">IF($K206="","",INDEX(Jobs!$B$5:$B$504,$K206))</f>
        <v/>
      </c>
      <c r="D206" s="19" t="str">
        <f aca="false">IF($K206="","",INDEX(Jobs!$J$5:$J$504,$K206))</f>
        <v/>
      </c>
      <c r="E206" s="15" t="str">
        <f aca="false">IF($K206="","",INDEX(Jobs!$N$5:$N$504,$K206))</f>
        <v/>
      </c>
      <c r="F206" s="15" t="str">
        <f aca="false">IF($A206="","",SUMIFS($P$5:$P$1004,$N$5:$N$1004,$A206))</f>
        <v/>
      </c>
      <c r="G206" s="15" t="str">
        <f aca="false">IF($A206="","",$E206-$F206)</f>
        <v/>
      </c>
      <c r="H206" s="22" t="str">
        <f aca="false">IF($A206="","",$B206+Settings!$B$11)</f>
        <v/>
      </c>
      <c r="I206" s="19" t="str">
        <f aca="true">IF($A206="","",IF($G206&lt;=0,"Paid",IF(TODAY()&gt;$H206,"Overdue",IF($F206&gt;0,"Partial","Unpaid"))))</f>
        <v/>
      </c>
      <c r="J206" s="14" t="str">
        <f aca="true">IF($A206="","",IF(AND($G206&gt;0,TODAY()&gt;$H206),TODAY()-$H206,""))</f>
        <v/>
      </c>
      <c r="K206" s="2" t="str">
        <f aca="false">IFERROR(MATCH(ROWS($K$5:$K206),Jobs!$Q$5:$Q$504,0),"")</f>
        <v/>
      </c>
      <c r="M206" s="16"/>
      <c r="N206" s="12"/>
      <c r="O206" s="12"/>
      <c r="P206" s="13"/>
      <c r="Q206" s="19" t="str">
        <f aca="false">IF($N206="","",IFERROR(INDEX($C$5:$C$504,MATCH($N206,$A$5:$A$504,0)),"Invoice not found"))</f>
        <v/>
      </c>
    </row>
    <row r="207" customFormat="false" ht="15" hidden="false" customHeight="false" outlineLevel="0" collapsed="false">
      <c r="A207" s="19" t="str">
        <f aca="false">IF($K207="","",INDEX(Jobs!$O$5:$O$504,$K207))</f>
        <v/>
      </c>
      <c r="B207" s="22" t="str">
        <f aca="false">IF($K207="","",INDEX(Jobs!$A$5:$A$504,$K207))</f>
        <v/>
      </c>
      <c r="C207" s="19" t="str">
        <f aca="false">IF($K207="","",INDEX(Jobs!$B$5:$B$504,$K207))</f>
        <v/>
      </c>
      <c r="D207" s="19" t="str">
        <f aca="false">IF($K207="","",INDEX(Jobs!$J$5:$J$504,$K207))</f>
        <v/>
      </c>
      <c r="E207" s="15" t="str">
        <f aca="false">IF($K207="","",INDEX(Jobs!$N$5:$N$504,$K207))</f>
        <v/>
      </c>
      <c r="F207" s="15" t="str">
        <f aca="false">IF($A207="","",SUMIFS($P$5:$P$1004,$N$5:$N$1004,$A207))</f>
        <v/>
      </c>
      <c r="G207" s="15" t="str">
        <f aca="false">IF($A207="","",$E207-$F207)</f>
        <v/>
      </c>
      <c r="H207" s="22" t="str">
        <f aca="false">IF($A207="","",$B207+Settings!$B$11)</f>
        <v/>
      </c>
      <c r="I207" s="19" t="str">
        <f aca="true">IF($A207="","",IF($G207&lt;=0,"Paid",IF(TODAY()&gt;$H207,"Overdue",IF($F207&gt;0,"Partial","Unpaid"))))</f>
        <v/>
      </c>
      <c r="J207" s="14" t="str">
        <f aca="true">IF($A207="","",IF(AND($G207&gt;0,TODAY()&gt;$H207),TODAY()-$H207,""))</f>
        <v/>
      </c>
      <c r="K207" s="2" t="str">
        <f aca="false">IFERROR(MATCH(ROWS($K$5:$K207),Jobs!$Q$5:$Q$504,0),"")</f>
        <v/>
      </c>
      <c r="M207" s="16"/>
      <c r="N207" s="12"/>
      <c r="O207" s="12"/>
      <c r="P207" s="13"/>
      <c r="Q207" s="19" t="str">
        <f aca="false">IF($N207="","",IFERROR(INDEX($C$5:$C$504,MATCH($N207,$A$5:$A$504,0)),"Invoice not found"))</f>
        <v/>
      </c>
    </row>
    <row r="208" customFormat="false" ht="15" hidden="false" customHeight="false" outlineLevel="0" collapsed="false">
      <c r="A208" s="19" t="str">
        <f aca="false">IF($K208="","",INDEX(Jobs!$O$5:$O$504,$K208))</f>
        <v/>
      </c>
      <c r="B208" s="22" t="str">
        <f aca="false">IF($K208="","",INDEX(Jobs!$A$5:$A$504,$K208))</f>
        <v/>
      </c>
      <c r="C208" s="19" t="str">
        <f aca="false">IF($K208="","",INDEX(Jobs!$B$5:$B$504,$K208))</f>
        <v/>
      </c>
      <c r="D208" s="19" t="str">
        <f aca="false">IF($K208="","",INDEX(Jobs!$J$5:$J$504,$K208))</f>
        <v/>
      </c>
      <c r="E208" s="15" t="str">
        <f aca="false">IF($K208="","",INDEX(Jobs!$N$5:$N$504,$K208))</f>
        <v/>
      </c>
      <c r="F208" s="15" t="str">
        <f aca="false">IF($A208="","",SUMIFS($P$5:$P$1004,$N$5:$N$1004,$A208))</f>
        <v/>
      </c>
      <c r="G208" s="15" t="str">
        <f aca="false">IF($A208="","",$E208-$F208)</f>
        <v/>
      </c>
      <c r="H208" s="22" t="str">
        <f aca="false">IF($A208="","",$B208+Settings!$B$11)</f>
        <v/>
      </c>
      <c r="I208" s="19" t="str">
        <f aca="true">IF($A208="","",IF($G208&lt;=0,"Paid",IF(TODAY()&gt;$H208,"Overdue",IF($F208&gt;0,"Partial","Unpaid"))))</f>
        <v/>
      </c>
      <c r="J208" s="14" t="str">
        <f aca="true">IF($A208="","",IF(AND($G208&gt;0,TODAY()&gt;$H208),TODAY()-$H208,""))</f>
        <v/>
      </c>
      <c r="K208" s="2" t="str">
        <f aca="false">IFERROR(MATCH(ROWS($K$5:$K208),Jobs!$Q$5:$Q$504,0),"")</f>
        <v/>
      </c>
      <c r="M208" s="16"/>
      <c r="N208" s="12"/>
      <c r="O208" s="12"/>
      <c r="P208" s="13"/>
      <c r="Q208" s="19" t="str">
        <f aca="false">IF($N208="","",IFERROR(INDEX($C$5:$C$504,MATCH($N208,$A$5:$A$504,0)),"Invoice not found"))</f>
        <v/>
      </c>
    </row>
    <row r="209" customFormat="false" ht="15" hidden="false" customHeight="false" outlineLevel="0" collapsed="false">
      <c r="A209" s="19" t="str">
        <f aca="false">IF($K209="","",INDEX(Jobs!$O$5:$O$504,$K209))</f>
        <v/>
      </c>
      <c r="B209" s="22" t="str">
        <f aca="false">IF($K209="","",INDEX(Jobs!$A$5:$A$504,$K209))</f>
        <v/>
      </c>
      <c r="C209" s="19" t="str">
        <f aca="false">IF($K209="","",INDEX(Jobs!$B$5:$B$504,$K209))</f>
        <v/>
      </c>
      <c r="D209" s="19" t="str">
        <f aca="false">IF($K209="","",INDEX(Jobs!$J$5:$J$504,$K209))</f>
        <v/>
      </c>
      <c r="E209" s="15" t="str">
        <f aca="false">IF($K209="","",INDEX(Jobs!$N$5:$N$504,$K209))</f>
        <v/>
      </c>
      <c r="F209" s="15" t="str">
        <f aca="false">IF($A209="","",SUMIFS($P$5:$P$1004,$N$5:$N$1004,$A209))</f>
        <v/>
      </c>
      <c r="G209" s="15" t="str">
        <f aca="false">IF($A209="","",$E209-$F209)</f>
        <v/>
      </c>
      <c r="H209" s="22" t="str">
        <f aca="false">IF($A209="","",$B209+Settings!$B$11)</f>
        <v/>
      </c>
      <c r="I209" s="19" t="str">
        <f aca="true">IF($A209="","",IF($G209&lt;=0,"Paid",IF(TODAY()&gt;$H209,"Overdue",IF($F209&gt;0,"Partial","Unpaid"))))</f>
        <v/>
      </c>
      <c r="J209" s="14" t="str">
        <f aca="true">IF($A209="","",IF(AND($G209&gt;0,TODAY()&gt;$H209),TODAY()-$H209,""))</f>
        <v/>
      </c>
      <c r="K209" s="2" t="str">
        <f aca="false">IFERROR(MATCH(ROWS($K$5:$K209),Jobs!$Q$5:$Q$504,0),"")</f>
        <v/>
      </c>
      <c r="M209" s="16"/>
      <c r="N209" s="12"/>
      <c r="O209" s="12"/>
      <c r="P209" s="13"/>
      <c r="Q209" s="19" t="str">
        <f aca="false">IF($N209="","",IFERROR(INDEX($C$5:$C$504,MATCH($N209,$A$5:$A$504,0)),"Invoice not found"))</f>
        <v/>
      </c>
    </row>
    <row r="210" customFormat="false" ht="15" hidden="false" customHeight="false" outlineLevel="0" collapsed="false">
      <c r="A210" s="19" t="str">
        <f aca="false">IF($K210="","",INDEX(Jobs!$O$5:$O$504,$K210))</f>
        <v/>
      </c>
      <c r="B210" s="22" t="str">
        <f aca="false">IF($K210="","",INDEX(Jobs!$A$5:$A$504,$K210))</f>
        <v/>
      </c>
      <c r="C210" s="19" t="str">
        <f aca="false">IF($K210="","",INDEX(Jobs!$B$5:$B$504,$K210))</f>
        <v/>
      </c>
      <c r="D210" s="19" t="str">
        <f aca="false">IF($K210="","",INDEX(Jobs!$J$5:$J$504,$K210))</f>
        <v/>
      </c>
      <c r="E210" s="15" t="str">
        <f aca="false">IF($K210="","",INDEX(Jobs!$N$5:$N$504,$K210))</f>
        <v/>
      </c>
      <c r="F210" s="15" t="str">
        <f aca="false">IF($A210="","",SUMIFS($P$5:$P$1004,$N$5:$N$1004,$A210))</f>
        <v/>
      </c>
      <c r="G210" s="15" t="str">
        <f aca="false">IF($A210="","",$E210-$F210)</f>
        <v/>
      </c>
      <c r="H210" s="22" t="str">
        <f aca="false">IF($A210="","",$B210+Settings!$B$11)</f>
        <v/>
      </c>
      <c r="I210" s="19" t="str">
        <f aca="true">IF($A210="","",IF($G210&lt;=0,"Paid",IF(TODAY()&gt;$H210,"Overdue",IF($F210&gt;0,"Partial","Unpaid"))))</f>
        <v/>
      </c>
      <c r="J210" s="14" t="str">
        <f aca="true">IF($A210="","",IF(AND($G210&gt;0,TODAY()&gt;$H210),TODAY()-$H210,""))</f>
        <v/>
      </c>
      <c r="K210" s="2" t="str">
        <f aca="false">IFERROR(MATCH(ROWS($K$5:$K210),Jobs!$Q$5:$Q$504,0),"")</f>
        <v/>
      </c>
      <c r="M210" s="16"/>
      <c r="N210" s="12"/>
      <c r="O210" s="12"/>
      <c r="P210" s="13"/>
      <c r="Q210" s="19" t="str">
        <f aca="false">IF($N210="","",IFERROR(INDEX($C$5:$C$504,MATCH($N210,$A$5:$A$504,0)),"Invoice not found"))</f>
        <v/>
      </c>
    </row>
    <row r="211" customFormat="false" ht="15" hidden="false" customHeight="false" outlineLevel="0" collapsed="false">
      <c r="A211" s="19" t="str">
        <f aca="false">IF($K211="","",INDEX(Jobs!$O$5:$O$504,$K211))</f>
        <v/>
      </c>
      <c r="B211" s="22" t="str">
        <f aca="false">IF($K211="","",INDEX(Jobs!$A$5:$A$504,$K211))</f>
        <v/>
      </c>
      <c r="C211" s="19" t="str">
        <f aca="false">IF($K211="","",INDEX(Jobs!$B$5:$B$504,$K211))</f>
        <v/>
      </c>
      <c r="D211" s="19" t="str">
        <f aca="false">IF($K211="","",INDEX(Jobs!$J$5:$J$504,$K211))</f>
        <v/>
      </c>
      <c r="E211" s="15" t="str">
        <f aca="false">IF($K211="","",INDEX(Jobs!$N$5:$N$504,$K211))</f>
        <v/>
      </c>
      <c r="F211" s="15" t="str">
        <f aca="false">IF($A211="","",SUMIFS($P$5:$P$1004,$N$5:$N$1004,$A211))</f>
        <v/>
      </c>
      <c r="G211" s="15" t="str">
        <f aca="false">IF($A211="","",$E211-$F211)</f>
        <v/>
      </c>
      <c r="H211" s="22" t="str">
        <f aca="false">IF($A211="","",$B211+Settings!$B$11)</f>
        <v/>
      </c>
      <c r="I211" s="19" t="str">
        <f aca="true">IF($A211="","",IF($G211&lt;=0,"Paid",IF(TODAY()&gt;$H211,"Overdue",IF($F211&gt;0,"Partial","Unpaid"))))</f>
        <v/>
      </c>
      <c r="J211" s="14" t="str">
        <f aca="true">IF($A211="","",IF(AND($G211&gt;0,TODAY()&gt;$H211),TODAY()-$H211,""))</f>
        <v/>
      </c>
      <c r="K211" s="2" t="str">
        <f aca="false">IFERROR(MATCH(ROWS($K$5:$K211),Jobs!$Q$5:$Q$504,0),"")</f>
        <v/>
      </c>
      <c r="M211" s="16"/>
      <c r="N211" s="12"/>
      <c r="O211" s="12"/>
      <c r="P211" s="13"/>
      <c r="Q211" s="19" t="str">
        <f aca="false">IF($N211="","",IFERROR(INDEX($C$5:$C$504,MATCH($N211,$A$5:$A$504,0)),"Invoice not found"))</f>
        <v/>
      </c>
    </row>
    <row r="212" customFormat="false" ht="15" hidden="false" customHeight="false" outlineLevel="0" collapsed="false">
      <c r="A212" s="19" t="str">
        <f aca="false">IF($K212="","",INDEX(Jobs!$O$5:$O$504,$K212))</f>
        <v/>
      </c>
      <c r="B212" s="22" t="str">
        <f aca="false">IF($K212="","",INDEX(Jobs!$A$5:$A$504,$K212))</f>
        <v/>
      </c>
      <c r="C212" s="19" t="str">
        <f aca="false">IF($K212="","",INDEX(Jobs!$B$5:$B$504,$K212))</f>
        <v/>
      </c>
      <c r="D212" s="19" t="str">
        <f aca="false">IF($K212="","",INDEX(Jobs!$J$5:$J$504,$K212))</f>
        <v/>
      </c>
      <c r="E212" s="15" t="str">
        <f aca="false">IF($K212="","",INDEX(Jobs!$N$5:$N$504,$K212))</f>
        <v/>
      </c>
      <c r="F212" s="15" t="str">
        <f aca="false">IF($A212="","",SUMIFS($P$5:$P$1004,$N$5:$N$1004,$A212))</f>
        <v/>
      </c>
      <c r="G212" s="15" t="str">
        <f aca="false">IF($A212="","",$E212-$F212)</f>
        <v/>
      </c>
      <c r="H212" s="22" t="str">
        <f aca="false">IF($A212="","",$B212+Settings!$B$11)</f>
        <v/>
      </c>
      <c r="I212" s="19" t="str">
        <f aca="true">IF($A212="","",IF($G212&lt;=0,"Paid",IF(TODAY()&gt;$H212,"Overdue",IF($F212&gt;0,"Partial","Unpaid"))))</f>
        <v/>
      </c>
      <c r="J212" s="14" t="str">
        <f aca="true">IF($A212="","",IF(AND($G212&gt;0,TODAY()&gt;$H212),TODAY()-$H212,""))</f>
        <v/>
      </c>
      <c r="K212" s="2" t="str">
        <f aca="false">IFERROR(MATCH(ROWS($K$5:$K212),Jobs!$Q$5:$Q$504,0),"")</f>
        <v/>
      </c>
      <c r="M212" s="16"/>
      <c r="N212" s="12"/>
      <c r="O212" s="12"/>
      <c r="P212" s="13"/>
      <c r="Q212" s="19" t="str">
        <f aca="false">IF($N212="","",IFERROR(INDEX($C$5:$C$504,MATCH($N212,$A$5:$A$504,0)),"Invoice not found"))</f>
        <v/>
      </c>
    </row>
    <row r="213" customFormat="false" ht="15" hidden="false" customHeight="false" outlineLevel="0" collapsed="false">
      <c r="A213" s="19" t="str">
        <f aca="false">IF($K213="","",INDEX(Jobs!$O$5:$O$504,$K213))</f>
        <v/>
      </c>
      <c r="B213" s="22" t="str">
        <f aca="false">IF($K213="","",INDEX(Jobs!$A$5:$A$504,$K213))</f>
        <v/>
      </c>
      <c r="C213" s="19" t="str">
        <f aca="false">IF($K213="","",INDEX(Jobs!$B$5:$B$504,$K213))</f>
        <v/>
      </c>
      <c r="D213" s="19" t="str">
        <f aca="false">IF($K213="","",INDEX(Jobs!$J$5:$J$504,$K213))</f>
        <v/>
      </c>
      <c r="E213" s="15" t="str">
        <f aca="false">IF($K213="","",INDEX(Jobs!$N$5:$N$504,$K213))</f>
        <v/>
      </c>
      <c r="F213" s="15" t="str">
        <f aca="false">IF($A213="","",SUMIFS($P$5:$P$1004,$N$5:$N$1004,$A213))</f>
        <v/>
      </c>
      <c r="G213" s="15" t="str">
        <f aca="false">IF($A213="","",$E213-$F213)</f>
        <v/>
      </c>
      <c r="H213" s="22" t="str">
        <f aca="false">IF($A213="","",$B213+Settings!$B$11)</f>
        <v/>
      </c>
      <c r="I213" s="19" t="str">
        <f aca="true">IF($A213="","",IF($G213&lt;=0,"Paid",IF(TODAY()&gt;$H213,"Overdue",IF($F213&gt;0,"Partial","Unpaid"))))</f>
        <v/>
      </c>
      <c r="J213" s="14" t="str">
        <f aca="true">IF($A213="","",IF(AND($G213&gt;0,TODAY()&gt;$H213),TODAY()-$H213,""))</f>
        <v/>
      </c>
      <c r="K213" s="2" t="str">
        <f aca="false">IFERROR(MATCH(ROWS($K$5:$K213),Jobs!$Q$5:$Q$504,0),"")</f>
        <v/>
      </c>
      <c r="M213" s="16"/>
      <c r="N213" s="12"/>
      <c r="O213" s="12"/>
      <c r="P213" s="13"/>
      <c r="Q213" s="19" t="str">
        <f aca="false">IF($N213="","",IFERROR(INDEX($C$5:$C$504,MATCH($N213,$A$5:$A$504,0)),"Invoice not found"))</f>
        <v/>
      </c>
    </row>
    <row r="214" customFormat="false" ht="15" hidden="false" customHeight="false" outlineLevel="0" collapsed="false">
      <c r="A214" s="19" t="str">
        <f aca="false">IF($K214="","",INDEX(Jobs!$O$5:$O$504,$K214))</f>
        <v/>
      </c>
      <c r="B214" s="22" t="str">
        <f aca="false">IF($K214="","",INDEX(Jobs!$A$5:$A$504,$K214))</f>
        <v/>
      </c>
      <c r="C214" s="19" t="str">
        <f aca="false">IF($K214="","",INDEX(Jobs!$B$5:$B$504,$K214))</f>
        <v/>
      </c>
      <c r="D214" s="19" t="str">
        <f aca="false">IF($K214="","",INDEX(Jobs!$J$5:$J$504,$K214))</f>
        <v/>
      </c>
      <c r="E214" s="15" t="str">
        <f aca="false">IF($K214="","",INDEX(Jobs!$N$5:$N$504,$K214))</f>
        <v/>
      </c>
      <c r="F214" s="15" t="str">
        <f aca="false">IF($A214="","",SUMIFS($P$5:$P$1004,$N$5:$N$1004,$A214))</f>
        <v/>
      </c>
      <c r="G214" s="15" t="str">
        <f aca="false">IF($A214="","",$E214-$F214)</f>
        <v/>
      </c>
      <c r="H214" s="22" t="str">
        <f aca="false">IF($A214="","",$B214+Settings!$B$11)</f>
        <v/>
      </c>
      <c r="I214" s="19" t="str">
        <f aca="true">IF($A214="","",IF($G214&lt;=0,"Paid",IF(TODAY()&gt;$H214,"Overdue",IF($F214&gt;0,"Partial","Unpaid"))))</f>
        <v/>
      </c>
      <c r="J214" s="14" t="str">
        <f aca="true">IF($A214="","",IF(AND($G214&gt;0,TODAY()&gt;$H214),TODAY()-$H214,""))</f>
        <v/>
      </c>
      <c r="K214" s="2" t="str">
        <f aca="false">IFERROR(MATCH(ROWS($K$5:$K214),Jobs!$Q$5:$Q$504,0),"")</f>
        <v/>
      </c>
      <c r="M214" s="16"/>
      <c r="N214" s="12"/>
      <c r="O214" s="12"/>
      <c r="P214" s="13"/>
      <c r="Q214" s="19" t="str">
        <f aca="false">IF($N214="","",IFERROR(INDEX($C$5:$C$504,MATCH($N214,$A$5:$A$504,0)),"Invoice not found"))</f>
        <v/>
      </c>
    </row>
    <row r="215" customFormat="false" ht="15" hidden="false" customHeight="false" outlineLevel="0" collapsed="false">
      <c r="A215" s="19" t="str">
        <f aca="false">IF($K215="","",INDEX(Jobs!$O$5:$O$504,$K215))</f>
        <v/>
      </c>
      <c r="B215" s="22" t="str">
        <f aca="false">IF($K215="","",INDEX(Jobs!$A$5:$A$504,$K215))</f>
        <v/>
      </c>
      <c r="C215" s="19" t="str">
        <f aca="false">IF($K215="","",INDEX(Jobs!$B$5:$B$504,$K215))</f>
        <v/>
      </c>
      <c r="D215" s="19" t="str">
        <f aca="false">IF($K215="","",INDEX(Jobs!$J$5:$J$504,$K215))</f>
        <v/>
      </c>
      <c r="E215" s="15" t="str">
        <f aca="false">IF($K215="","",INDEX(Jobs!$N$5:$N$504,$K215))</f>
        <v/>
      </c>
      <c r="F215" s="15" t="str">
        <f aca="false">IF($A215="","",SUMIFS($P$5:$P$1004,$N$5:$N$1004,$A215))</f>
        <v/>
      </c>
      <c r="G215" s="15" t="str">
        <f aca="false">IF($A215="","",$E215-$F215)</f>
        <v/>
      </c>
      <c r="H215" s="22" t="str">
        <f aca="false">IF($A215="","",$B215+Settings!$B$11)</f>
        <v/>
      </c>
      <c r="I215" s="19" t="str">
        <f aca="true">IF($A215="","",IF($G215&lt;=0,"Paid",IF(TODAY()&gt;$H215,"Overdue",IF($F215&gt;0,"Partial","Unpaid"))))</f>
        <v/>
      </c>
      <c r="J215" s="14" t="str">
        <f aca="true">IF($A215="","",IF(AND($G215&gt;0,TODAY()&gt;$H215),TODAY()-$H215,""))</f>
        <v/>
      </c>
      <c r="K215" s="2" t="str">
        <f aca="false">IFERROR(MATCH(ROWS($K$5:$K215),Jobs!$Q$5:$Q$504,0),"")</f>
        <v/>
      </c>
      <c r="M215" s="16"/>
      <c r="N215" s="12"/>
      <c r="O215" s="12"/>
      <c r="P215" s="13"/>
      <c r="Q215" s="19" t="str">
        <f aca="false">IF($N215="","",IFERROR(INDEX($C$5:$C$504,MATCH($N215,$A$5:$A$504,0)),"Invoice not found"))</f>
        <v/>
      </c>
    </row>
    <row r="216" customFormat="false" ht="15" hidden="false" customHeight="false" outlineLevel="0" collapsed="false">
      <c r="A216" s="19" t="str">
        <f aca="false">IF($K216="","",INDEX(Jobs!$O$5:$O$504,$K216))</f>
        <v/>
      </c>
      <c r="B216" s="22" t="str">
        <f aca="false">IF($K216="","",INDEX(Jobs!$A$5:$A$504,$K216))</f>
        <v/>
      </c>
      <c r="C216" s="19" t="str">
        <f aca="false">IF($K216="","",INDEX(Jobs!$B$5:$B$504,$K216))</f>
        <v/>
      </c>
      <c r="D216" s="19" t="str">
        <f aca="false">IF($K216="","",INDEX(Jobs!$J$5:$J$504,$K216))</f>
        <v/>
      </c>
      <c r="E216" s="15" t="str">
        <f aca="false">IF($K216="","",INDEX(Jobs!$N$5:$N$504,$K216))</f>
        <v/>
      </c>
      <c r="F216" s="15" t="str">
        <f aca="false">IF($A216="","",SUMIFS($P$5:$P$1004,$N$5:$N$1004,$A216))</f>
        <v/>
      </c>
      <c r="G216" s="15" t="str">
        <f aca="false">IF($A216="","",$E216-$F216)</f>
        <v/>
      </c>
      <c r="H216" s="22" t="str">
        <f aca="false">IF($A216="","",$B216+Settings!$B$11)</f>
        <v/>
      </c>
      <c r="I216" s="19" t="str">
        <f aca="true">IF($A216="","",IF($G216&lt;=0,"Paid",IF(TODAY()&gt;$H216,"Overdue",IF($F216&gt;0,"Partial","Unpaid"))))</f>
        <v/>
      </c>
      <c r="J216" s="14" t="str">
        <f aca="true">IF($A216="","",IF(AND($G216&gt;0,TODAY()&gt;$H216),TODAY()-$H216,""))</f>
        <v/>
      </c>
      <c r="K216" s="2" t="str">
        <f aca="false">IFERROR(MATCH(ROWS($K$5:$K216),Jobs!$Q$5:$Q$504,0),"")</f>
        <v/>
      </c>
      <c r="M216" s="16"/>
      <c r="N216" s="12"/>
      <c r="O216" s="12"/>
      <c r="P216" s="13"/>
      <c r="Q216" s="19" t="str">
        <f aca="false">IF($N216="","",IFERROR(INDEX($C$5:$C$504,MATCH($N216,$A$5:$A$504,0)),"Invoice not found"))</f>
        <v/>
      </c>
    </row>
    <row r="217" customFormat="false" ht="15" hidden="false" customHeight="false" outlineLevel="0" collapsed="false">
      <c r="A217" s="19" t="str">
        <f aca="false">IF($K217="","",INDEX(Jobs!$O$5:$O$504,$K217))</f>
        <v/>
      </c>
      <c r="B217" s="22" t="str">
        <f aca="false">IF($K217="","",INDEX(Jobs!$A$5:$A$504,$K217))</f>
        <v/>
      </c>
      <c r="C217" s="19" t="str">
        <f aca="false">IF($K217="","",INDEX(Jobs!$B$5:$B$504,$K217))</f>
        <v/>
      </c>
      <c r="D217" s="19" t="str">
        <f aca="false">IF($K217="","",INDEX(Jobs!$J$5:$J$504,$K217))</f>
        <v/>
      </c>
      <c r="E217" s="15" t="str">
        <f aca="false">IF($K217="","",INDEX(Jobs!$N$5:$N$504,$K217))</f>
        <v/>
      </c>
      <c r="F217" s="15" t="str">
        <f aca="false">IF($A217="","",SUMIFS($P$5:$P$1004,$N$5:$N$1004,$A217))</f>
        <v/>
      </c>
      <c r="G217" s="15" t="str">
        <f aca="false">IF($A217="","",$E217-$F217)</f>
        <v/>
      </c>
      <c r="H217" s="22" t="str">
        <f aca="false">IF($A217="","",$B217+Settings!$B$11)</f>
        <v/>
      </c>
      <c r="I217" s="19" t="str">
        <f aca="true">IF($A217="","",IF($G217&lt;=0,"Paid",IF(TODAY()&gt;$H217,"Overdue",IF($F217&gt;0,"Partial","Unpaid"))))</f>
        <v/>
      </c>
      <c r="J217" s="14" t="str">
        <f aca="true">IF($A217="","",IF(AND($G217&gt;0,TODAY()&gt;$H217),TODAY()-$H217,""))</f>
        <v/>
      </c>
      <c r="K217" s="2" t="str">
        <f aca="false">IFERROR(MATCH(ROWS($K$5:$K217),Jobs!$Q$5:$Q$504,0),"")</f>
        <v/>
      </c>
      <c r="M217" s="16"/>
      <c r="N217" s="12"/>
      <c r="O217" s="12"/>
      <c r="P217" s="13"/>
      <c r="Q217" s="19" t="str">
        <f aca="false">IF($N217="","",IFERROR(INDEX($C$5:$C$504,MATCH($N217,$A$5:$A$504,0)),"Invoice not found"))</f>
        <v/>
      </c>
    </row>
    <row r="218" customFormat="false" ht="15" hidden="false" customHeight="false" outlineLevel="0" collapsed="false">
      <c r="A218" s="19" t="str">
        <f aca="false">IF($K218="","",INDEX(Jobs!$O$5:$O$504,$K218))</f>
        <v/>
      </c>
      <c r="B218" s="22" t="str">
        <f aca="false">IF($K218="","",INDEX(Jobs!$A$5:$A$504,$K218))</f>
        <v/>
      </c>
      <c r="C218" s="19" t="str">
        <f aca="false">IF($K218="","",INDEX(Jobs!$B$5:$B$504,$K218))</f>
        <v/>
      </c>
      <c r="D218" s="19" t="str">
        <f aca="false">IF($K218="","",INDEX(Jobs!$J$5:$J$504,$K218))</f>
        <v/>
      </c>
      <c r="E218" s="15" t="str">
        <f aca="false">IF($K218="","",INDEX(Jobs!$N$5:$N$504,$K218))</f>
        <v/>
      </c>
      <c r="F218" s="15" t="str">
        <f aca="false">IF($A218="","",SUMIFS($P$5:$P$1004,$N$5:$N$1004,$A218))</f>
        <v/>
      </c>
      <c r="G218" s="15" t="str">
        <f aca="false">IF($A218="","",$E218-$F218)</f>
        <v/>
      </c>
      <c r="H218" s="22" t="str">
        <f aca="false">IF($A218="","",$B218+Settings!$B$11)</f>
        <v/>
      </c>
      <c r="I218" s="19" t="str">
        <f aca="true">IF($A218="","",IF($G218&lt;=0,"Paid",IF(TODAY()&gt;$H218,"Overdue",IF($F218&gt;0,"Partial","Unpaid"))))</f>
        <v/>
      </c>
      <c r="J218" s="14" t="str">
        <f aca="true">IF($A218="","",IF(AND($G218&gt;0,TODAY()&gt;$H218),TODAY()-$H218,""))</f>
        <v/>
      </c>
      <c r="K218" s="2" t="str">
        <f aca="false">IFERROR(MATCH(ROWS($K$5:$K218),Jobs!$Q$5:$Q$504,0),"")</f>
        <v/>
      </c>
      <c r="M218" s="16"/>
      <c r="N218" s="12"/>
      <c r="O218" s="12"/>
      <c r="P218" s="13"/>
      <c r="Q218" s="19" t="str">
        <f aca="false">IF($N218="","",IFERROR(INDEX($C$5:$C$504,MATCH($N218,$A$5:$A$504,0)),"Invoice not found"))</f>
        <v/>
      </c>
    </row>
    <row r="219" customFormat="false" ht="15" hidden="false" customHeight="false" outlineLevel="0" collapsed="false">
      <c r="A219" s="19" t="str">
        <f aca="false">IF($K219="","",INDEX(Jobs!$O$5:$O$504,$K219))</f>
        <v/>
      </c>
      <c r="B219" s="22" t="str">
        <f aca="false">IF($K219="","",INDEX(Jobs!$A$5:$A$504,$K219))</f>
        <v/>
      </c>
      <c r="C219" s="19" t="str">
        <f aca="false">IF($K219="","",INDEX(Jobs!$B$5:$B$504,$K219))</f>
        <v/>
      </c>
      <c r="D219" s="19" t="str">
        <f aca="false">IF($K219="","",INDEX(Jobs!$J$5:$J$504,$K219))</f>
        <v/>
      </c>
      <c r="E219" s="15" t="str">
        <f aca="false">IF($K219="","",INDEX(Jobs!$N$5:$N$504,$K219))</f>
        <v/>
      </c>
      <c r="F219" s="15" t="str">
        <f aca="false">IF($A219="","",SUMIFS($P$5:$P$1004,$N$5:$N$1004,$A219))</f>
        <v/>
      </c>
      <c r="G219" s="15" t="str">
        <f aca="false">IF($A219="","",$E219-$F219)</f>
        <v/>
      </c>
      <c r="H219" s="22" t="str">
        <f aca="false">IF($A219="","",$B219+Settings!$B$11)</f>
        <v/>
      </c>
      <c r="I219" s="19" t="str">
        <f aca="true">IF($A219="","",IF($G219&lt;=0,"Paid",IF(TODAY()&gt;$H219,"Overdue",IF($F219&gt;0,"Partial","Unpaid"))))</f>
        <v/>
      </c>
      <c r="J219" s="14" t="str">
        <f aca="true">IF($A219="","",IF(AND($G219&gt;0,TODAY()&gt;$H219),TODAY()-$H219,""))</f>
        <v/>
      </c>
      <c r="K219" s="2" t="str">
        <f aca="false">IFERROR(MATCH(ROWS($K$5:$K219),Jobs!$Q$5:$Q$504,0),"")</f>
        <v/>
      </c>
      <c r="M219" s="16"/>
      <c r="N219" s="12"/>
      <c r="O219" s="12"/>
      <c r="P219" s="13"/>
      <c r="Q219" s="19" t="str">
        <f aca="false">IF($N219="","",IFERROR(INDEX($C$5:$C$504,MATCH($N219,$A$5:$A$504,0)),"Invoice not found"))</f>
        <v/>
      </c>
    </row>
    <row r="220" customFormat="false" ht="15" hidden="false" customHeight="false" outlineLevel="0" collapsed="false">
      <c r="A220" s="19" t="str">
        <f aca="false">IF($K220="","",INDEX(Jobs!$O$5:$O$504,$K220))</f>
        <v/>
      </c>
      <c r="B220" s="22" t="str">
        <f aca="false">IF($K220="","",INDEX(Jobs!$A$5:$A$504,$K220))</f>
        <v/>
      </c>
      <c r="C220" s="19" t="str">
        <f aca="false">IF($K220="","",INDEX(Jobs!$B$5:$B$504,$K220))</f>
        <v/>
      </c>
      <c r="D220" s="19" t="str">
        <f aca="false">IF($K220="","",INDEX(Jobs!$J$5:$J$504,$K220))</f>
        <v/>
      </c>
      <c r="E220" s="15" t="str">
        <f aca="false">IF($K220="","",INDEX(Jobs!$N$5:$N$504,$K220))</f>
        <v/>
      </c>
      <c r="F220" s="15" t="str">
        <f aca="false">IF($A220="","",SUMIFS($P$5:$P$1004,$N$5:$N$1004,$A220))</f>
        <v/>
      </c>
      <c r="G220" s="15" t="str">
        <f aca="false">IF($A220="","",$E220-$F220)</f>
        <v/>
      </c>
      <c r="H220" s="22" t="str">
        <f aca="false">IF($A220="","",$B220+Settings!$B$11)</f>
        <v/>
      </c>
      <c r="I220" s="19" t="str">
        <f aca="true">IF($A220="","",IF($G220&lt;=0,"Paid",IF(TODAY()&gt;$H220,"Overdue",IF($F220&gt;0,"Partial","Unpaid"))))</f>
        <v/>
      </c>
      <c r="J220" s="14" t="str">
        <f aca="true">IF($A220="","",IF(AND($G220&gt;0,TODAY()&gt;$H220),TODAY()-$H220,""))</f>
        <v/>
      </c>
      <c r="K220" s="2" t="str">
        <f aca="false">IFERROR(MATCH(ROWS($K$5:$K220),Jobs!$Q$5:$Q$504,0),"")</f>
        <v/>
      </c>
      <c r="M220" s="16"/>
      <c r="N220" s="12"/>
      <c r="O220" s="12"/>
      <c r="P220" s="13"/>
      <c r="Q220" s="19" t="str">
        <f aca="false">IF($N220="","",IFERROR(INDEX($C$5:$C$504,MATCH($N220,$A$5:$A$504,0)),"Invoice not found"))</f>
        <v/>
      </c>
    </row>
    <row r="221" customFormat="false" ht="15" hidden="false" customHeight="false" outlineLevel="0" collapsed="false">
      <c r="A221" s="19" t="str">
        <f aca="false">IF($K221="","",INDEX(Jobs!$O$5:$O$504,$K221))</f>
        <v/>
      </c>
      <c r="B221" s="22" t="str">
        <f aca="false">IF($K221="","",INDEX(Jobs!$A$5:$A$504,$K221))</f>
        <v/>
      </c>
      <c r="C221" s="19" t="str">
        <f aca="false">IF($K221="","",INDEX(Jobs!$B$5:$B$504,$K221))</f>
        <v/>
      </c>
      <c r="D221" s="19" t="str">
        <f aca="false">IF($K221="","",INDEX(Jobs!$J$5:$J$504,$K221))</f>
        <v/>
      </c>
      <c r="E221" s="15" t="str">
        <f aca="false">IF($K221="","",INDEX(Jobs!$N$5:$N$504,$K221))</f>
        <v/>
      </c>
      <c r="F221" s="15" t="str">
        <f aca="false">IF($A221="","",SUMIFS($P$5:$P$1004,$N$5:$N$1004,$A221))</f>
        <v/>
      </c>
      <c r="G221" s="15" t="str">
        <f aca="false">IF($A221="","",$E221-$F221)</f>
        <v/>
      </c>
      <c r="H221" s="22" t="str">
        <f aca="false">IF($A221="","",$B221+Settings!$B$11)</f>
        <v/>
      </c>
      <c r="I221" s="19" t="str">
        <f aca="true">IF($A221="","",IF($G221&lt;=0,"Paid",IF(TODAY()&gt;$H221,"Overdue",IF($F221&gt;0,"Partial","Unpaid"))))</f>
        <v/>
      </c>
      <c r="J221" s="14" t="str">
        <f aca="true">IF($A221="","",IF(AND($G221&gt;0,TODAY()&gt;$H221),TODAY()-$H221,""))</f>
        <v/>
      </c>
      <c r="K221" s="2" t="str">
        <f aca="false">IFERROR(MATCH(ROWS($K$5:$K221),Jobs!$Q$5:$Q$504,0),"")</f>
        <v/>
      </c>
      <c r="M221" s="16"/>
      <c r="N221" s="12"/>
      <c r="O221" s="12"/>
      <c r="P221" s="13"/>
      <c r="Q221" s="19" t="str">
        <f aca="false">IF($N221="","",IFERROR(INDEX($C$5:$C$504,MATCH($N221,$A$5:$A$504,0)),"Invoice not found"))</f>
        <v/>
      </c>
    </row>
    <row r="222" customFormat="false" ht="15" hidden="false" customHeight="false" outlineLevel="0" collapsed="false">
      <c r="A222" s="19" t="str">
        <f aca="false">IF($K222="","",INDEX(Jobs!$O$5:$O$504,$K222))</f>
        <v/>
      </c>
      <c r="B222" s="22" t="str">
        <f aca="false">IF($K222="","",INDEX(Jobs!$A$5:$A$504,$K222))</f>
        <v/>
      </c>
      <c r="C222" s="19" t="str">
        <f aca="false">IF($K222="","",INDEX(Jobs!$B$5:$B$504,$K222))</f>
        <v/>
      </c>
      <c r="D222" s="19" t="str">
        <f aca="false">IF($K222="","",INDEX(Jobs!$J$5:$J$504,$K222))</f>
        <v/>
      </c>
      <c r="E222" s="15" t="str">
        <f aca="false">IF($K222="","",INDEX(Jobs!$N$5:$N$504,$K222))</f>
        <v/>
      </c>
      <c r="F222" s="15" t="str">
        <f aca="false">IF($A222="","",SUMIFS($P$5:$P$1004,$N$5:$N$1004,$A222))</f>
        <v/>
      </c>
      <c r="G222" s="15" t="str">
        <f aca="false">IF($A222="","",$E222-$F222)</f>
        <v/>
      </c>
      <c r="H222" s="22" t="str">
        <f aca="false">IF($A222="","",$B222+Settings!$B$11)</f>
        <v/>
      </c>
      <c r="I222" s="19" t="str">
        <f aca="true">IF($A222="","",IF($G222&lt;=0,"Paid",IF(TODAY()&gt;$H222,"Overdue",IF($F222&gt;0,"Partial","Unpaid"))))</f>
        <v/>
      </c>
      <c r="J222" s="14" t="str">
        <f aca="true">IF($A222="","",IF(AND($G222&gt;0,TODAY()&gt;$H222),TODAY()-$H222,""))</f>
        <v/>
      </c>
      <c r="K222" s="2" t="str">
        <f aca="false">IFERROR(MATCH(ROWS($K$5:$K222),Jobs!$Q$5:$Q$504,0),"")</f>
        <v/>
      </c>
      <c r="M222" s="16"/>
      <c r="N222" s="12"/>
      <c r="O222" s="12"/>
      <c r="P222" s="13"/>
      <c r="Q222" s="19" t="str">
        <f aca="false">IF($N222="","",IFERROR(INDEX($C$5:$C$504,MATCH($N222,$A$5:$A$504,0)),"Invoice not found"))</f>
        <v/>
      </c>
    </row>
    <row r="223" customFormat="false" ht="15" hidden="false" customHeight="false" outlineLevel="0" collapsed="false">
      <c r="A223" s="19" t="str">
        <f aca="false">IF($K223="","",INDEX(Jobs!$O$5:$O$504,$K223))</f>
        <v/>
      </c>
      <c r="B223" s="22" t="str">
        <f aca="false">IF($K223="","",INDEX(Jobs!$A$5:$A$504,$K223))</f>
        <v/>
      </c>
      <c r="C223" s="19" t="str">
        <f aca="false">IF($K223="","",INDEX(Jobs!$B$5:$B$504,$K223))</f>
        <v/>
      </c>
      <c r="D223" s="19" t="str">
        <f aca="false">IF($K223="","",INDEX(Jobs!$J$5:$J$504,$K223))</f>
        <v/>
      </c>
      <c r="E223" s="15" t="str">
        <f aca="false">IF($K223="","",INDEX(Jobs!$N$5:$N$504,$K223))</f>
        <v/>
      </c>
      <c r="F223" s="15" t="str">
        <f aca="false">IF($A223="","",SUMIFS($P$5:$P$1004,$N$5:$N$1004,$A223))</f>
        <v/>
      </c>
      <c r="G223" s="15" t="str">
        <f aca="false">IF($A223="","",$E223-$F223)</f>
        <v/>
      </c>
      <c r="H223" s="22" t="str">
        <f aca="false">IF($A223="","",$B223+Settings!$B$11)</f>
        <v/>
      </c>
      <c r="I223" s="19" t="str">
        <f aca="true">IF($A223="","",IF($G223&lt;=0,"Paid",IF(TODAY()&gt;$H223,"Overdue",IF($F223&gt;0,"Partial","Unpaid"))))</f>
        <v/>
      </c>
      <c r="J223" s="14" t="str">
        <f aca="true">IF($A223="","",IF(AND($G223&gt;0,TODAY()&gt;$H223),TODAY()-$H223,""))</f>
        <v/>
      </c>
      <c r="K223" s="2" t="str">
        <f aca="false">IFERROR(MATCH(ROWS($K$5:$K223),Jobs!$Q$5:$Q$504,0),"")</f>
        <v/>
      </c>
      <c r="M223" s="16"/>
      <c r="N223" s="12"/>
      <c r="O223" s="12"/>
      <c r="P223" s="13"/>
      <c r="Q223" s="19" t="str">
        <f aca="false">IF($N223="","",IFERROR(INDEX($C$5:$C$504,MATCH($N223,$A$5:$A$504,0)),"Invoice not found"))</f>
        <v/>
      </c>
    </row>
    <row r="224" customFormat="false" ht="15" hidden="false" customHeight="false" outlineLevel="0" collapsed="false">
      <c r="A224" s="19" t="str">
        <f aca="false">IF($K224="","",INDEX(Jobs!$O$5:$O$504,$K224))</f>
        <v/>
      </c>
      <c r="B224" s="22" t="str">
        <f aca="false">IF($K224="","",INDEX(Jobs!$A$5:$A$504,$K224))</f>
        <v/>
      </c>
      <c r="C224" s="19" t="str">
        <f aca="false">IF($K224="","",INDEX(Jobs!$B$5:$B$504,$K224))</f>
        <v/>
      </c>
      <c r="D224" s="19" t="str">
        <f aca="false">IF($K224="","",INDEX(Jobs!$J$5:$J$504,$K224))</f>
        <v/>
      </c>
      <c r="E224" s="15" t="str">
        <f aca="false">IF($K224="","",INDEX(Jobs!$N$5:$N$504,$K224))</f>
        <v/>
      </c>
      <c r="F224" s="15" t="str">
        <f aca="false">IF($A224="","",SUMIFS($P$5:$P$1004,$N$5:$N$1004,$A224))</f>
        <v/>
      </c>
      <c r="G224" s="15" t="str">
        <f aca="false">IF($A224="","",$E224-$F224)</f>
        <v/>
      </c>
      <c r="H224" s="22" t="str">
        <f aca="false">IF($A224="","",$B224+Settings!$B$11)</f>
        <v/>
      </c>
      <c r="I224" s="19" t="str">
        <f aca="true">IF($A224="","",IF($G224&lt;=0,"Paid",IF(TODAY()&gt;$H224,"Overdue",IF($F224&gt;0,"Partial","Unpaid"))))</f>
        <v/>
      </c>
      <c r="J224" s="14" t="str">
        <f aca="true">IF($A224="","",IF(AND($G224&gt;0,TODAY()&gt;$H224),TODAY()-$H224,""))</f>
        <v/>
      </c>
      <c r="K224" s="2" t="str">
        <f aca="false">IFERROR(MATCH(ROWS($K$5:$K224),Jobs!$Q$5:$Q$504,0),"")</f>
        <v/>
      </c>
      <c r="M224" s="16"/>
      <c r="N224" s="12"/>
      <c r="O224" s="12"/>
      <c r="P224" s="13"/>
      <c r="Q224" s="19" t="str">
        <f aca="false">IF($N224="","",IFERROR(INDEX($C$5:$C$504,MATCH($N224,$A$5:$A$504,0)),"Invoice not found"))</f>
        <v/>
      </c>
    </row>
    <row r="225" customFormat="false" ht="15" hidden="false" customHeight="false" outlineLevel="0" collapsed="false">
      <c r="A225" s="19" t="str">
        <f aca="false">IF($K225="","",INDEX(Jobs!$O$5:$O$504,$K225))</f>
        <v/>
      </c>
      <c r="B225" s="22" t="str">
        <f aca="false">IF($K225="","",INDEX(Jobs!$A$5:$A$504,$K225))</f>
        <v/>
      </c>
      <c r="C225" s="19" t="str">
        <f aca="false">IF($K225="","",INDEX(Jobs!$B$5:$B$504,$K225))</f>
        <v/>
      </c>
      <c r="D225" s="19" t="str">
        <f aca="false">IF($K225="","",INDEX(Jobs!$J$5:$J$504,$K225))</f>
        <v/>
      </c>
      <c r="E225" s="15" t="str">
        <f aca="false">IF($K225="","",INDEX(Jobs!$N$5:$N$504,$K225))</f>
        <v/>
      </c>
      <c r="F225" s="15" t="str">
        <f aca="false">IF($A225="","",SUMIFS($P$5:$P$1004,$N$5:$N$1004,$A225))</f>
        <v/>
      </c>
      <c r="G225" s="15" t="str">
        <f aca="false">IF($A225="","",$E225-$F225)</f>
        <v/>
      </c>
      <c r="H225" s="22" t="str">
        <f aca="false">IF($A225="","",$B225+Settings!$B$11)</f>
        <v/>
      </c>
      <c r="I225" s="19" t="str">
        <f aca="true">IF($A225="","",IF($G225&lt;=0,"Paid",IF(TODAY()&gt;$H225,"Overdue",IF($F225&gt;0,"Partial","Unpaid"))))</f>
        <v/>
      </c>
      <c r="J225" s="14" t="str">
        <f aca="true">IF($A225="","",IF(AND($G225&gt;0,TODAY()&gt;$H225),TODAY()-$H225,""))</f>
        <v/>
      </c>
      <c r="K225" s="2" t="str">
        <f aca="false">IFERROR(MATCH(ROWS($K$5:$K225),Jobs!$Q$5:$Q$504,0),"")</f>
        <v/>
      </c>
      <c r="M225" s="16"/>
      <c r="N225" s="12"/>
      <c r="O225" s="12"/>
      <c r="P225" s="13"/>
      <c r="Q225" s="19" t="str">
        <f aca="false">IF($N225="","",IFERROR(INDEX($C$5:$C$504,MATCH($N225,$A$5:$A$504,0)),"Invoice not found"))</f>
        <v/>
      </c>
    </row>
    <row r="226" customFormat="false" ht="15" hidden="false" customHeight="false" outlineLevel="0" collapsed="false">
      <c r="A226" s="19" t="str">
        <f aca="false">IF($K226="","",INDEX(Jobs!$O$5:$O$504,$K226))</f>
        <v/>
      </c>
      <c r="B226" s="22" t="str">
        <f aca="false">IF($K226="","",INDEX(Jobs!$A$5:$A$504,$K226))</f>
        <v/>
      </c>
      <c r="C226" s="19" t="str">
        <f aca="false">IF($K226="","",INDEX(Jobs!$B$5:$B$504,$K226))</f>
        <v/>
      </c>
      <c r="D226" s="19" t="str">
        <f aca="false">IF($K226="","",INDEX(Jobs!$J$5:$J$504,$K226))</f>
        <v/>
      </c>
      <c r="E226" s="15" t="str">
        <f aca="false">IF($K226="","",INDEX(Jobs!$N$5:$N$504,$K226))</f>
        <v/>
      </c>
      <c r="F226" s="15" t="str">
        <f aca="false">IF($A226="","",SUMIFS($P$5:$P$1004,$N$5:$N$1004,$A226))</f>
        <v/>
      </c>
      <c r="G226" s="15" t="str">
        <f aca="false">IF($A226="","",$E226-$F226)</f>
        <v/>
      </c>
      <c r="H226" s="22" t="str">
        <f aca="false">IF($A226="","",$B226+Settings!$B$11)</f>
        <v/>
      </c>
      <c r="I226" s="19" t="str">
        <f aca="true">IF($A226="","",IF($G226&lt;=0,"Paid",IF(TODAY()&gt;$H226,"Overdue",IF($F226&gt;0,"Partial","Unpaid"))))</f>
        <v/>
      </c>
      <c r="J226" s="14" t="str">
        <f aca="true">IF($A226="","",IF(AND($G226&gt;0,TODAY()&gt;$H226),TODAY()-$H226,""))</f>
        <v/>
      </c>
      <c r="K226" s="2" t="str">
        <f aca="false">IFERROR(MATCH(ROWS($K$5:$K226),Jobs!$Q$5:$Q$504,0),"")</f>
        <v/>
      </c>
      <c r="M226" s="16"/>
      <c r="N226" s="12"/>
      <c r="O226" s="12"/>
      <c r="P226" s="13"/>
      <c r="Q226" s="19" t="str">
        <f aca="false">IF($N226="","",IFERROR(INDEX($C$5:$C$504,MATCH($N226,$A$5:$A$504,0)),"Invoice not found"))</f>
        <v/>
      </c>
    </row>
    <row r="227" customFormat="false" ht="15" hidden="false" customHeight="false" outlineLevel="0" collapsed="false">
      <c r="A227" s="19" t="str">
        <f aca="false">IF($K227="","",INDEX(Jobs!$O$5:$O$504,$K227))</f>
        <v/>
      </c>
      <c r="B227" s="22" t="str">
        <f aca="false">IF($K227="","",INDEX(Jobs!$A$5:$A$504,$K227))</f>
        <v/>
      </c>
      <c r="C227" s="19" t="str">
        <f aca="false">IF($K227="","",INDEX(Jobs!$B$5:$B$504,$K227))</f>
        <v/>
      </c>
      <c r="D227" s="19" t="str">
        <f aca="false">IF($K227="","",INDEX(Jobs!$J$5:$J$504,$K227))</f>
        <v/>
      </c>
      <c r="E227" s="15" t="str">
        <f aca="false">IF($K227="","",INDEX(Jobs!$N$5:$N$504,$K227))</f>
        <v/>
      </c>
      <c r="F227" s="15" t="str">
        <f aca="false">IF($A227="","",SUMIFS($P$5:$P$1004,$N$5:$N$1004,$A227))</f>
        <v/>
      </c>
      <c r="G227" s="15" t="str">
        <f aca="false">IF($A227="","",$E227-$F227)</f>
        <v/>
      </c>
      <c r="H227" s="22" t="str">
        <f aca="false">IF($A227="","",$B227+Settings!$B$11)</f>
        <v/>
      </c>
      <c r="I227" s="19" t="str">
        <f aca="true">IF($A227="","",IF($G227&lt;=0,"Paid",IF(TODAY()&gt;$H227,"Overdue",IF($F227&gt;0,"Partial","Unpaid"))))</f>
        <v/>
      </c>
      <c r="J227" s="14" t="str">
        <f aca="true">IF($A227="","",IF(AND($G227&gt;0,TODAY()&gt;$H227),TODAY()-$H227,""))</f>
        <v/>
      </c>
      <c r="K227" s="2" t="str">
        <f aca="false">IFERROR(MATCH(ROWS($K$5:$K227),Jobs!$Q$5:$Q$504,0),"")</f>
        <v/>
      </c>
      <c r="M227" s="16"/>
      <c r="N227" s="12"/>
      <c r="O227" s="12"/>
      <c r="P227" s="13"/>
      <c r="Q227" s="19" t="str">
        <f aca="false">IF($N227="","",IFERROR(INDEX($C$5:$C$504,MATCH($N227,$A$5:$A$504,0)),"Invoice not found"))</f>
        <v/>
      </c>
    </row>
    <row r="228" customFormat="false" ht="15" hidden="false" customHeight="false" outlineLevel="0" collapsed="false">
      <c r="A228" s="19" t="str">
        <f aca="false">IF($K228="","",INDEX(Jobs!$O$5:$O$504,$K228))</f>
        <v/>
      </c>
      <c r="B228" s="22" t="str">
        <f aca="false">IF($K228="","",INDEX(Jobs!$A$5:$A$504,$K228))</f>
        <v/>
      </c>
      <c r="C228" s="19" t="str">
        <f aca="false">IF($K228="","",INDEX(Jobs!$B$5:$B$504,$K228))</f>
        <v/>
      </c>
      <c r="D228" s="19" t="str">
        <f aca="false">IF($K228="","",INDEX(Jobs!$J$5:$J$504,$K228))</f>
        <v/>
      </c>
      <c r="E228" s="15" t="str">
        <f aca="false">IF($K228="","",INDEX(Jobs!$N$5:$N$504,$K228))</f>
        <v/>
      </c>
      <c r="F228" s="15" t="str">
        <f aca="false">IF($A228="","",SUMIFS($P$5:$P$1004,$N$5:$N$1004,$A228))</f>
        <v/>
      </c>
      <c r="G228" s="15" t="str">
        <f aca="false">IF($A228="","",$E228-$F228)</f>
        <v/>
      </c>
      <c r="H228" s="22" t="str">
        <f aca="false">IF($A228="","",$B228+Settings!$B$11)</f>
        <v/>
      </c>
      <c r="I228" s="19" t="str">
        <f aca="true">IF($A228="","",IF($G228&lt;=0,"Paid",IF(TODAY()&gt;$H228,"Overdue",IF($F228&gt;0,"Partial","Unpaid"))))</f>
        <v/>
      </c>
      <c r="J228" s="14" t="str">
        <f aca="true">IF($A228="","",IF(AND($G228&gt;0,TODAY()&gt;$H228),TODAY()-$H228,""))</f>
        <v/>
      </c>
      <c r="K228" s="2" t="str">
        <f aca="false">IFERROR(MATCH(ROWS($K$5:$K228),Jobs!$Q$5:$Q$504,0),"")</f>
        <v/>
      </c>
      <c r="M228" s="16"/>
      <c r="N228" s="12"/>
      <c r="O228" s="12"/>
      <c r="P228" s="13"/>
      <c r="Q228" s="19" t="str">
        <f aca="false">IF($N228="","",IFERROR(INDEX($C$5:$C$504,MATCH($N228,$A$5:$A$504,0)),"Invoice not found"))</f>
        <v/>
      </c>
    </row>
    <row r="229" customFormat="false" ht="15" hidden="false" customHeight="false" outlineLevel="0" collapsed="false">
      <c r="A229" s="19" t="str">
        <f aca="false">IF($K229="","",INDEX(Jobs!$O$5:$O$504,$K229))</f>
        <v/>
      </c>
      <c r="B229" s="22" t="str">
        <f aca="false">IF($K229="","",INDEX(Jobs!$A$5:$A$504,$K229))</f>
        <v/>
      </c>
      <c r="C229" s="19" t="str">
        <f aca="false">IF($K229="","",INDEX(Jobs!$B$5:$B$504,$K229))</f>
        <v/>
      </c>
      <c r="D229" s="19" t="str">
        <f aca="false">IF($K229="","",INDEX(Jobs!$J$5:$J$504,$K229))</f>
        <v/>
      </c>
      <c r="E229" s="15" t="str">
        <f aca="false">IF($K229="","",INDEX(Jobs!$N$5:$N$504,$K229))</f>
        <v/>
      </c>
      <c r="F229" s="15" t="str">
        <f aca="false">IF($A229="","",SUMIFS($P$5:$P$1004,$N$5:$N$1004,$A229))</f>
        <v/>
      </c>
      <c r="G229" s="15" t="str">
        <f aca="false">IF($A229="","",$E229-$F229)</f>
        <v/>
      </c>
      <c r="H229" s="22" t="str">
        <f aca="false">IF($A229="","",$B229+Settings!$B$11)</f>
        <v/>
      </c>
      <c r="I229" s="19" t="str">
        <f aca="true">IF($A229="","",IF($G229&lt;=0,"Paid",IF(TODAY()&gt;$H229,"Overdue",IF($F229&gt;0,"Partial","Unpaid"))))</f>
        <v/>
      </c>
      <c r="J229" s="14" t="str">
        <f aca="true">IF($A229="","",IF(AND($G229&gt;0,TODAY()&gt;$H229),TODAY()-$H229,""))</f>
        <v/>
      </c>
      <c r="K229" s="2" t="str">
        <f aca="false">IFERROR(MATCH(ROWS($K$5:$K229),Jobs!$Q$5:$Q$504,0),"")</f>
        <v/>
      </c>
      <c r="M229" s="16"/>
      <c r="N229" s="12"/>
      <c r="O229" s="12"/>
      <c r="P229" s="13"/>
      <c r="Q229" s="19" t="str">
        <f aca="false">IF($N229="","",IFERROR(INDEX($C$5:$C$504,MATCH($N229,$A$5:$A$504,0)),"Invoice not found"))</f>
        <v/>
      </c>
    </row>
    <row r="230" customFormat="false" ht="15" hidden="false" customHeight="false" outlineLevel="0" collapsed="false">
      <c r="A230" s="19" t="str">
        <f aca="false">IF($K230="","",INDEX(Jobs!$O$5:$O$504,$K230))</f>
        <v/>
      </c>
      <c r="B230" s="22" t="str">
        <f aca="false">IF($K230="","",INDEX(Jobs!$A$5:$A$504,$K230))</f>
        <v/>
      </c>
      <c r="C230" s="19" t="str">
        <f aca="false">IF($K230="","",INDEX(Jobs!$B$5:$B$504,$K230))</f>
        <v/>
      </c>
      <c r="D230" s="19" t="str">
        <f aca="false">IF($K230="","",INDEX(Jobs!$J$5:$J$504,$K230))</f>
        <v/>
      </c>
      <c r="E230" s="15" t="str">
        <f aca="false">IF($K230="","",INDEX(Jobs!$N$5:$N$504,$K230))</f>
        <v/>
      </c>
      <c r="F230" s="15" t="str">
        <f aca="false">IF($A230="","",SUMIFS($P$5:$P$1004,$N$5:$N$1004,$A230))</f>
        <v/>
      </c>
      <c r="G230" s="15" t="str">
        <f aca="false">IF($A230="","",$E230-$F230)</f>
        <v/>
      </c>
      <c r="H230" s="22" t="str">
        <f aca="false">IF($A230="","",$B230+Settings!$B$11)</f>
        <v/>
      </c>
      <c r="I230" s="19" t="str">
        <f aca="true">IF($A230="","",IF($G230&lt;=0,"Paid",IF(TODAY()&gt;$H230,"Overdue",IF($F230&gt;0,"Partial","Unpaid"))))</f>
        <v/>
      </c>
      <c r="J230" s="14" t="str">
        <f aca="true">IF($A230="","",IF(AND($G230&gt;0,TODAY()&gt;$H230),TODAY()-$H230,""))</f>
        <v/>
      </c>
      <c r="K230" s="2" t="str">
        <f aca="false">IFERROR(MATCH(ROWS($K$5:$K230),Jobs!$Q$5:$Q$504,0),"")</f>
        <v/>
      </c>
      <c r="M230" s="16"/>
      <c r="N230" s="12"/>
      <c r="O230" s="12"/>
      <c r="P230" s="13"/>
      <c r="Q230" s="19" t="str">
        <f aca="false">IF($N230="","",IFERROR(INDEX($C$5:$C$504,MATCH($N230,$A$5:$A$504,0)),"Invoice not found"))</f>
        <v/>
      </c>
    </row>
    <row r="231" customFormat="false" ht="15" hidden="false" customHeight="false" outlineLevel="0" collapsed="false">
      <c r="A231" s="19" t="str">
        <f aca="false">IF($K231="","",INDEX(Jobs!$O$5:$O$504,$K231))</f>
        <v/>
      </c>
      <c r="B231" s="22" t="str">
        <f aca="false">IF($K231="","",INDEX(Jobs!$A$5:$A$504,$K231))</f>
        <v/>
      </c>
      <c r="C231" s="19" t="str">
        <f aca="false">IF($K231="","",INDEX(Jobs!$B$5:$B$504,$K231))</f>
        <v/>
      </c>
      <c r="D231" s="19" t="str">
        <f aca="false">IF($K231="","",INDEX(Jobs!$J$5:$J$504,$K231))</f>
        <v/>
      </c>
      <c r="E231" s="15" t="str">
        <f aca="false">IF($K231="","",INDEX(Jobs!$N$5:$N$504,$K231))</f>
        <v/>
      </c>
      <c r="F231" s="15" t="str">
        <f aca="false">IF($A231="","",SUMIFS($P$5:$P$1004,$N$5:$N$1004,$A231))</f>
        <v/>
      </c>
      <c r="G231" s="15" t="str">
        <f aca="false">IF($A231="","",$E231-$F231)</f>
        <v/>
      </c>
      <c r="H231" s="22" t="str">
        <f aca="false">IF($A231="","",$B231+Settings!$B$11)</f>
        <v/>
      </c>
      <c r="I231" s="19" t="str">
        <f aca="true">IF($A231="","",IF($G231&lt;=0,"Paid",IF(TODAY()&gt;$H231,"Overdue",IF($F231&gt;0,"Partial","Unpaid"))))</f>
        <v/>
      </c>
      <c r="J231" s="14" t="str">
        <f aca="true">IF($A231="","",IF(AND($G231&gt;0,TODAY()&gt;$H231),TODAY()-$H231,""))</f>
        <v/>
      </c>
      <c r="K231" s="2" t="str">
        <f aca="false">IFERROR(MATCH(ROWS($K$5:$K231),Jobs!$Q$5:$Q$504,0),"")</f>
        <v/>
      </c>
      <c r="M231" s="16"/>
      <c r="N231" s="12"/>
      <c r="O231" s="12"/>
      <c r="P231" s="13"/>
      <c r="Q231" s="19" t="str">
        <f aca="false">IF($N231="","",IFERROR(INDEX($C$5:$C$504,MATCH($N231,$A$5:$A$504,0)),"Invoice not found"))</f>
        <v/>
      </c>
    </row>
    <row r="232" customFormat="false" ht="15" hidden="false" customHeight="false" outlineLevel="0" collapsed="false">
      <c r="A232" s="19" t="str">
        <f aca="false">IF($K232="","",INDEX(Jobs!$O$5:$O$504,$K232))</f>
        <v/>
      </c>
      <c r="B232" s="22" t="str">
        <f aca="false">IF($K232="","",INDEX(Jobs!$A$5:$A$504,$K232))</f>
        <v/>
      </c>
      <c r="C232" s="19" t="str">
        <f aca="false">IF($K232="","",INDEX(Jobs!$B$5:$B$504,$K232))</f>
        <v/>
      </c>
      <c r="D232" s="19" t="str">
        <f aca="false">IF($K232="","",INDEX(Jobs!$J$5:$J$504,$K232))</f>
        <v/>
      </c>
      <c r="E232" s="15" t="str">
        <f aca="false">IF($K232="","",INDEX(Jobs!$N$5:$N$504,$K232))</f>
        <v/>
      </c>
      <c r="F232" s="15" t="str">
        <f aca="false">IF($A232="","",SUMIFS($P$5:$P$1004,$N$5:$N$1004,$A232))</f>
        <v/>
      </c>
      <c r="G232" s="15" t="str">
        <f aca="false">IF($A232="","",$E232-$F232)</f>
        <v/>
      </c>
      <c r="H232" s="22" t="str">
        <f aca="false">IF($A232="","",$B232+Settings!$B$11)</f>
        <v/>
      </c>
      <c r="I232" s="19" t="str">
        <f aca="true">IF($A232="","",IF($G232&lt;=0,"Paid",IF(TODAY()&gt;$H232,"Overdue",IF($F232&gt;0,"Partial","Unpaid"))))</f>
        <v/>
      </c>
      <c r="J232" s="14" t="str">
        <f aca="true">IF($A232="","",IF(AND($G232&gt;0,TODAY()&gt;$H232),TODAY()-$H232,""))</f>
        <v/>
      </c>
      <c r="K232" s="2" t="str">
        <f aca="false">IFERROR(MATCH(ROWS($K$5:$K232),Jobs!$Q$5:$Q$504,0),"")</f>
        <v/>
      </c>
      <c r="M232" s="16"/>
      <c r="N232" s="12"/>
      <c r="O232" s="12"/>
      <c r="P232" s="13"/>
      <c r="Q232" s="19" t="str">
        <f aca="false">IF($N232="","",IFERROR(INDEX($C$5:$C$504,MATCH($N232,$A$5:$A$504,0)),"Invoice not found"))</f>
        <v/>
      </c>
    </row>
    <row r="233" customFormat="false" ht="15" hidden="false" customHeight="false" outlineLevel="0" collapsed="false">
      <c r="A233" s="19" t="str">
        <f aca="false">IF($K233="","",INDEX(Jobs!$O$5:$O$504,$K233))</f>
        <v/>
      </c>
      <c r="B233" s="22" t="str">
        <f aca="false">IF($K233="","",INDEX(Jobs!$A$5:$A$504,$K233))</f>
        <v/>
      </c>
      <c r="C233" s="19" t="str">
        <f aca="false">IF($K233="","",INDEX(Jobs!$B$5:$B$504,$K233))</f>
        <v/>
      </c>
      <c r="D233" s="19" t="str">
        <f aca="false">IF($K233="","",INDEX(Jobs!$J$5:$J$504,$K233))</f>
        <v/>
      </c>
      <c r="E233" s="15" t="str">
        <f aca="false">IF($K233="","",INDEX(Jobs!$N$5:$N$504,$K233))</f>
        <v/>
      </c>
      <c r="F233" s="15" t="str">
        <f aca="false">IF($A233="","",SUMIFS($P$5:$P$1004,$N$5:$N$1004,$A233))</f>
        <v/>
      </c>
      <c r="G233" s="15" t="str">
        <f aca="false">IF($A233="","",$E233-$F233)</f>
        <v/>
      </c>
      <c r="H233" s="22" t="str">
        <f aca="false">IF($A233="","",$B233+Settings!$B$11)</f>
        <v/>
      </c>
      <c r="I233" s="19" t="str">
        <f aca="true">IF($A233="","",IF($G233&lt;=0,"Paid",IF(TODAY()&gt;$H233,"Overdue",IF($F233&gt;0,"Partial","Unpaid"))))</f>
        <v/>
      </c>
      <c r="J233" s="14" t="str">
        <f aca="true">IF($A233="","",IF(AND($G233&gt;0,TODAY()&gt;$H233),TODAY()-$H233,""))</f>
        <v/>
      </c>
      <c r="K233" s="2" t="str">
        <f aca="false">IFERROR(MATCH(ROWS($K$5:$K233),Jobs!$Q$5:$Q$504,0),"")</f>
        <v/>
      </c>
      <c r="M233" s="16"/>
      <c r="N233" s="12"/>
      <c r="O233" s="12"/>
      <c r="P233" s="13"/>
      <c r="Q233" s="19" t="str">
        <f aca="false">IF($N233="","",IFERROR(INDEX($C$5:$C$504,MATCH($N233,$A$5:$A$504,0)),"Invoice not found"))</f>
        <v/>
      </c>
    </row>
    <row r="234" customFormat="false" ht="15" hidden="false" customHeight="false" outlineLevel="0" collapsed="false">
      <c r="A234" s="19" t="str">
        <f aca="false">IF($K234="","",INDEX(Jobs!$O$5:$O$504,$K234))</f>
        <v/>
      </c>
      <c r="B234" s="22" t="str">
        <f aca="false">IF($K234="","",INDEX(Jobs!$A$5:$A$504,$K234))</f>
        <v/>
      </c>
      <c r="C234" s="19" t="str">
        <f aca="false">IF($K234="","",INDEX(Jobs!$B$5:$B$504,$K234))</f>
        <v/>
      </c>
      <c r="D234" s="19" t="str">
        <f aca="false">IF($K234="","",INDEX(Jobs!$J$5:$J$504,$K234))</f>
        <v/>
      </c>
      <c r="E234" s="15" t="str">
        <f aca="false">IF($K234="","",INDEX(Jobs!$N$5:$N$504,$K234))</f>
        <v/>
      </c>
      <c r="F234" s="15" t="str">
        <f aca="false">IF($A234="","",SUMIFS($P$5:$P$1004,$N$5:$N$1004,$A234))</f>
        <v/>
      </c>
      <c r="G234" s="15" t="str">
        <f aca="false">IF($A234="","",$E234-$F234)</f>
        <v/>
      </c>
      <c r="H234" s="22" t="str">
        <f aca="false">IF($A234="","",$B234+Settings!$B$11)</f>
        <v/>
      </c>
      <c r="I234" s="19" t="str">
        <f aca="true">IF($A234="","",IF($G234&lt;=0,"Paid",IF(TODAY()&gt;$H234,"Overdue",IF($F234&gt;0,"Partial","Unpaid"))))</f>
        <v/>
      </c>
      <c r="J234" s="14" t="str">
        <f aca="true">IF($A234="","",IF(AND($G234&gt;0,TODAY()&gt;$H234),TODAY()-$H234,""))</f>
        <v/>
      </c>
      <c r="K234" s="2" t="str">
        <f aca="false">IFERROR(MATCH(ROWS($K$5:$K234),Jobs!$Q$5:$Q$504,0),"")</f>
        <v/>
      </c>
      <c r="M234" s="16"/>
      <c r="N234" s="12"/>
      <c r="O234" s="12"/>
      <c r="P234" s="13"/>
      <c r="Q234" s="19" t="str">
        <f aca="false">IF($N234="","",IFERROR(INDEX($C$5:$C$504,MATCH($N234,$A$5:$A$504,0)),"Invoice not found"))</f>
        <v/>
      </c>
    </row>
    <row r="235" customFormat="false" ht="15" hidden="false" customHeight="false" outlineLevel="0" collapsed="false">
      <c r="A235" s="19" t="str">
        <f aca="false">IF($K235="","",INDEX(Jobs!$O$5:$O$504,$K235))</f>
        <v/>
      </c>
      <c r="B235" s="22" t="str">
        <f aca="false">IF($K235="","",INDEX(Jobs!$A$5:$A$504,$K235))</f>
        <v/>
      </c>
      <c r="C235" s="19" t="str">
        <f aca="false">IF($K235="","",INDEX(Jobs!$B$5:$B$504,$K235))</f>
        <v/>
      </c>
      <c r="D235" s="19" t="str">
        <f aca="false">IF($K235="","",INDEX(Jobs!$J$5:$J$504,$K235))</f>
        <v/>
      </c>
      <c r="E235" s="15" t="str">
        <f aca="false">IF($K235="","",INDEX(Jobs!$N$5:$N$504,$K235))</f>
        <v/>
      </c>
      <c r="F235" s="15" t="str">
        <f aca="false">IF($A235="","",SUMIFS($P$5:$P$1004,$N$5:$N$1004,$A235))</f>
        <v/>
      </c>
      <c r="G235" s="15" t="str">
        <f aca="false">IF($A235="","",$E235-$F235)</f>
        <v/>
      </c>
      <c r="H235" s="22" t="str">
        <f aca="false">IF($A235="","",$B235+Settings!$B$11)</f>
        <v/>
      </c>
      <c r="I235" s="19" t="str">
        <f aca="true">IF($A235="","",IF($G235&lt;=0,"Paid",IF(TODAY()&gt;$H235,"Overdue",IF($F235&gt;0,"Partial","Unpaid"))))</f>
        <v/>
      </c>
      <c r="J235" s="14" t="str">
        <f aca="true">IF($A235="","",IF(AND($G235&gt;0,TODAY()&gt;$H235),TODAY()-$H235,""))</f>
        <v/>
      </c>
      <c r="K235" s="2" t="str">
        <f aca="false">IFERROR(MATCH(ROWS($K$5:$K235),Jobs!$Q$5:$Q$504,0),"")</f>
        <v/>
      </c>
      <c r="M235" s="16"/>
      <c r="N235" s="12"/>
      <c r="O235" s="12"/>
      <c r="P235" s="13"/>
      <c r="Q235" s="19" t="str">
        <f aca="false">IF($N235="","",IFERROR(INDEX($C$5:$C$504,MATCH($N235,$A$5:$A$504,0)),"Invoice not found"))</f>
        <v/>
      </c>
    </row>
    <row r="236" customFormat="false" ht="15" hidden="false" customHeight="false" outlineLevel="0" collapsed="false">
      <c r="A236" s="19" t="str">
        <f aca="false">IF($K236="","",INDEX(Jobs!$O$5:$O$504,$K236))</f>
        <v/>
      </c>
      <c r="B236" s="22" t="str">
        <f aca="false">IF($K236="","",INDEX(Jobs!$A$5:$A$504,$K236))</f>
        <v/>
      </c>
      <c r="C236" s="19" t="str">
        <f aca="false">IF($K236="","",INDEX(Jobs!$B$5:$B$504,$K236))</f>
        <v/>
      </c>
      <c r="D236" s="19" t="str">
        <f aca="false">IF($K236="","",INDEX(Jobs!$J$5:$J$504,$K236))</f>
        <v/>
      </c>
      <c r="E236" s="15" t="str">
        <f aca="false">IF($K236="","",INDEX(Jobs!$N$5:$N$504,$K236))</f>
        <v/>
      </c>
      <c r="F236" s="15" t="str">
        <f aca="false">IF($A236="","",SUMIFS($P$5:$P$1004,$N$5:$N$1004,$A236))</f>
        <v/>
      </c>
      <c r="G236" s="15" t="str">
        <f aca="false">IF($A236="","",$E236-$F236)</f>
        <v/>
      </c>
      <c r="H236" s="22" t="str">
        <f aca="false">IF($A236="","",$B236+Settings!$B$11)</f>
        <v/>
      </c>
      <c r="I236" s="19" t="str">
        <f aca="true">IF($A236="","",IF($G236&lt;=0,"Paid",IF(TODAY()&gt;$H236,"Overdue",IF($F236&gt;0,"Partial","Unpaid"))))</f>
        <v/>
      </c>
      <c r="J236" s="14" t="str">
        <f aca="true">IF($A236="","",IF(AND($G236&gt;0,TODAY()&gt;$H236),TODAY()-$H236,""))</f>
        <v/>
      </c>
      <c r="K236" s="2" t="str">
        <f aca="false">IFERROR(MATCH(ROWS($K$5:$K236),Jobs!$Q$5:$Q$504,0),"")</f>
        <v/>
      </c>
      <c r="M236" s="16"/>
      <c r="N236" s="12"/>
      <c r="O236" s="12"/>
      <c r="P236" s="13"/>
      <c r="Q236" s="19" t="str">
        <f aca="false">IF($N236="","",IFERROR(INDEX($C$5:$C$504,MATCH($N236,$A$5:$A$504,0)),"Invoice not found"))</f>
        <v/>
      </c>
    </row>
    <row r="237" customFormat="false" ht="15" hidden="false" customHeight="false" outlineLevel="0" collapsed="false">
      <c r="A237" s="19" t="str">
        <f aca="false">IF($K237="","",INDEX(Jobs!$O$5:$O$504,$K237))</f>
        <v/>
      </c>
      <c r="B237" s="22" t="str">
        <f aca="false">IF($K237="","",INDEX(Jobs!$A$5:$A$504,$K237))</f>
        <v/>
      </c>
      <c r="C237" s="19" t="str">
        <f aca="false">IF($K237="","",INDEX(Jobs!$B$5:$B$504,$K237))</f>
        <v/>
      </c>
      <c r="D237" s="19" t="str">
        <f aca="false">IF($K237="","",INDEX(Jobs!$J$5:$J$504,$K237))</f>
        <v/>
      </c>
      <c r="E237" s="15" t="str">
        <f aca="false">IF($K237="","",INDEX(Jobs!$N$5:$N$504,$K237))</f>
        <v/>
      </c>
      <c r="F237" s="15" t="str">
        <f aca="false">IF($A237="","",SUMIFS($P$5:$P$1004,$N$5:$N$1004,$A237))</f>
        <v/>
      </c>
      <c r="G237" s="15" t="str">
        <f aca="false">IF($A237="","",$E237-$F237)</f>
        <v/>
      </c>
      <c r="H237" s="22" t="str">
        <f aca="false">IF($A237="","",$B237+Settings!$B$11)</f>
        <v/>
      </c>
      <c r="I237" s="19" t="str">
        <f aca="true">IF($A237="","",IF($G237&lt;=0,"Paid",IF(TODAY()&gt;$H237,"Overdue",IF($F237&gt;0,"Partial","Unpaid"))))</f>
        <v/>
      </c>
      <c r="J237" s="14" t="str">
        <f aca="true">IF($A237="","",IF(AND($G237&gt;0,TODAY()&gt;$H237),TODAY()-$H237,""))</f>
        <v/>
      </c>
      <c r="K237" s="2" t="str">
        <f aca="false">IFERROR(MATCH(ROWS($K$5:$K237),Jobs!$Q$5:$Q$504,0),"")</f>
        <v/>
      </c>
      <c r="M237" s="16"/>
      <c r="N237" s="12"/>
      <c r="O237" s="12"/>
      <c r="P237" s="13"/>
      <c r="Q237" s="19" t="str">
        <f aca="false">IF($N237="","",IFERROR(INDEX($C$5:$C$504,MATCH($N237,$A$5:$A$504,0)),"Invoice not found"))</f>
        <v/>
      </c>
    </row>
    <row r="238" customFormat="false" ht="15" hidden="false" customHeight="false" outlineLevel="0" collapsed="false">
      <c r="A238" s="19" t="str">
        <f aca="false">IF($K238="","",INDEX(Jobs!$O$5:$O$504,$K238))</f>
        <v/>
      </c>
      <c r="B238" s="22" t="str">
        <f aca="false">IF($K238="","",INDEX(Jobs!$A$5:$A$504,$K238))</f>
        <v/>
      </c>
      <c r="C238" s="19" t="str">
        <f aca="false">IF($K238="","",INDEX(Jobs!$B$5:$B$504,$K238))</f>
        <v/>
      </c>
      <c r="D238" s="19" t="str">
        <f aca="false">IF($K238="","",INDEX(Jobs!$J$5:$J$504,$K238))</f>
        <v/>
      </c>
      <c r="E238" s="15" t="str">
        <f aca="false">IF($K238="","",INDEX(Jobs!$N$5:$N$504,$K238))</f>
        <v/>
      </c>
      <c r="F238" s="15" t="str">
        <f aca="false">IF($A238="","",SUMIFS($P$5:$P$1004,$N$5:$N$1004,$A238))</f>
        <v/>
      </c>
      <c r="G238" s="15" t="str">
        <f aca="false">IF($A238="","",$E238-$F238)</f>
        <v/>
      </c>
      <c r="H238" s="22" t="str">
        <f aca="false">IF($A238="","",$B238+Settings!$B$11)</f>
        <v/>
      </c>
      <c r="I238" s="19" t="str">
        <f aca="true">IF($A238="","",IF($G238&lt;=0,"Paid",IF(TODAY()&gt;$H238,"Overdue",IF($F238&gt;0,"Partial","Unpaid"))))</f>
        <v/>
      </c>
      <c r="J238" s="14" t="str">
        <f aca="true">IF($A238="","",IF(AND($G238&gt;0,TODAY()&gt;$H238),TODAY()-$H238,""))</f>
        <v/>
      </c>
      <c r="K238" s="2" t="str">
        <f aca="false">IFERROR(MATCH(ROWS($K$5:$K238),Jobs!$Q$5:$Q$504,0),"")</f>
        <v/>
      </c>
      <c r="M238" s="16"/>
      <c r="N238" s="12"/>
      <c r="O238" s="12"/>
      <c r="P238" s="13"/>
      <c r="Q238" s="19" t="str">
        <f aca="false">IF($N238="","",IFERROR(INDEX($C$5:$C$504,MATCH($N238,$A$5:$A$504,0)),"Invoice not found"))</f>
        <v/>
      </c>
    </row>
    <row r="239" customFormat="false" ht="15" hidden="false" customHeight="false" outlineLevel="0" collapsed="false">
      <c r="A239" s="19" t="str">
        <f aca="false">IF($K239="","",INDEX(Jobs!$O$5:$O$504,$K239))</f>
        <v/>
      </c>
      <c r="B239" s="22" t="str">
        <f aca="false">IF($K239="","",INDEX(Jobs!$A$5:$A$504,$K239))</f>
        <v/>
      </c>
      <c r="C239" s="19" t="str">
        <f aca="false">IF($K239="","",INDEX(Jobs!$B$5:$B$504,$K239))</f>
        <v/>
      </c>
      <c r="D239" s="19" t="str">
        <f aca="false">IF($K239="","",INDEX(Jobs!$J$5:$J$504,$K239))</f>
        <v/>
      </c>
      <c r="E239" s="15" t="str">
        <f aca="false">IF($K239="","",INDEX(Jobs!$N$5:$N$504,$K239))</f>
        <v/>
      </c>
      <c r="F239" s="15" t="str">
        <f aca="false">IF($A239="","",SUMIFS($P$5:$P$1004,$N$5:$N$1004,$A239))</f>
        <v/>
      </c>
      <c r="G239" s="15" t="str">
        <f aca="false">IF($A239="","",$E239-$F239)</f>
        <v/>
      </c>
      <c r="H239" s="22" t="str">
        <f aca="false">IF($A239="","",$B239+Settings!$B$11)</f>
        <v/>
      </c>
      <c r="I239" s="19" t="str">
        <f aca="true">IF($A239="","",IF($G239&lt;=0,"Paid",IF(TODAY()&gt;$H239,"Overdue",IF($F239&gt;0,"Partial","Unpaid"))))</f>
        <v/>
      </c>
      <c r="J239" s="14" t="str">
        <f aca="true">IF($A239="","",IF(AND($G239&gt;0,TODAY()&gt;$H239),TODAY()-$H239,""))</f>
        <v/>
      </c>
      <c r="K239" s="2" t="str">
        <f aca="false">IFERROR(MATCH(ROWS($K$5:$K239),Jobs!$Q$5:$Q$504,0),"")</f>
        <v/>
      </c>
      <c r="M239" s="16"/>
      <c r="N239" s="12"/>
      <c r="O239" s="12"/>
      <c r="P239" s="13"/>
      <c r="Q239" s="19" t="str">
        <f aca="false">IF($N239="","",IFERROR(INDEX($C$5:$C$504,MATCH($N239,$A$5:$A$504,0)),"Invoice not found"))</f>
        <v/>
      </c>
    </row>
    <row r="240" customFormat="false" ht="15" hidden="false" customHeight="false" outlineLevel="0" collapsed="false">
      <c r="A240" s="19" t="str">
        <f aca="false">IF($K240="","",INDEX(Jobs!$O$5:$O$504,$K240))</f>
        <v/>
      </c>
      <c r="B240" s="22" t="str">
        <f aca="false">IF($K240="","",INDEX(Jobs!$A$5:$A$504,$K240))</f>
        <v/>
      </c>
      <c r="C240" s="19" t="str">
        <f aca="false">IF($K240="","",INDEX(Jobs!$B$5:$B$504,$K240))</f>
        <v/>
      </c>
      <c r="D240" s="19" t="str">
        <f aca="false">IF($K240="","",INDEX(Jobs!$J$5:$J$504,$K240))</f>
        <v/>
      </c>
      <c r="E240" s="15" t="str">
        <f aca="false">IF($K240="","",INDEX(Jobs!$N$5:$N$504,$K240))</f>
        <v/>
      </c>
      <c r="F240" s="15" t="str">
        <f aca="false">IF($A240="","",SUMIFS($P$5:$P$1004,$N$5:$N$1004,$A240))</f>
        <v/>
      </c>
      <c r="G240" s="15" t="str">
        <f aca="false">IF($A240="","",$E240-$F240)</f>
        <v/>
      </c>
      <c r="H240" s="22" t="str">
        <f aca="false">IF($A240="","",$B240+Settings!$B$11)</f>
        <v/>
      </c>
      <c r="I240" s="19" t="str">
        <f aca="true">IF($A240="","",IF($G240&lt;=0,"Paid",IF(TODAY()&gt;$H240,"Overdue",IF($F240&gt;0,"Partial","Unpaid"))))</f>
        <v/>
      </c>
      <c r="J240" s="14" t="str">
        <f aca="true">IF($A240="","",IF(AND($G240&gt;0,TODAY()&gt;$H240),TODAY()-$H240,""))</f>
        <v/>
      </c>
      <c r="K240" s="2" t="str">
        <f aca="false">IFERROR(MATCH(ROWS($K$5:$K240),Jobs!$Q$5:$Q$504,0),"")</f>
        <v/>
      </c>
      <c r="M240" s="16"/>
      <c r="N240" s="12"/>
      <c r="O240" s="12"/>
      <c r="P240" s="13"/>
      <c r="Q240" s="19" t="str">
        <f aca="false">IF($N240="","",IFERROR(INDEX($C$5:$C$504,MATCH($N240,$A$5:$A$504,0)),"Invoice not found"))</f>
        <v/>
      </c>
    </row>
    <row r="241" customFormat="false" ht="15" hidden="false" customHeight="false" outlineLevel="0" collapsed="false">
      <c r="A241" s="19" t="str">
        <f aca="false">IF($K241="","",INDEX(Jobs!$O$5:$O$504,$K241))</f>
        <v/>
      </c>
      <c r="B241" s="22" t="str">
        <f aca="false">IF($K241="","",INDEX(Jobs!$A$5:$A$504,$K241))</f>
        <v/>
      </c>
      <c r="C241" s="19" t="str">
        <f aca="false">IF($K241="","",INDEX(Jobs!$B$5:$B$504,$K241))</f>
        <v/>
      </c>
      <c r="D241" s="19" t="str">
        <f aca="false">IF($K241="","",INDEX(Jobs!$J$5:$J$504,$K241))</f>
        <v/>
      </c>
      <c r="E241" s="15" t="str">
        <f aca="false">IF($K241="","",INDEX(Jobs!$N$5:$N$504,$K241))</f>
        <v/>
      </c>
      <c r="F241" s="15" t="str">
        <f aca="false">IF($A241="","",SUMIFS($P$5:$P$1004,$N$5:$N$1004,$A241))</f>
        <v/>
      </c>
      <c r="G241" s="15" t="str">
        <f aca="false">IF($A241="","",$E241-$F241)</f>
        <v/>
      </c>
      <c r="H241" s="22" t="str">
        <f aca="false">IF($A241="","",$B241+Settings!$B$11)</f>
        <v/>
      </c>
      <c r="I241" s="19" t="str">
        <f aca="true">IF($A241="","",IF($G241&lt;=0,"Paid",IF(TODAY()&gt;$H241,"Overdue",IF($F241&gt;0,"Partial","Unpaid"))))</f>
        <v/>
      </c>
      <c r="J241" s="14" t="str">
        <f aca="true">IF($A241="","",IF(AND($G241&gt;0,TODAY()&gt;$H241),TODAY()-$H241,""))</f>
        <v/>
      </c>
      <c r="K241" s="2" t="str">
        <f aca="false">IFERROR(MATCH(ROWS($K$5:$K241),Jobs!$Q$5:$Q$504,0),"")</f>
        <v/>
      </c>
      <c r="M241" s="16"/>
      <c r="N241" s="12"/>
      <c r="O241" s="12"/>
      <c r="P241" s="13"/>
      <c r="Q241" s="19" t="str">
        <f aca="false">IF($N241="","",IFERROR(INDEX($C$5:$C$504,MATCH($N241,$A$5:$A$504,0)),"Invoice not found"))</f>
        <v/>
      </c>
    </row>
    <row r="242" customFormat="false" ht="15" hidden="false" customHeight="false" outlineLevel="0" collapsed="false">
      <c r="A242" s="19" t="str">
        <f aca="false">IF($K242="","",INDEX(Jobs!$O$5:$O$504,$K242))</f>
        <v/>
      </c>
      <c r="B242" s="22" t="str">
        <f aca="false">IF($K242="","",INDEX(Jobs!$A$5:$A$504,$K242))</f>
        <v/>
      </c>
      <c r="C242" s="19" t="str">
        <f aca="false">IF($K242="","",INDEX(Jobs!$B$5:$B$504,$K242))</f>
        <v/>
      </c>
      <c r="D242" s="19" t="str">
        <f aca="false">IF($K242="","",INDEX(Jobs!$J$5:$J$504,$K242))</f>
        <v/>
      </c>
      <c r="E242" s="15" t="str">
        <f aca="false">IF($K242="","",INDEX(Jobs!$N$5:$N$504,$K242))</f>
        <v/>
      </c>
      <c r="F242" s="15" t="str">
        <f aca="false">IF($A242="","",SUMIFS($P$5:$P$1004,$N$5:$N$1004,$A242))</f>
        <v/>
      </c>
      <c r="G242" s="15" t="str">
        <f aca="false">IF($A242="","",$E242-$F242)</f>
        <v/>
      </c>
      <c r="H242" s="22" t="str">
        <f aca="false">IF($A242="","",$B242+Settings!$B$11)</f>
        <v/>
      </c>
      <c r="I242" s="19" t="str">
        <f aca="true">IF($A242="","",IF($G242&lt;=0,"Paid",IF(TODAY()&gt;$H242,"Overdue",IF($F242&gt;0,"Partial","Unpaid"))))</f>
        <v/>
      </c>
      <c r="J242" s="14" t="str">
        <f aca="true">IF($A242="","",IF(AND($G242&gt;0,TODAY()&gt;$H242),TODAY()-$H242,""))</f>
        <v/>
      </c>
      <c r="K242" s="2" t="str">
        <f aca="false">IFERROR(MATCH(ROWS($K$5:$K242),Jobs!$Q$5:$Q$504,0),"")</f>
        <v/>
      </c>
      <c r="M242" s="16"/>
      <c r="N242" s="12"/>
      <c r="O242" s="12"/>
      <c r="P242" s="13"/>
      <c r="Q242" s="19" t="str">
        <f aca="false">IF($N242="","",IFERROR(INDEX($C$5:$C$504,MATCH($N242,$A$5:$A$504,0)),"Invoice not found"))</f>
        <v/>
      </c>
    </row>
    <row r="243" customFormat="false" ht="15" hidden="false" customHeight="false" outlineLevel="0" collapsed="false">
      <c r="A243" s="19" t="str">
        <f aca="false">IF($K243="","",INDEX(Jobs!$O$5:$O$504,$K243))</f>
        <v/>
      </c>
      <c r="B243" s="22" t="str">
        <f aca="false">IF($K243="","",INDEX(Jobs!$A$5:$A$504,$K243))</f>
        <v/>
      </c>
      <c r="C243" s="19" t="str">
        <f aca="false">IF($K243="","",INDEX(Jobs!$B$5:$B$504,$K243))</f>
        <v/>
      </c>
      <c r="D243" s="19" t="str">
        <f aca="false">IF($K243="","",INDEX(Jobs!$J$5:$J$504,$K243))</f>
        <v/>
      </c>
      <c r="E243" s="15" t="str">
        <f aca="false">IF($K243="","",INDEX(Jobs!$N$5:$N$504,$K243))</f>
        <v/>
      </c>
      <c r="F243" s="15" t="str">
        <f aca="false">IF($A243="","",SUMIFS($P$5:$P$1004,$N$5:$N$1004,$A243))</f>
        <v/>
      </c>
      <c r="G243" s="15" t="str">
        <f aca="false">IF($A243="","",$E243-$F243)</f>
        <v/>
      </c>
      <c r="H243" s="22" t="str">
        <f aca="false">IF($A243="","",$B243+Settings!$B$11)</f>
        <v/>
      </c>
      <c r="I243" s="19" t="str">
        <f aca="true">IF($A243="","",IF($G243&lt;=0,"Paid",IF(TODAY()&gt;$H243,"Overdue",IF($F243&gt;0,"Partial","Unpaid"))))</f>
        <v/>
      </c>
      <c r="J243" s="14" t="str">
        <f aca="true">IF($A243="","",IF(AND($G243&gt;0,TODAY()&gt;$H243),TODAY()-$H243,""))</f>
        <v/>
      </c>
      <c r="K243" s="2" t="str">
        <f aca="false">IFERROR(MATCH(ROWS($K$5:$K243),Jobs!$Q$5:$Q$504,0),"")</f>
        <v/>
      </c>
      <c r="M243" s="16"/>
      <c r="N243" s="12"/>
      <c r="O243" s="12"/>
      <c r="P243" s="13"/>
      <c r="Q243" s="19" t="str">
        <f aca="false">IF($N243="","",IFERROR(INDEX($C$5:$C$504,MATCH($N243,$A$5:$A$504,0)),"Invoice not found"))</f>
        <v/>
      </c>
    </row>
    <row r="244" customFormat="false" ht="15" hidden="false" customHeight="false" outlineLevel="0" collapsed="false">
      <c r="A244" s="19" t="str">
        <f aca="false">IF($K244="","",INDEX(Jobs!$O$5:$O$504,$K244))</f>
        <v/>
      </c>
      <c r="B244" s="22" t="str">
        <f aca="false">IF($K244="","",INDEX(Jobs!$A$5:$A$504,$K244))</f>
        <v/>
      </c>
      <c r="C244" s="19" t="str">
        <f aca="false">IF($K244="","",INDEX(Jobs!$B$5:$B$504,$K244))</f>
        <v/>
      </c>
      <c r="D244" s="19" t="str">
        <f aca="false">IF($K244="","",INDEX(Jobs!$J$5:$J$504,$K244))</f>
        <v/>
      </c>
      <c r="E244" s="15" t="str">
        <f aca="false">IF($K244="","",INDEX(Jobs!$N$5:$N$504,$K244))</f>
        <v/>
      </c>
      <c r="F244" s="15" t="str">
        <f aca="false">IF($A244="","",SUMIFS($P$5:$P$1004,$N$5:$N$1004,$A244))</f>
        <v/>
      </c>
      <c r="G244" s="15" t="str">
        <f aca="false">IF($A244="","",$E244-$F244)</f>
        <v/>
      </c>
      <c r="H244" s="22" t="str">
        <f aca="false">IF($A244="","",$B244+Settings!$B$11)</f>
        <v/>
      </c>
      <c r="I244" s="19" t="str">
        <f aca="true">IF($A244="","",IF($G244&lt;=0,"Paid",IF(TODAY()&gt;$H244,"Overdue",IF($F244&gt;0,"Partial","Unpaid"))))</f>
        <v/>
      </c>
      <c r="J244" s="14" t="str">
        <f aca="true">IF($A244="","",IF(AND($G244&gt;0,TODAY()&gt;$H244),TODAY()-$H244,""))</f>
        <v/>
      </c>
      <c r="K244" s="2" t="str">
        <f aca="false">IFERROR(MATCH(ROWS($K$5:$K244),Jobs!$Q$5:$Q$504,0),"")</f>
        <v/>
      </c>
      <c r="M244" s="16"/>
      <c r="N244" s="12"/>
      <c r="O244" s="12"/>
      <c r="P244" s="13"/>
      <c r="Q244" s="19" t="str">
        <f aca="false">IF($N244="","",IFERROR(INDEX($C$5:$C$504,MATCH($N244,$A$5:$A$504,0)),"Invoice not found"))</f>
        <v/>
      </c>
    </row>
    <row r="245" customFormat="false" ht="15" hidden="false" customHeight="false" outlineLevel="0" collapsed="false">
      <c r="A245" s="19" t="str">
        <f aca="false">IF($K245="","",INDEX(Jobs!$O$5:$O$504,$K245))</f>
        <v/>
      </c>
      <c r="B245" s="22" t="str">
        <f aca="false">IF($K245="","",INDEX(Jobs!$A$5:$A$504,$K245))</f>
        <v/>
      </c>
      <c r="C245" s="19" t="str">
        <f aca="false">IF($K245="","",INDEX(Jobs!$B$5:$B$504,$K245))</f>
        <v/>
      </c>
      <c r="D245" s="19" t="str">
        <f aca="false">IF($K245="","",INDEX(Jobs!$J$5:$J$504,$K245))</f>
        <v/>
      </c>
      <c r="E245" s="15" t="str">
        <f aca="false">IF($K245="","",INDEX(Jobs!$N$5:$N$504,$K245))</f>
        <v/>
      </c>
      <c r="F245" s="15" t="str">
        <f aca="false">IF($A245="","",SUMIFS($P$5:$P$1004,$N$5:$N$1004,$A245))</f>
        <v/>
      </c>
      <c r="G245" s="15" t="str">
        <f aca="false">IF($A245="","",$E245-$F245)</f>
        <v/>
      </c>
      <c r="H245" s="22" t="str">
        <f aca="false">IF($A245="","",$B245+Settings!$B$11)</f>
        <v/>
      </c>
      <c r="I245" s="19" t="str">
        <f aca="true">IF($A245="","",IF($G245&lt;=0,"Paid",IF(TODAY()&gt;$H245,"Overdue",IF($F245&gt;0,"Partial","Unpaid"))))</f>
        <v/>
      </c>
      <c r="J245" s="14" t="str">
        <f aca="true">IF($A245="","",IF(AND($G245&gt;0,TODAY()&gt;$H245),TODAY()-$H245,""))</f>
        <v/>
      </c>
      <c r="K245" s="2" t="str">
        <f aca="false">IFERROR(MATCH(ROWS($K$5:$K245),Jobs!$Q$5:$Q$504,0),"")</f>
        <v/>
      </c>
      <c r="M245" s="16"/>
      <c r="N245" s="12"/>
      <c r="O245" s="12"/>
      <c r="P245" s="13"/>
      <c r="Q245" s="19" t="str">
        <f aca="false">IF($N245="","",IFERROR(INDEX($C$5:$C$504,MATCH($N245,$A$5:$A$504,0)),"Invoice not found"))</f>
        <v/>
      </c>
    </row>
    <row r="246" customFormat="false" ht="15" hidden="false" customHeight="false" outlineLevel="0" collapsed="false">
      <c r="A246" s="19" t="str">
        <f aca="false">IF($K246="","",INDEX(Jobs!$O$5:$O$504,$K246))</f>
        <v/>
      </c>
      <c r="B246" s="22" t="str">
        <f aca="false">IF($K246="","",INDEX(Jobs!$A$5:$A$504,$K246))</f>
        <v/>
      </c>
      <c r="C246" s="19" t="str">
        <f aca="false">IF($K246="","",INDEX(Jobs!$B$5:$B$504,$K246))</f>
        <v/>
      </c>
      <c r="D246" s="19" t="str">
        <f aca="false">IF($K246="","",INDEX(Jobs!$J$5:$J$504,$K246))</f>
        <v/>
      </c>
      <c r="E246" s="15" t="str">
        <f aca="false">IF($K246="","",INDEX(Jobs!$N$5:$N$504,$K246))</f>
        <v/>
      </c>
      <c r="F246" s="15" t="str">
        <f aca="false">IF($A246="","",SUMIFS($P$5:$P$1004,$N$5:$N$1004,$A246))</f>
        <v/>
      </c>
      <c r="G246" s="15" t="str">
        <f aca="false">IF($A246="","",$E246-$F246)</f>
        <v/>
      </c>
      <c r="H246" s="22" t="str">
        <f aca="false">IF($A246="","",$B246+Settings!$B$11)</f>
        <v/>
      </c>
      <c r="I246" s="19" t="str">
        <f aca="true">IF($A246="","",IF($G246&lt;=0,"Paid",IF(TODAY()&gt;$H246,"Overdue",IF($F246&gt;0,"Partial","Unpaid"))))</f>
        <v/>
      </c>
      <c r="J246" s="14" t="str">
        <f aca="true">IF($A246="","",IF(AND($G246&gt;0,TODAY()&gt;$H246),TODAY()-$H246,""))</f>
        <v/>
      </c>
      <c r="K246" s="2" t="str">
        <f aca="false">IFERROR(MATCH(ROWS($K$5:$K246),Jobs!$Q$5:$Q$504,0),"")</f>
        <v/>
      </c>
      <c r="M246" s="16"/>
      <c r="N246" s="12"/>
      <c r="O246" s="12"/>
      <c r="P246" s="13"/>
      <c r="Q246" s="19" t="str">
        <f aca="false">IF($N246="","",IFERROR(INDEX($C$5:$C$504,MATCH($N246,$A$5:$A$504,0)),"Invoice not found"))</f>
        <v/>
      </c>
    </row>
    <row r="247" customFormat="false" ht="15" hidden="false" customHeight="false" outlineLevel="0" collapsed="false">
      <c r="A247" s="19" t="str">
        <f aca="false">IF($K247="","",INDEX(Jobs!$O$5:$O$504,$K247))</f>
        <v/>
      </c>
      <c r="B247" s="22" t="str">
        <f aca="false">IF($K247="","",INDEX(Jobs!$A$5:$A$504,$K247))</f>
        <v/>
      </c>
      <c r="C247" s="19" t="str">
        <f aca="false">IF($K247="","",INDEX(Jobs!$B$5:$B$504,$K247))</f>
        <v/>
      </c>
      <c r="D247" s="19" t="str">
        <f aca="false">IF($K247="","",INDEX(Jobs!$J$5:$J$504,$K247))</f>
        <v/>
      </c>
      <c r="E247" s="15" t="str">
        <f aca="false">IF($K247="","",INDEX(Jobs!$N$5:$N$504,$K247))</f>
        <v/>
      </c>
      <c r="F247" s="15" t="str">
        <f aca="false">IF($A247="","",SUMIFS($P$5:$P$1004,$N$5:$N$1004,$A247))</f>
        <v/>
      </c>
      <c r="G247" s="15" t="str">
        <f aca="false">IF($A247="","",$E247-$F247)</f>
        <v/>
      </c>
      <c r="H247" s="22" t="str">
        <f aca="false">IF($A247="","",$B247+Settings!$B$11)</f>
        <v/>
      </c>
      <c r="I247" s="19" t="str">
        <f aca="true">IF($A247="","",IF($G247&lt;=0,"Paid",IF(TODAY()&gt;$H247,"Overdue",IF($F247&gt;0,"Partial","Unpaid"))))</f>
        <v/>
      </c>
      <c r="J247" s="14" t="str">
        <f aca="true">IF($A247="","",IF(AND($G247&gt;0,TODAY()&gt;$H247),TODAY()-$H247,""))</f>
        <v/>
      </c>
      <c r="K247" s="2" t="str">
        <f aca="false">IFERROR(MATCH(ROWS($K$5:$K247),Jobs!$Q$5:$Q$504,0),"")</f>
        <v/>
      </c>
      <c r="M247" s="16"/>
      <c r="N247" s="12"/>
      <c r="O247" s="12"/>
      <c r="P247" s="13"/>
      <c r="Q247" s="19" t="str">
        <f aca="false">IF($N247="","",IFERROR(INDEX($C$5:$C$504,MATCH($N247,$A$5:$A$504,0)),"Invoice not found"))</f>
        <v/>
      </c>
    </row>
    <row r="248" customFormat="false" ht="15" hidden="false" customHeight="false" outlineLevel="0" collapsed="false">
      <c r="A248" s="19" t="str">
        <f aca="false">IF($K248="","",INDEX(Jobs!$O$5:$O$504,$K248))</f>
        <v/>
      </c>
      <c r="B248" s="22" t="str">
        <f aca="false">IF($K248="","",INDEX(Jobs!$A$5:$A$504,$K248))</f>
        <v/>
      </c>
      <c r="C248" s="19" t="str">
        <f aca="false">IF($K248="","",INDEX(Jobs!$B$5:$B$504,$K248))</f>
        <v/>
      </c>
      <c r="D248" s="19" t="str">
        <f aca="false">IF($K248="","",INDEX(Jobs!$J$5:$J$504,$K248))</f>
        <v/>
      </c>
      <c r="E248" s="15" t="str">
        <f aca="false">IF($K248="","",INDEX(Jobs!$N$5:$N$504,$K248))</f>
        <v/>
      </c>
      <c r="F248" s="15" t="str">
        <f aca="false">IF($A248="","",SUMIFS($P$5:$P$1004,$N$5:$N$1004,$A248))</f>
        <v/>
      </c>
      <c r="G248" s="15" t="str">
        <f aca="false">IF($A248="","",$E248-$F248)</f>
        <v/>
      </c>
      <c r="H248" s="22" t="str">
        <f aca="false">IF($A248="","",$B248+Settings!$B$11)</f>
        <v/>
      </c>
      <c r="I248" s="19" t="str">
        <f aca="true">IF($A248="","",IF($G248&lt;=0,"Paid",IF(TODAY()&gt;$H248,"Overdue",IF($F248&gt;0,"Partial","Unpaid"))))</f>
        <v/>
      </c>
      <c r="J248" s="14" t="str">
        <f aca="true">IF($A248="","",IF(AND($G248&gt;0,TODAY()&gt;$H248),TODAY()-$H248,""))</f>
        <v/>
      </c>
      <c r="K248" s="2" t="str">
        <f aca="false">IFERROR(MATCH(ROWS($K$5:$K248),Jobs!$Q$5:$Q$504,0),"")</f>
        <v/>
      </c>
      <c r="M248" s="16"/>
      <c r="N248" s="12"/>
      <c r="O248" s="12"/>
      <c r="P248" s="13"/>
      <c r="Q248" s="19" t="str">
        <f aca="false">IF($N248="","",IFERROR(INDEX($C$5:$C$504,MATCH($N248,$A$5:$A$504,0)),"Invoice not found"))</f>
        <v/>
      </c>
    </row>
    <row r="249" customFormat="false" ht="15" hidden="false" customHeight="false" outlineLevel="0" collapsed="false">
      <c r="A249" s="19" t="str">
        <f aca="false">IF($K249="","",INDEX(Jobs!$O$5:$O$504,$K249))</f>
        <v/>
      </c>
      <c r="B249" s="22" t="str">
        <f aca="false">IF($K249="","",INDEX(Jobs!$A$5:$A$504,$K249))</f>
        <v/>
      </c>
      <c r="C249" s="19" t="str">
        <f aca="false">IF($K249="","",INDEX(Jobs!$B$5:$B$504,$K249))</f>
        <v/>
      </c>
      <c r="D249" s="19" t="str">
        <f aca="false">IF($K249="","",INDEX(Jobs!$J$5:$J$504,$K249))</f>
        <v/>
      </c>
      <c r="E249" s="15" t="str">
        <f aca="false">IF($K249="","",INDEX(Jobs!$N$5:$N$504,$K249))</f>
        <v/>
      </c>
      <c r="F249" s="15" t="str">
        <f aca="false">IF($A249="","",SUMIFS($P$5:$P$1004,$N$5:$N$1004,$A249))</f>
        <v/>
      </c>
      <c r="G249" s="15" t="str">
        <f aca="false">IF($A249="","",$E249-$F249)</f>
        <v/>
      </c>
      <c r="H249" s="22" t="str">
        <f aca="false">IF($A249="","",$B249+Settings!$B$11)</f>
        <v/>
      </c>
      <c r="I249" s="19" t="str">
        <f aca="true">IF($A249="","",IF($G249&lt;=0,"Paid",IF(TODAY()&gt;$H249,"Overdue",IF($F249&gt;0,"Partial","Unpaid"))))</f>
        <v/>
      </c>
      <c r="J249" s="14" t="str">
        <f aca="true">IF($A249="","",IF(AND($G249&gt;0,TODAY()&gt;$H249),TODAY()-$H249,""))</f>
        <v/>
      </c>
      <c r="K249" s="2" t="str">
        <f aca="false">IFERROR(MATCH(ROWS($K$5:$K249),Jobs!$Q$5:$Q$504,0),"")</f>
        <v/>
      </c>
      <c r="M249" s="16"/>
      <c r="N249" s="12"/>
      <c r="O249" s="12"/>
      <c r="P249" s="13"/>
      <c r="Q249" s="19" t="str">
        <f aca="false">IF($N249="","",IFERROR(INDEX($C$5:$C$504,MATCH($N249,$A$5:$A$504,0)),"Invoice not found"))</f>
        <v/>
      </c>
    </row>
    <row r="250" customFormat="false" ht="15" hidden="false" customHeight="false" outlineLevel="0" collapsed="false">
      <c r="A250" s="19" t="str">
        <f aca="false">IF($K250="","",INDEX(Jobs!$O$5:$O$504,$K250))</f>
        <v/>
      </c>
      <c r="B250" s="22" t="str">
        <f aca="false">IF($K250="","",INDEX(Jobs!$A$5:$A$504,$K250))</f>
        <v/>
      </c>
      <c r="C250" s="19" t="str">
        <f aca="false">IF($K250="","",INDEX(Jobs!$B$5:$B$504,$K250))</f>
        <v/>
      </c>
      <c r="D250" s="19" t="str">
        <f aca="false">IF($K250="","",INDEX(Jobs!$J$5:$J$504,$K250))</f>
        <v/>
      </c>
      <c r="E250" s="15" t="str">
        <f aca="false">IF($K250="","",INDEX(Jobs!$N$5:$N$504,$K250))</f>
        <v/>
      </c>
      <c r="F250" s="15" t="str">
        <f aca="false">IF($A250="","",SUMIFS($P$5:$P$1004,$N$5:$N$1004,$A250))</f>
        <v/>
      </c>
      <c r="G250" s="15" t="str">
        <f aca="false">IF($A250="","",$E250-$F250)</f>
        <v/>
      </c>
      <c r="H250" s="22" t="str">
        <f aca="false">IF($A250="","",$B250+Settings!$B$11)</f>
        <v/>
      </c>
      <c r="I250" s="19" t="str">
        <f aca="true">IF($A250="","",IF($G250&lt;=0,"Paid",IF(TODAY()&gt;$H250,"Overdue",IF($F250&gt;0,"Partial","Unpaid"))))</f>
        <v/>
      </c>
      <c r="J250" s="14" t="str">
        <f aca="true">IF($A250="","",IF(AND($G250&gt;0,TODAY()&gt;$H250),TODAY()-$H250,""))</f>
        <v/>
      </c>
      <c r="K250" s="2" t="str">
        <f aca="false">IFERROR(MATCH(ROWS($K$5:$K250),Jobs!$Q$5:$Q$504,0),"")</f>
        <v/>
      </c>
      <c r="M250" s="16"/>
      <c r="N250" s="12"/>
      <c r="O250" s="12"/>
      <c r="P250" s="13"/>
      <c r="Q250" s="19" t="str">
        <f aca="false">IF($N250="","",IFERROR(INDEX($C$5:$C$504,MATCH($N250,$A$5:$A$504,0)),"Invoice not found"))</f>
        <v/>
      </c>
    </row>
    <row r="251" customFormat="false" ht="15" hidden="false" customHeight="false" outlineLevel="0" collapsed="false">
      <c r="A251" s="19" t="str">
        <f aca="false">IF($K251="","",INDEX(Jobs!$O$5:$O$504,$K251))</f>
        <v/>
      </c>
      <c r="B251" s="22" t="str">
        <f aca="false">IF($K251="","",INDEX(Jobs!$A$5:$A$504,$K251))</f>
        <v/>
      </c>
      <c r="C251" s="19" t="str">
        <f aca="false">IF($K251="","",INDEX(Jobs!$B$5:$B$504,$K251))</f>
        <v/>
      </c>
      <c r="D251" s="19" t="str">
        <f aca="false">IF($K251="","",INDEX(Jobs!$J$5:$J$504,$K251))</f>
        <v/>
      </c>
      <c r="E251" s="15" t="str">
        <f aca="false">IF($K251="","",INDEX(Jobs!$N$5:$N$504,$K251))</f>
        <v/>
      </c>
      <c r="F251" s="15" t="str">
        <f aca="false">IF($A251="","",SUMIFS($P$5:$P$1004,$N$5:$N$1004,$A251))</f>
        <v/>
      </c>
      <c r="G251" s="15" t="str">
        <f aca="false">IF($A251="","",$E251-$F251)</f>
        <v/>
      </c>
      <c r="H251" s="22" t="str">
        <f aca="false">IF($A251="","",$B251+Settings!$B$11)</f>
        <v/>
      </c>
      <c r="I251" s="19" t="str">
        <f aca="true">IF($A251="","",IF($G251&lt;=0,"Paid",IF(TODAY()&gt;$H251,"Overdue",IF($F251&gt;0,"Partial","Unpaid"))))</f>
        <v/>
      </c>
      <c r="J251" s="14" t="str">
        <f aca="true">IF($A251="","",IF(AND($G251&gt;0,TODAY()&gt;$H251),TODAY()-$H251,""))</f>
        <v/>
      </c>
      <c r="K251" s="2" t="str">
        <f aca="false">IFERROR(MATCH(ROWS($K$5:$K251),Jobs!$Q$5:$Q$504,0),"")</f>
        <v/>
      </c>
      <c r="M251" s="16"/>
      <c r="N251" s="12"/>
      <c r="O251" s="12"/>
      <c r="P251" s="13"/>
      <c r="Q251" s="19" t="str">
        <f aca="false">IF($N251="","",IFERROR(INDEX($C$5:$C$504,MATCH($N251,$A$5:$A$504,0)),"Invoice not found"))</f>
        <v/>
      </c>
    </row>
    <row r="252" customFormat="false" ht="15" hidden="false" customHeight="false" outlineLevel="0" collapsed="false">
      <c r="A252" s="19" t="str">
        <f aca="false">IF($K252="","",INDEX(Jobs!$O$5:$O$504,$K252))</f>
        <v/>
      </c>
      <c r="B252" s="22" t="str">
        <f aca="false">IF($K252="","",INDEX(Jobs!$A$5:$A$504,$K252))</f>
        <v/>
      </c>
      <c r="C252" s="19" t="str">
        <f aca="false">IF($K252="","",INDEX(Jobs!$B$5:$B$504,$K252))</f>
        <v/>
      </c>
      <c r="D252" s="19" t="str">
        <f aca="false">IF($K252="","",INDEX(Jobs!$J$5:$J$504,$K252))</f>
        <v/>
      </c>
      <c r="E252" s="15" t="str">
        <f aca="false">IF($K252="","",INDEX(Jobs!$N$5:$N$504,$K252))</f>
        <v/>
      </c>
      <c r="F252" s="15" t="str">
        <f aca="false">IF($A252="","",SUMIFS($P$5:$P$1004,$N$5:$N$1004,$A252))</f>
        <v/>
      </c>
      <c r="G252" s="15" t="str">
        <f aca="false">IF($A252="","",$E252-$F252)</f>
        <v/>
      </c>
      <c r="H252" s="22" t="str">
        <f aca="false">IF($A252="","",$B252+Settings!$B$11)</f>
        <v/>
      </c>
      <c r="I252" s="19" t="str">
        <f aca="true">IF($A252="","",IF($G252&lt;=0,"Paid",IF(TODAY()&gt;$H252,"Overdue",IF($F252&gt;0,"Partial","Unpaid"))))</f>
        <v/>
      </c>
      <c r="J252" s="14" t="str">
        <f aca="true">IF($A252="","",IF(AND($G252&gt;0,TODAY()&gt;$H252),TODAY()-$H252,""))</f>
        <v/>
      </c>
      <c r="K252" s="2" t="str">
        <f aca="false">IFERROR(MATCH(ROWS($K$5:$K252),Jobs!$Q$5:$Q$504,0),"")</f>
        <v/>
      </c>
      <c r="M252" s="16"/>
      <c r="N252" s="12"/>
      <c r="O252" s="12"/>
      <c r="P252" s="13"/>
      <c r="Q252" s="19" t="str">
        <f aca="false">IF($N252="","",IFERROR(INDEX($C$5:$C$504,MATCH($N252,$A$5:$A$504,0)),"Invoice not found"))</f>
        <v/>
      </c>
    </row>
    <row r="253" customFormat="false" ht="15" hidden="false" customHeight="false" outlineLevel="0" collapsed="false">
      <c r="A253" s="19" t="str">
        <f aca="false">IF($K253="","",INDEX(Jobs!$O$5:$O$504,$K253))</f>
        <v/>
      </c>
      <c r="B253" s="22" t="str">
        <f aca="false">IF($K253="","",INDEX(Jobs!$A$5:$A$504,$K253))</f>
        <v/>
      </c>
      <c r="C253" s="19" t="str">
        <f aca="false">IF($K253="","",INDEX(Jobs!$B$5:$B$504,$K253))</f>
        <v/>
      </c>
      <c r="D253" s="19" t="str">
        <f aca="false">IF($K253="","",INDEX(Jobs!$J$5:$J$504,$K253))</f>
        <v/>
      </c>
      <c r="E253" s="15" t="str">
        <f aca="false">IF($K253="","",INDEX(Jobs!$N$5:$N$504,$K253))</f>
        <v/>
      </c>
      <c r="F253" s="15" t="str">
        <f aca="false">IF($A253="","",SUMIFS($P$5:$P$1004,$N$5:$N$1004,$A253))</f>
        <v/>
      </c>
      <c r="G253" s="15" t="str">
        <f aca="false">IF($A253="","",$E253-$F253)</f>
        <v/>
      </c>
      <c r="H253" s="22" t="str">
        <f aca="false">IF($A253="","",$B253+Settings!$B$11)</f>
        <v/>
      </c>
      <c r="I253" s="19" t="str">
        <f aca="true">IF($A253="","",IF($G253&lt;=0,"Paid",IF(TODAY()&gt;$H253,"Overdue",IF($F253&gt;0,"Partial","Unpaid"))))</f>
        <v/>
      </c>
      <c r="J253" s="14" t="str">
        <f aca="true">IF($A253="","",IF(AND($G253&gt;0,TODAY()&gt;$H253),TODAY()-$H253,""))</f>
        <v/>
      </c>
      <c r="K253" s="2" t="str">
        <f aca="false">IFERROR(MATCH(ROWS($K$5:$K253),Jobs!$Q$5:$Q$504,0),"")</f>
        <v/>
      </c>
      <c r="M253" s="16"/>
      <c r="N253" s="12"/>
      <c r="O253" s="12"/>
      <c r="P253" s="13"/>
      <c r="Q253" s="19" t="str">
        <f aca="false">IF($N253="","",IFERROR(INDEX($C$5:$C$504,MATCH($N253,$A$5:$A$504,0)),"Invoice not found"))</f>
        <v/>
      </c>
    </row>
    <row r="254" customFormat="false" ht="15" hidden="false" customHeight="false" outlineLevel="0" collapsed="false">
      <c r="A254" s="19" t="str">
        <f aca="false">IF($K254="","",INDEX(Jobs!$O$5:$O$504,$K254))</f>
        <v/>
      </c>
      <c r="B254" s="22" t="str">
        <f aca="false">IF($K254="","",INDEX(Jobs!$A$5:$A$504,$K254))</f>
        <v/>
      </c>
      <c r="C254" s="19" t="str">
        <f aca="false">IF($K254="","",INDEX(Jobs!$B$5:$B$504,$K254))</f>
        <v/>
      </c>
      <c r="D254" s="19" t="str">
        <f aca="false">IF($K254="","",INDEX(Jobs!$J$5:$J$504,$K254))</f>
        <v/>
      </c>
      <c r="E254" s="15" t="str">
        <f aca="false">IF($K254="","",INDEX(Jobs!$N$5:$N$504,$K254))</f>
        <v/>
      </c>
      <c r="F254" s="15" t="str">
        <f aca="false">IF($A254="","",SUMIFS($P$5:$P$1004,$N$5:$N$1004,$A254))</f>
        <v/>
      </c>
      <c r="G254" s="15" t="str">
        <f aca="false">IF($A254="","",$E254-$F254)</f>
        <v/>
      </c>
      <c r="H254" s="22" t="str">
        <f aca="false">IF($A254="","",$B254+Settings!$B$11)</f>
        <v/>
      </c>
      <c r="I254" s="19" t="str">
        <f aca="true">IF($A254="","",IF($G254&lt;=0,"Paid",IF(TODAY()&gt;$H254,"Overdue",IF($F254&gt;0,"Partial","Unpaid"))))</f>
        <v/>
      </c>
      <c r="J254" s="14" t="str">
        <f aca="true">IF($A254="","",IF(AND($G254&gt;0,TODAY()&gt;$H254),TODAY()-$H254,""))</f>
        <v/>
      </c>
      <c r="K254" s="2" t="str">
        <f aca="false">IFERROR(MATCH(ROWS($K$5:$K254),Jobs!$Q$5:$Q$504,0),"")</f>
        <v/>
      </c>
      <c r="M254" s="16"/>
      <c r="N254" s="12"/>
      <c r="O254" s="12"/>
      <c r="P254" s="13"/>
      <c r="Q254" s="19" t="str">
        <f aca="false">IF($N254="","",IFERROR(INDEX($C$5:$C$504,MATCH($N254,$A$5:$A$504,0)),"Invoice not found"))</f>
        <v/>
      </c>
    </row>
    <row r="255" customFormat="false" ht="15" hidden="false" customHeight="false" outlineLevel="0" collapsed="false">
      <c r="A255" s="19" t="str">
        <f aca="false">IF($K255="","",INDEX(Jobs!$O$5:$O$504,$K255))</f>
        <v/>
      </c>
      <c r="B255" s="22" t="str">
        <f aca="false">IF($K255="","",INDEX(Jobs!$A$5:$A$504,$K255))</f>
        <v/>
      </c>
      <c r="C255" s="19" t="str">
        <f aca="false">IF($K255="","",INDEX(Jobs!$B$5:$B$504,$K255))</f>
        <v/>
      </c>
      <c r="D255" s="19" t="str">
        <f aca="false">IF($K255="","",INDEX(Jobs!$J$5:$J$504,$K255))</f>
        <v/>
      </c>
      <c r="E255" s="15" t="str">
        <f aca="false">IF($K255="","",INDEX(Jobs!$N$5:$N$504,$K255))</f>
        <v/>
      </c>
      <c r="F255" s="15" t="str">
        <f aca="false">IF($A255="","",SUMIFS($P$5:$P$1004,$N$5:$N$1004,$A255))</f>
        <v/>
      </c>
      <c r="G255" s="15" t="str">
        <f aca="false">IF($A255="","",$E255-$F255)</f>
        <v/>
      </c>
      <c r="H255" s="22" t="str">
        <f aca="false">IF($A255="","",$B255+Settings!$B$11)</f>
        <v/>
      </c>
      <c r="I255" s="19" t="str">
        <f aca="true">IF($A255="","",IF($G255&lt;=0,"Paid",IF(TODAY()&gt;$H255,"Overdue",IF($F255&gt;0,"Partial","Unpaid"))))</f>
        <v/>
      </c>
      <c r="J255" s="14" t="str">
        <f aca="true">IF($A255="","",IF(AND($G255&gt;0,TODAY()&gt;$H255),TODAY()-$H255,""))</f>
        <v/>
      </c>
      <c r="K255" s="2" t="str">
        <f aca="false">IFERROR(MATCH(ROWS($K$5:$K255),Jobs!$Q$5:$Q$504,0),"")</f>
        <v/>
      </c>
      <c r="M255" s="16"/>
      <c r="N255" s="12"/>
      <c r="O255" s="12"/>
      <c r="P255" s="13"/>
      <c r="Q255" s="19" t="str">
        <f aca="false">IF($N255="","",IFERROR(INDEX($C$5:$C$504,MATCH($N255,$A$5:$A$504,0)),"Invoice not found"))</f>
        <v/>
      </c>
    </row>
    <row r="256" customFormat="false" ht="15" hidden="false" customHeight="false" outlineLevel="0" collapsed="false">
      <c r="A256" s="19" t="str">
        <f aca="false">IF($K256="","",INDEX(Jobs!$O$5:$O$504,$K256))</f>
        <v/>
      </c>
      <c r="B256" s="22" t="str">
        <f aca="false">IF($K256="","",INDEX(Jobs!$A$5:$A$504,$K256))</f>
        <v/>
      </c>
      <c r="C256" s="19" t="str">
        <f aca="false">IF($K256="","",INDEX(Jobs!$B$5:$B$504,$K256))</f>
        <v/>
      </c>
      <c r="D256" s="19" t="str">
        <f aca="false">IF($K256="","",INDEX(Jobs!$J$5:$J$504,$K256))</f>
        <v/>
      </c>
      <c r="E256" s="15" t="str">
        <f aca="false">IF($K256="","",INDEX(Jobs!$N$5:$N$504,$K256))</f>
        <v/>
      </c>
      <c r="F256" s="15" t="str">
        <f aca="false">IF($A256="","",SUMIFS($P$5:$P$1004,$N$5:$N$1004,$A256))</f>
        <v/>
      </c>
      <c r="G256" s="15" t="str">
        <f aca="false">IF($A256="","",$E256-$F256)</f>
        <v/>
      </c>
      <c r="H256" s="22" t="str">
        <f aca="false">IF($A256="","",$B256+Settings!$B$11)</f>
        <v/>
      </c>
      <c r="I256" s="19" t="str">
        <f aca="true">IF($A256="","",IF($G256&lt;=0,"Paid",IF(TODAY()&gt;$H256,"Overdue",IF($F256&gt;0,"Partial","Unpaid"))))</f>
        <v/>
      </c>
      <c r="J256" s="14" t="str">
        <f aca="true">IF($A256="","",IF(AND($G256&gt;0,TODAY()&gt;$H256),TODAY()-$H256,""))</f>
        <v/>
      </c>
      <c r="K256" s="2" t="str">
        <f aca="false">IFERROR(MATCH(ROWS($K$5:$K256),Jobs!$Q$5:$Q$504,0),"")</f>
        <v/>
      </c>
      <c r="M256" s="16"/>
      <c r="N256" s="12"/>
      <c r="O256" s="12"/>
      <c r="P256" s="13"/>
      <c r="Q256" s="19" t="str">
        <f aca="false">IF($N256="","",IFERROR(INDEX($C$5:$C$504,MATCH($N256,$A$5:$A$504,0)),"Invoice not found"))</f>
        <v/>
      </c>
    </row>
    <row r="257" customFormat="false" ht="15" hidden="false" customHeight="false" outlineLevel="0" collapsed="false">
      <c r="A257" s="19" t="str">
        <f aca="false">IF($K257="","",INDEX(Jobs!$O$5:$O$504,$K257))</f>
        <v/>
      </c>
      <c r="B257" s="22" t="str">
        <f aca="false">IF($K257="","",INDEX(Jobs!$A$5:$A$504,$K257))</f>
        <v/>
      </c>
      <c r="C257" s="19" t="str">
        <f aca="false">IF($K257="","",INDEX(Jobs!$B$5:$B$504,$K257))</f>
        <v/>
      </c>
      <c r="D257" s="19" t="str">
        <f aca="false">IF($K257="","",INDEX(Jobs!$J$5:$J$504,$K257))</f>
        <v/>
      </c>
      <c r="E257" s="15" t="str">
        <f aca="false">IF($K257="","",INDEX(Jobs!$N$5:$N$504,$K257))</f>
        <v/>
      </c>
      <c r="F257" s="15" t="str">
        <f aca="false">IF($A257="","",SUMIFS($P$5:$P$1004,$N$5:$N$1004,$A257))</f>
        <v/>
      </c>
      <c r="G257" s="15" t="str">
        <f aca="false">IF($A257="","",$E257-$F257)</f>
        <v/>
      </c>
      <c r="H257" s="22" t="str">
        <f aca="false">IF($A257="","",$B257+Settings!$B$11)</f>
        <v/>
      </c>
      <c r="I257" s="19" t="str">
        <f aca="true">IF($A257="","",IF($G257&lt;=0,"Paid",IF(TODAY()&gt;$H257,"Overdue",IF($F257&gt;0,"Partial","Unpaid"))))</f>
        <v/>
      </c>
      <c r="J257" s="14" t="str">
        <f aca="true">IF($A257="","",IF(AND($G257&gt;0,TODAY()&gt;$H257),TODAY()-$H257,""))</f>
        <v/>
      </c>
      <c r="K257" s="2" t="str">
        <f aca="false">IFERROR(MATCH(ROWS($K$5:$K257),Jobs!$Q$5:$Q$504,0),"")</f>
        <v/>
      </c>
      <c r="M257" s="16"/>
      <c r="N257" s="12"/>
      <c r="O257" s="12"/>
      <c r="P257" s="13"/>
      <c r="Q257" s="19" t="str">
        <f aca="false">IF($N257="","",IFERROR(INDEX($C$5:$C$504,MATCH($N257,$A$5:$A$504,0)),"Invoice not found"))</f>
        <v/>
      </c>
    </row>
    <row r="258" customFormat="false" ht="15" hidden="false" customHeight="false" outlineLevel="0" collapsed="false">
      <c r="A258" s="19" t="str">
        <f aca="false">IF($K258="","",INDEX(Jobs!$O$5:$O$504,$K258))</f>
        <v/>
      </c>
      <c r="B258" s="22" t="str">
        <f aca="false">IF($K258="","",INDEX(Jobs!$A$5:$A$504,$K258))</f>
        <v/>
      </c>
      <c r="C258" s="19" t="str">
        <f aca="false">IF($K258="","",INDEX(Jobs!$B$5:$B$504,$K258))</f>
        <v/>
      </c>
      <c r="D258" s="19" t="str">
        <f aca="false">IF($K258="","",INDEX(Jobs!$J$5:$J$504,$K258))</f>
        <v/>
      </c>
      <c r="E258" s="15" t="str">
        <f aca="false">IF($K258="","",INDEX(Jobs!$N$5:$N$504,$K258))</f>
        <v/>
      </c>
      <c r="F258" s="15" t="str">
        <f aca="false">IF($A258="","",SUMIFS($P$5:$P$1004,$N$5:$N$1004,$A258))</f>
        <v/>
      </c>
      <c r="G258" s="15" t="str">
        <f aca="false">IF($A258="","",$E258-$F258)</f>
        <v/>
      </c>
      <c r="H258" s="22" t="str">
        <f aca="false">IF($A258="","",$B258+Settings!$B$11)</f>
        <v/>
      </c>
      <c r="I258" s="19" t="str">
        <f aca="true">IF($A258="","",IF($G258&lt;=0,"Paid",IF(TODAY()&gt;$H258,"Overdue",IF($F258&gt;0,"Partial","Unpaid"))))</f>
        <v/>
      </c>
      <c r="J258" s="14" t="str">
        <f aca="true">IF($A258="","",IF(AND($G258&gt;0,TODAY()&gt;$H258),TODAY()-$H258,""))</f>
        <v/>
      </c>
      <c r="K258" s="2" t="str">
        <f aca="false">IFERROR(MATCH(ROWS($K$5:$K258),Jobs!$Q$5:$Q$504,0),"")</f>
        <v/>
      </c>
      <c r="M258" s="16"/>
      <c r="N258" s="12"/>
      <c r="O258" s="12"/>
      <c r="P258" s="13"/>
      <c r="Q258" s="19" t="str">
        <f aca="false">IF($N258="","",IFERROR(INDEX($C$5:$C$504,MATCH($N258,$A$5:$A$504,0)),"Invoice not found"))</f>
        <v/>
      </c>
    </row>
    <row r="259" customFormat="false" ht="15" hidden="false" customHeight="false" outlineLevel="0" collapsed="false">
      <c r="A259" s="19" t="str">
        <f aca="false">IF($K259="","",INDEX(Jobs!$O$5:$O$504,$K259))</f>
        <v/>
      </c>
      <c r="B259" s="22" t="str">
        <f aca="false">IF($K259="","",INDEX(Jobs!$A$5:$A$504,$K259))</f>
        <v/>
      </c>
      <c r="C259" s="19" t="str">
        <f aca="false">IF($K259="","",INDEX(Jobs!$B$5:$B$504,$K259))</f>
        <v/>
      </c>
      <c r="D259" s="19" t="str">
        <f aca="false">IF($K259="","",INDEX(Jobs!$J$5:$J$504,$K259))</f>
        <v/>
      </c>
      <c r="E259" s="15" t="str">
        <f aca="false">IF($K259="","",INDEX(Jobs!$N$5:$N$504,$K259))</f>
        <v/>
      </c>
      <c r="F259" s="15" t="str">
        <f aca="false">IF($A259="","",SUMIFS($P$5:$P$1004,$N$5:$N$1004,$A259))</f>
        <v/>
      </c>
      <c r="G259" s="15" t="str">
        <f aca="false">IF($A259="","",$E259-$F259)</f>
        <v/>
      </c>
      <c r="H259" s="22" t="str">
        <f aca="false">IF($A259="","",$B259+Settings!$B$11)</f>
        <v/>
      </c>
      <c r="I259" s="19" t="str">
        <f aca="true">IF($A259="","",IF($G259&lt;=0,"Paid",IF(TODAY()&gt;$H259,"Overdue",IF($F259&gt;0,"Partial","Unpaid"))))</f>
        <v/>
      </c>
      <c r="J259" s="14" t="str">
        <f aca="true">IF($A259="","",IF(AND($G259&gt;0,TODAY()&gt;$H259),TODAY()-$H259,""))</f>
        <v/>
      </c>
      <c r="K259" s="2" t="str">
        <f aca="false">IFERROR(MATCH(ROWS($K$5:$K259),Jobs!$Q$5:$Q$504,0),"")</f>
        <v/>
      </c>
      <c r="M259" s="16"/>
      <c r="N259" s="12"/>
      <c r="O259" s="12"/>
      <c r="P259" s="13"/>
      <c r="Q259" s="19" t="str">
        <f aca="false">IF($N259="","",IFERROR(INDEX($C$5:$C$504,MATCH($N259,$A$5:$A$504,0)),"Invoice not found"))</f>
        <v/>
      </c>
    </row>
    <row r="260" customFormat="false" ht="15" hidden="false" customHeight="false" outlineLevel="0" collapsed="false">
      <c r="A260" s="19" t="str">
        <f aca="false">IF($K260="","",INDEX(Jobs!$O$5:$O$504,$K260))</f>
        <v/>
      </c>
      <c r="B260" s="22" t="str">
        <f aca="false">IF($K260="","",INDEX(Jobs!$A$5:$A$504,$K260))</f>
        <v/>
      </c>
      <c r="C260" s="19" t="str">
        <f aca="false">IF($K260="","",INDEX(Jobs!$B$5:$B$504,$K260))</f>
        <v/>
      </c>
      <c r="D260" s="19" t="str">
        <f aca="false">IF($K260="","",INDEX(Jobs!$J$5:$J$504,$K260))</f>
        <v/>
      </c>
      <c r="E260" s="15" t="str">
        <f aca="false">IF($K260="","",INDEX(Jobs!$N$5:$N$504,$K260))</f>
        <v/>
      </c>
      <c r="F260" s="15" t="str">
        <f aca="false">IF($A260="","",SUMIFS($P$5:$P$1004,$N$5:$N$1004,$A260))</f>
        <v/>
      </c>
      <c r="G260" s="15" t="str">
        <f aca="false">IF($A260="","",$E260-$F260)</f>
        <v/>
      </c>
      <c r="H260" s="22" t="str">
        <f aca="false">IF($A260="","",$B260+Settings!$B$11)</f>
        <v/>
      </c>
      <c r="I260" s="19" t="str">
        <f aca="true">IF($A260="","",IF($G260&lt;=0,"Paid",IF(TODAY()&gt;$H260,"Overdue",IF($F260&gt;0,"Partial","Unpaid"))))</f>
        <v/>
      </c>
      <c r="J260" s="14" t="str">
        <f aca="true">IF($A260="","",IF(AND($G260&gt;0,TODAY()&gt;$H260),TODAY()-$H260,""))</f>
        <v/>
      </c>
      <c r="K260" s="2" t="str">
        <f aca="false">IFERROR(MATCH(ROWS($K$5:$K260),Jobs!$Q$5:$Q$504,0),"")</f>
        <v/>
      </c>
      <c r="M260" s="16"/>
      <c r="N260" s="12"/>
      <c r="O260" s="12"/>
      <c r="P260" s="13"/>
      <c r="Q260" s="19" t="str">
        <f aca="false">IF($N260="","",IFERROR(INDEX($C$5:$C$504,MATCH($N260,$A$5:$A$504,0)),"Invoice not found"))</f>
        <v/>
      </c>
    </row>
    <row r="261" customFormat="false" ht="15" hidden="false" customHeight="false" outlineLevel="0" collapsed="false">
      <c r="A261" s="19" t="str">
        <f aca="false">IF($K261="","",INDEX(Jobs!$O$5:$O$504,$K261))</f>
        <v/>
      </c>
      <c r="B261" s="22" t="str">
        <f aca="false">IF($K261="","",INDEX(Jobs!$A$5:$A$504,$K261))</f>
        <v/>
      </c>
      <c r="C261" s="19" t="str">
        <f aca="false">IF($K261="","",INDEX(Jobs!$B$5:$B$504,$K261))</f>
        <v/>
      </c>
      <c r="D261" s="19" t="str">
        <f aca="false">IF($K261="","",INDEX(Jobs!$J$5:$J$504,$K261))</f>
        <v/>
      </c>
      <c r="E261" s="15" t="str">
        <f aca="false">IF($K261="","",INDEX(Jobs!$N$5:$N$504,$K261))</f>
        <v/>
      </c>
      <c r="F261" s="15" t="str">
        <f aca="false">IF($A261="","",SUMIFS($P$5:$P$1004,$N$5:$N$1004,$A261))</f>
        <v/>
      </c>
      <c r="G261" s="15" t="str">
        <f aca="false">IF($A261="","",$E261-$F261)</f>
        <v/>
      </c>
      <c r="H261" s="22" t="str">
        <f aca="false">IF($A261="","",$B261+Settings!$B$11)</f>
        <v/>
      </c>
      <c r="I261" s="19" t="str">
        <f aca="true">IF($A261="","",IF($G261&lt;=0,"Paid",IF(TODAY()&gt;$H261,"Overdue",IF($F261&gt;0,"Partial","Unpaid"))))</f>
        <v/>
      </c>
      <c r="J261" s="14" t="str">
        <f aca="true">IF($A261="","",IF(AND($G261&gt;0,TODAY()&gt;$H261),TODAY()-$H261,""))</f>
        <v/>
      </c>
      <c r="K261" s="2" t="str">
        <f aca="false">IFERROR(MATCH(ROWS($K$5:$K261),Jobs!$Q$5:$Q$504,0),"")</f>
        <v/>
      </c>
      <c r="M261" s="16"/>
      <c r="N261" s="12"/>
      <c r="O261" s="12"/>
      <c r="P261" s="13"/>
      <c r="Q261" s="19" t="str">
        <f aca="false">IF($N261="","",IFERROR(INDEX($C$5:$C$504,MATCH($N261,$A$5:$A$504,0)),"Invoice not found"))</f>
        <v/>
      </c>
    </row>
    <row r="262" customFormat="false" ht="15" hidden="false" customHeight="false" outlineLevel="0" collapsed="false">
      <c r="A262" s="19" t="str">
        <f aca="false">IF($K262="","",INDEX(Jobs!$O$5:$O$504,$K262))</f>
        <v/>
      </c>
      <c r="B262" s="22" t="str">
        <f aca="false">IF($K262="","",INDEX(Jobs!$A$5:$A$504,$K262))</f>
        <v/>
      </c>
      <c r="C262" s="19" t="str">
        <f aca="false">IF($K262="","",INDEX(Jobs!$B$5:$B$504,$K262))</f>
        <v/>
      </c>
      <c r="D262" s="19" t="str">
        <f aca="false">IF($K262="","",INDEX(Jobs!$J$5:$J$504,$K262))</f>
        <v/>
      </c>
      <c r="E262" s="15" t="str">
        <f aca="false">IF($K262="","",INDEX(Jobs!$N$5:$N$504,$K262))</f>
        <v/>
      </c>
      <c r="F262" s="15" t="str">
        <f aca="false">IF($A262="","",SUMIFS($P$5:$P$1004,$N$5:$N$1004,$A262))</f>
        <v/>
      </c>
      <c r="G262" s="15" t="str">
        <f aca="false">IF($A262="","",$E262-$F262)</f>
        <v/>
      </c>
      <c r="H262" s="22" t="str">
        <f aca="false">IF($A262="","",$B262+Settings!$B$11)</f>
        <v/>
      </c>
      <c r="I262" s="19" t="str">
        <f aca="true">IF($A262="","",IF($G262&lt;=0,"Paid",IF(TODAY()&gt;$H262,"Overdue",IF($F262&gt;0,"Partial","Unpaid"))))</f>
        <v/>
      </c>
      <c r="J262" s="14" t="str">
        <f aca="true">IF($A262="","",IF(AND($G262&gt;0,TODAY()&gt;$H262),TODAY()-$H262,""))</f>
        <v/>
      </c>
      <c r="K262" s="2" t="str">
        <f aca="false">IFERROR(MATCH(ROWS($K$5:$K262),Jobs!$Q$5:$Q$504,0),"")</f>
        <v/>
      </c>
      <c r="M262" s="16"/>
      <c r="N262" s="12"/>
      <c r="O262" s="12"/>
      <c r="P262" s="13"/>
      <c r="Q262" s="19" t="str">
        <f aca="false">IF($N262="","",IFERROR(INDEX($C$5:$C$504,MATCH($N262,$A$5:$A$504,0)),"Invoice not found"))</f>
        <v/>
      </c>
    </row>
    <row r="263" customFormat="false" ht="15" hidden="false" customHeight="false" outlineLevel="0" collapsed="false">
      <c r="A263" s="19" t="str">
        <f aca="false">IF($K263="","",INDEX(Jobs!$O$5:$O$504,$K263))</f>
        <v/>
      </c>
      <c r="B263" s="22" t="str">
        <f aca="false">IF($K263="","",INDEX(Jobs!$A$5:$A$504,$K263))</f>
        <v/>
      </c>
      <c r="C263" s="19" t="str">
        <f aca="false">IF($K263="","",INDEX(Jobs!$B$5:$B$504,$K263))</f>
        <v/>
      </c>
      <c r="D263" s="19" t="str">
        <f aca="false">IF($K263="","",INDEX(Jobs!$J$5:$J$504,$K263))</f>
        <v/>
      </c>
      <c r="E263" s="15" t="str">
        <f aca="false">IF($K263="","",INDEX(Jobs!$N$5:$N$504,$K263))</f>
        <v/>
      </c>
      <c r="F263" s="15" t="str">
        <f aca="false">IF($A263="","",SUMIFS($P$5:$P$1004,$N$5:$N$1004,$A263))</f>
        <v/>
      </c>
      <c r="G263" s="15" t="str">
        <f aca="false">IF($A263="","",$E263-$F263)</f>
        <v/>
      </c>
      <c r="H263" s="22" t="str">
        <f aca="false">IF($A263="","",$B263+Settings!$B$11)</f>
        <v/>
      </c>
      <c r="I263" s="19" t="str">
        <f aca="true">IF($A263="","",IF($G263&lt;=0,"Paid",IF(TODAY()&gt;$H263,"Overdue",IF($F263&gt;0,"Partial","Unpaid"))))</f>
        <v/>
      </c>
      <c r="J263" s="14" t="str">
        <f aca="true">IF($A263="","",IF(AND($G263&gt;0,TODAY()&gt;$H263),TODAY()-$H263,""))</f>
        <v/>
      </c>
      <c r="K263" s="2" t="str">
        <f aca="false">IFERROR(MATCH(ROWS($K$5:$K263),Jobs!$Q$5:$Q$504,0),"")</f>
        <v/>
      </c>
      <c r="M263" s="16"/>
      <c r="N263" s="12"/>
      <c r="O263" s="12"/>
      <c r="P263" s="13"/>
      <c r="Q263" s="19" t="str">
        <f aca="false">IF($N263="","",IFERROR(INDEX($C$5:$C$504,MATCH($N263,$A$5:$A$504,0)),"Invoice not found"))</f>
        <v/>
      </c>
    </row>
    <row r="264" customFormat="false" ht="15" hidden="false" customHeight="false" outlineLevel="0" collapsed="false">
      <c r="A264" s="19" t="str">
        <f aca="false">IF($K264="","",INDEX(Jobs!$O$5:$O$504,$K264))</f>
        <v/>
      </c>
      <c r="B264" s="22" t="str">
        <f aca="false">IF($K264="","",INDEX(Jobs!$A$5:$A$504,$K264))</f>
        <v/>
      </c>
      <c r="C264" s="19" t="str">
        <f aca="false">IF($K264="","",INDEX(Jobs!$B$5:$B$504,$K264))</f>
        <v/>
      </c>
      <c r="D264" s="19" t="str">
        <f aca="false">IF($K264="","",INDEX(Jobs!$J$5:$J$504,$K264))</f>
        <v/>
      </c>
      <c r="E264" s="15" t="str">
        <f aca="false">IF($K264="","",INDEX(Jobs!$N$5:$N$504,$K264))</f>
        <v/>
      </c>
      <c r="F264" s="15" t="str">
        <f aca="false">IF($A264="","",SUMIFS($P$5:$P$1004,$N$5:$N$1004,$A264))</f>
        <v/>
      </c>
      <c r="G264" s="15" t="str">
        <f aca="false">IF($A264="","",$E264-$F264)</f>
        <v/>
      </c>
      <c r="H264" s="22" t="str">
        <f aca="false">IF($A264="","",$B264+Settings!$B$11)</f>
        <v/>
      </c>
      <c r="I264" s="19" t="str">
        <f aca="true">IF($A264="","",IF($G264&lt;=0,"Paid",IF(TODAY()&gt;$H264,"Overdue",IF($F264&gt;0,"Partial","Unpaid"))))</f>
        <v/>
      </c>
      <c r="J264" s="14" t="str">
        <f aca="true">IF($A264="","",IF(AND($G264&gt;0,TODAY()&gt;$H264),TODAY()-$H264,""))</f>
        <v/>
      </c>
      <c r="K264" s="2" t="str">
        <f aca="false">IFERROR(MATCH(ROWS($K$5:$K264),Jobs!$Q$5:$Q$504,0),"")</f>
        <v/>
      </c>
      <c r="M264" s="16"/>
      <c r="N264" s="12"/>
      <c r="O264" s="12"/>
      <c r="P264" s="13"/>
      <c r="Q264" s="19" t="str">
        <f aca="false">IF($N264="","",IFERROR(INDEX($C$5:$C$504,MATCH($N264,$A$5:$A$504,0)),"Invoice not found"))</f>
        <v/>
      </c>
    </row>
    <row r="265" customFormat="false" ht="15" hidden="false" customHeight="false" outlineLevel="0" collapsed="false">
      <c r="A265" s="19" t="str">
        <f aca="false">IF($K265="","",INDEX(Jobs!$O$5:$O$504,$K265))</f>
        <v/>
      </c>
      <c r="B265" s="22" t="str">
        <f aca="false">IF($K265="","",INDEX(Jobs!$A$5:$A$504,$K265))</f>
        <v/>
      </c>
      <c r="C265" s="19" t="str">
        <f aca="false">IF($K265="","",INDEX(Jobs!$B$5:$B$504,$K265))</f>
        <v/>
      </c>
      <c r="D265" s="19" t="str">
        <f aca="false">IF($K265="","",INDEX(Jobs!$J$5:$J$504,$K265))</f>
        <v/>
      </c>
      <c r="E265" s="15" t="str">
        <f aca="false">IF($K265="","",INDEX(Jobs!$N$5:$N$504,$K265))</f>
        <v/>
      </c>
      <c r="F265" s="15" t="str">
        <f aca="false">IF($A265="","",SUMIFS($P$5:$P$1004,$N$5:$N$1004,$A265))</f>
        <v/>
      </c>
      <c r="G265" s="15" t="str">
        <f aca="false">IF($A265="","",$E265-$F265)</f>
        <v/>
      </c>
      <c r="H265" s="22" t="str">
        <f aca="false">IF($A265="","",$B265+Settings!$B$11)</f>
        <v/>
      </c>
      <c r="I265" s="19" t="str">
        <f aca="true">IF($A265="","",IF($G265&lt;=0,"Paid",IF(TODAY()&gt;$H265,"Overdue",IF($F265&gt;0,"Partial","Unpaid"))))</f>
        <v/>
      </c>
      <c r="J265" s="14" t="str">
        <f aca="true">IF($A265="","",IF(AND($G265&gt;0,TODAY()&gt;$H265),TODAY()-$H265,""))</f>
        <v/>
      </c>
      <c r="K265" s="2" t="str">
        <f aca="false">IFERROR(MATCH(ROWS($K$5:$K265),Jobs!$Q$5:$Q$504,0),"")</f>
        <v/>
      </c>
      <c r="M265" s="16"/>
      <c r="N265" s="12"/>
      <c r="O265" s="12"/>
      <c r="P265" s="13"/>
      <c r="Q265" s="19" t="str">
        <f aca="false">IF($N265="","",IFERROR(INDEX($C$5:$C$504,MATCH($N265,$A$5:$A$504,0)),"Invoice not found"))</f>
        <v/>
      </c>
    </row>
    <row r="266" customFormat="false" ht="15" hidden="false" customHeight="false" outlineLevel="0" collapsed="false">
      <c r="A266" s="19" t="str">
        <f aca="false">IF($K266="","",INDEX(Jobs!$O$5:$O$504,$K266))</f>
        <v/>
      </c>
      <c r="B266" s="22" t="str">
        <f aca="false">IF($K266="","",INDEX(Jobs!$A$5:$A$504,$K266))</f>
        <v/>
      </c>
      <c r="C266" s="19" t="str">
        <f aca="false">IF($K266="","",INDEX(Jobs!$B$5:$B$504,$K266))</f>
        <v/>
      </c>
      <c r="D266" s="19" t="str">
        <f aca="false">IF($K266="","",INDEX(Jobs!$J$5:$J$504,$K266))</f>
        <v/>
      </c>
      <c r="E266" s="15" t="str">
        <f aca="false">IF($K266="","",INDEX(Jobs!$N$5:$N$504,$K266))</f>
        <v/>
      </c>
      <c r="F266" s="15" t="str">
        <f aca="false">IF($A266="","",SUMIFS($P$5:$P$1004,$N$5:$N$1004,$A266))</f>
        <v/>
      </c>
      <c r="G266" s="15" t="str">
        <f aca="false">IF($A266="","",$E266-$F266)</f>
        <v/>
      </c>
      <c r="H266" s="22" t="str">
        <f aca="false">IF($A266="","",$B266+Settings!$B$11)</f>
        <v/>
      </c>
      <c r="I266" s="19" t="str">
        <f aca="true">IF($A266="","",IF($G266&lt;=0,"Paid",IF(TODAY()&gt;$H266,"Overdue",IF($F266&gt;0,"Partial","Unpaid"))))</f>
        <v/>
      </c>
      <c r="J266" s="14" t="str">
        <f aca="true">IF($A266="","",IF(AND($G266&gt;0,TODAY()&gt;$H266),TODAY()-$H266,""))</f>
        <v/>
      </c>
      <c r="K266" s="2" t="str">
        <f aca="false">IFERROR(MATCH(ROWS($K$5:$K266),Jobs!$Q$5:$Q$504,0),"")</f>
        <v/>
      </c>
      <c r="M266" s="16"/>
      <c r="N266" s="12"/>
      <c r="O266" s="12"/>
      <c r="P266" s="13"/>
      <c r="Q266" s="19" t="str">
        <f aca="false">IF($N266="","",IFERROR(INDEX($C$5:$C$504,MATCH($N266,$A$5:$A$504,0)),"Invoice not found"))</f>
        <v/>
      </c>
    </row>
    <row r="267" customFormat="false" ht="15" hidden="false" customHeight="false" outlineLevel="0" collapsed="false">
      <c r="A267" s="19" t="str">
        <f aca="false">IF($K267="","",INDEX(Jobs!$O$5:$O$504,$K267))</f>
        <v/>
      </c>
      <c r="B267" s="22" t="str">
        <f aca="false">IF($K267="","",INDEX(Jobs!$A$5:$A$504,$K267))</f>
        <v/>
      </c>
      <c r="C267" s="19" t="str">
        <f aca="false">IF($K267="","",INDEX(Jobs!$B$5:$B$504,$K267))</f>
        <v/>
      </c>
      <c r="D267" s="19" t="str">
        <f aca="false">IF($K267="","",INDEX(Jobs!$J$5:$J$504,$K267))</f>
        <v/>
      </c>
      <c r="E267" s="15" t="str">
        <f aca="false">IF($K267="","",INDEX(Jobs!$N$5:$N$504,$K267))</f>
        <v/>
      </c>
      <c r="F267" s="15" t="str">
        <f aca="false">IF($A267="","",SUMIFS($P$5:$P$1004,$N$5:$N$1004,$A267))</f>
        <v/>
      </c>
      <c r="G267" s="15" t="str">
        <f aca="false">IF($A267="","",$E267-$F267)</f>
        <v/>
      </c>
      <c r="H267" s="22" t="str">
        <f aca="false">IF($A267="","",$B267+Settings!$B$11)</f>
        <v/>
      </c>
      <c r="I267" s="19" t="str">
        <f aca="true">IF($A267="","",IF($G267&lt;=0,"Paid",IF(TODAY()&gt;$H267,"Overdue",IF($F267&gt;0,"Partial","Unpaid"))))</f>
        <v/>
      </c>
      <c r="J267" s="14" t="str">
        <f aca="true">IF($A267="","",IF(AND($G267&gt;0,TODAY()&gt;$H267),TODAY()-$H267,""))</f>
        <v/>
      </c>
      <c r="K267" s="2" t="str">
        <f aca="false">IFERROR(MATCH(ROWS($K$5:$K267),Jobs!$Q$5:$Q$504,0),"")</f>
        <v/>
      </c>
      <c r="M267" s="16"/>
      <c r="N267" s="12"/>
      <c r="O267" s="12"/>
      <c r="P267" s="13"/>
      <c r="Q267" s="19" t="str">
        <f aca="false">IF($N267="","",IFERROR(INDEX($C$5:$C$504,MATCH($N267,$A$5:$A$504,0)),"Invoice not found"))</f>
        <v/>
      </c>
    </row>
    <row r="268" customFormat="false" ht="15" hidden="false" customHeight="false" outlineLevel="0" collapsed="false">
      <c r="A268" s="19" t="str">
        <f aca="false">IF($K268="","",INDEX(Jobs!$O$5:$O$504,$K268))</f>
        <v/>
      </c>
      <c r="B268" s="22" t="str">
        <f aca="false">IF($K268="","",INDEX(Jobs!$A$5:$A$504,$K268))</f>
        <v/>
      </c>
      <c r="C268" s="19" t="str">
        <f aca="false">IF($K268="","",INDEX(Jobs!$B$5:$B$504,$K268))</f>
        <v/>
      </c>
      <c r="D268" s="19" t="str">
        <f aca="false">IF($K268="","",INDEX(Jobs!$J$5:$J$504,$K268))</f>
        <v/>
      </c>
      <c r="E268" s="15" t="str">
        <f aca="false">IF($K268="","",INDEX(Jobs!$N$5:$N$504,$K268))</f>
        <v/>
      </c>
      <c r="F268" s="15" t="str">
        <f aca="false">IF($A268="","",SUMIFS($P$5:$P$1004,$N$5:$N$1004,$A268))</f>
        <v/>
      </c>
      <c r="G268" s="15" t="str">
        <f aca="false">IF($A268="","",$E268-$F268)</f>
        <v/>
      </c>
      <c r="H268" s="22" t="str">
        <f aca="false">IF($A268="","",$B268+Settings!$B$11)</f>
        <v/>
      </c>
      <c r="I268" s="19" t="str">
        <f aca="true">IF($A268="","",IF($G268&lt;=0,"Paid",IF(TODAY()&gt;$H268,"Overdue",IF($F268&gt;0,"Partial","Unpaid"))))</f>
        <v/>
      </c>
      <c r="J268" s="14" t="str">
        <f aca="true">IF($A268="","",IF(AND($G268&gt;0,TODAY()&gt;$H268),TODAY()-$H268,""))</f>
        <v/>
      </c>
      <c r="K268" s="2" t="str">
        <f aca="false">IFERROR(MATCH(ROWS($K$5:$K268),Jobs!$Q$5:$Q$504,0),"")</f>
        <v/>
      </c>
      <c r="M268" s="16"/>
      <c r="N268" s="12"/>
      <c r="O268" s="12"/>
      <c r="P268" s="13"/>
      <c r="Q268" s="19" t="str">
        <f aca="false">IF($N268="","",IFERROR(INDEX($C$5:$C$504,MATCH($N268,$A$5:$A$504,0)),"Invoice not found"))</f>
        <v/>
      </c>
    </row>
    <row r="269" customFormat="false" ht="15" hidden="false" customHeight="false" outlineLevel="0" collapsed="false">
      <c r="A269" s="19" t="str">
        <f aca="false">IF($K269="","",INDEX(Jobs!$O$5:$O$504,$K269))</f>
        <v/>
      </c>
      <c r="B269" s="22" t="str">
        <f aca="false">IF($K269="","",INDEX(Jobs!$A$5:$A$504,$K269))</f>
        <v/>
      </c>
      <c r="C269" s="19" t="str">
        <f aca="false">IF($K269="","",INDEX(Jobs!$B$5:$B$504,$K269))</f>
        <v/>
      </c>
      <c r="D269" s="19" t="str">
        <f aca="false">IF($K269="","",INDEX(Jobs!$J$5:$J$504,$K269))</f>
        <v/>
      </c>
      <c r="E269" s="15" t="str">
        <f aca="false">IF($K269="","",INDEX(Jobs!$N$5:$N$504,$K269))</f>
        <v/>
      </c>
      <c r="F269" s="15" t="str">
        <f aca="false">IF($A269="","",SUMIFS($P$5:$P$1004,$N$5:$N$1004,$A269))</f>
        <v/>
      </c>
      <c r="G269" s="15" t="str">
        <f aca="false">IF($A269="","",$E269-$F269)</f>
        <v/>
      </c>
      <c r="H269" s="22" t="str">
        <f aca="false">IF($A269="","",$B269+Settings!$B$11)</f>
        <v/>
      </c>
      <c r="I269" s="19" t="str">
        <f aca="true">IF($A269="","",IF($G269&lt;=0,"Paid",IF(TODAY()&gt;$H269,"Overdue",IF($F269&gt;0,"Partial","Unpaid"))))</f>
        <v/>
      </c>
      <c r="J269" s="14" t="str">
        <f aca="true">IF($A269="","",IF(AND($G269&gt;0,TODAY()&gt;$H269),TODAY()-$H269,""))</f>
        <v/>
      </c>
      <c r="K269" s="2" t="str">
        <f aca="false">IFERROR(MATCH(ROWS($K$5:$K269),Jobs!$Q$5:$Q$504,0),"")</f>
        <v/>
      </c>
      <c r="M269" s="16"/>
      <c r="N269" s="12"/>
      <c r="O269" s="12"/>
      <c r="P269" s="13"/>
      <c r="Q269" s="19" t="str">
        <f aca="false">IF($N269="","",IFERROR(INDEX($C$5:$C$504,MATCH($N269,$A$5:$A$504,0)),"Invoice not found"))</f>
        <v/>
      </c>
    </row>
    <row r="270" customFormat="false" ht="15" hidden="false" customHeight="false" outlineLevel="0" collapsed="false">
      <c r="A270" s="19" t="str">
        <f aca="false">IF($K270="","",INDEX(Jobs!$O$5:$O$504,$K270))</f>
        <v/>
      </c>
      <c r="B270" s="22" t="str">
        <f aca="false">IF($K270="","",INDEX(Jobs!$A$5:$A$504,$K270))</f>
        <v/>
      </c>
      <c r="C270" s="19" t="str">
        <f aca="false">IF($K270="","",INDEX(Jobs!$B$5:$B$504,$K270))</f>
        <v/>
      </c>
      <c r="D270" s="19" t="str">
        <f aca="false">IF($K270="","",INDEX(Jobs!$J$5:$J$504,$K270))</f>
        <v/>
      </c>
      <c r="E270" s="15" t="str">
        <f aca="false">IF($K270="","",INDEX(Jobs!$N$5:$N$504,$K270))</f>
        <v/>
      </c>
      <c r="F270" s="15" t="str">
        <f aca="false">IF($A270="","",SUMIFS($P$5:$P$1004,$N$5:$N$1004,$A270))</f>
        <v/>
      </c>
      <c r="G270" s="15" t="str">
        <f aca="false">IF($A270="","",$E270-$F270)</f>
        <v/>
      </c>
      <c r="H270" s="22" t="str">
        <f aca="false">IF($A270="","",$B270+Settings!$B$11)</f>
        <v/>
      </c>
      <c r="I270" s="19" t="str">
        <f aca="true">IF($A270="","",IF($G270&lt;=0,"Paid",IF(TODAY()&gt;$H270,"Overdue",IF($F270&gt;0,"Partial","Unpaid"))))</f>
        <v/>
      </c>
      <c r="J270" s="14" t="str">
        <f aca="true">IF($A270="","",IF(AND($G270&gt;0,TODAY()&gt;$H270),TODAY()-$H270,""))</f>
        <v/>
      </c>
      <c r="K270" s="2" t="str">
        <f aca="false">IFERROR(MATCH(ROWS($K$5:$K270),Jobs!$Q$5:$Q$504,0),"")</f>
        <v/>
      </c>
      <c r="M270" s="16"/>
      <c r="N270" s="12"/>
      <c r="O270" s="12"/>
      <c r="P270" s="13"/>
      <c r="Q270" s="19" t="str">
        <f aca="false">IF($N270="","",IFERROR(INDEX($C$5:$C$504,MATCH($N270,$A$5:$A$504,0)),"Invoice not found"))</f>
        <v/>
      </c>
    </row>
    <row r="271" customFormat="false" ht="15" hidden="false" customHeight="false" outlineLevel="0" collapsed="false">
      <c r="A271" s="19" t="str">
        <f aca="false">IF($K271="","",INDEX(Jobs!$O$5:$O$504,$K271))</f>
        <v/>
      </c>
      <c r="B271" s="22" t="str">
        <f aca="false">IF($K271="","",INDEX(Jobs!$A$5:$A$504,$K271))</f>
        <v/>
      </c>
      <c r="C271" s="19" t="str">
        <f aca="false">IF($K271="","",INDEX(Jobs!$B$5:$B$504,$K271))</f>
        <v/>
      </c>
      <c r="D271" s="19" t="str">
        <f aca="false">IF($K271="","",INDEX(Jobs!$J$5:$J$504,$K271))</f>
        <v/>
      </c>
      <c r="E271" s="15" t="str">
        <f aca="false">IF($K271="","",INDEX(Jobs!$N$5:$N$504,$K271))</f>
        <v/>
      </c>
      <c r="F271" s="15" t="str">
        <f aca="false">IF($A271="","",SUMIFS($P$5:$P$1004,$N$5:$N$1004,$A271))</f>
        <v/>
      </c>
      <c r="G271" s="15" t="str">
        <f aca="false">IF($A271="","",$E271-$F271)</f>
        <v/>
      </c>
      <c r="H271" s="22" t="str">
        <f aca="false">IF($A271="","",$B271+Settings!$B$11)</f>
        <v/>
      </c>
      <c r="I271" s="19" t="str">
        <f aca="true">IF($A271="","",IF($G271&lt;=0,"Paid",IF(TODAY()&gt;$H271,"Overdue",IF($F271&gt;0,"Partial","Unpaid"))))</f>
        <v/>
      </c>
      <c r="J271" s="14" t="str">
        <f aca="true">IF($A271="","",IF(AND($G271&gt;0,TODAY()&gt;$H271),TODAY()-$H271,""))</f>
        <v/>
      </c>
      <c r="K271" s="2" t="str">
        <f aca="false">IFERROR(MATCH(ROWS($K$5:$K271),Jobs!$Q$5:$Q$504,0),"")</f>
        <v/>
      </c>
      <c r="M271" s="16"/>
      <c r="N271" s="12"/>
      <c r="O271" s="12"/>
      <c r="P271" s="13"/>
      <c r="Q271" s="19" t="str">
        <f aca="false">IF($N271="","",IFERROR(INDEX($C$5:$C$504,MATCH($N271,$A$5:$A$504,0)),"Invoice not found"))</f>
        <v/>
      </c>
    </row>
    <row r="272" customFormat="false" ht="15" hidden="false" customHeight="false" outlineLevel="0" collapsed="false">
      <c r="A272" s="19" t="str">
        <f aca="false">IF($K272="","",INDEX(Jobs!$O$5:$O$504,$K272))</f>
        <v/>
      </c>
      <c r="B272" s="22" t="str">
        <f aca="false">IF($K272="","",INDEX(Jobs!$A$5:$A$504,$K272))</f>
        <v/>
      </c>
      <c r="C272" s="19" t="str">
        <f aca="false">IF($K272="","",INDEX(Jobs!$B$5:$B$504,$K272))</f>
        <v/>
      </c>
      <c r="D272" s="19" t="str">
        <f aca="false">IF($K272="","",INDEX(Jobs!$J$5:$J$504,$K272))</f>
        <v/>
      </c>
      <c r="E272" s="15" t="str">
        <f aca="false">IF($K272="","",INDEX(Jobs!$N$5:$N$504,$K272))</f>
        <v/>
      </c>
      <c r="F272" s="15" t="str">
        <f aca="false">IF($A272="","",SUMIFS($P$5:$P$1004,$N$5:$N$1004,$A272))</f>
        <v/>
      </c>
      <c r="G272" s="15" t="str">
        <f aca="false">IF($A272="","",$E272-$F272)</f>
        <v/>
      </c>
      <c r="H272" s="22" t="str">
        <f aca="false">IF($A272="","",$B272+Settings!$B$11)</f>
        <v/>
      </c>
      <c r="I272" s="19" t="str">
        <f aca="true">IF($A272="","",IF($G272&lt;=0,"Paid",IF(TODAY()&gt;$H272,"Overdue",IF($F272&gt;0,"Partial","Unpaid"))))</f>
        <v/>
      </c>
      <c r="J272" s="14" t="str">
        <f aca="true">IF($A272="","",IF(AND($G272&gt;0,TODAY()&gt;$H272),TODAY()-$H272,""))</f>
        <v/>
      </c>
      <c r="K272" s="2" t="str">
        <f aca="false">IFERROR(MATCH(ROWS($K$5:$K272),Jobs!$Q$5:$Q$504,0),"")</f>
        <v/>
      </c>
      <c r="M272" s="16"/>
      <c r="N272" s="12"/>
      <c r="O272" s="12"/>
      <c r="P272" s="13"/>
      <c r="Q272" s="19" t="str">
        <f aca="false">IF($N272="","",IFERROR(INDEX($C$5:$C$504,MATCH($N272,$A$5:$A$504,0)),"Invoice not found"))</f>
        <v/>
      </c>
    </row>
    <row r="273" customFormat="false" ht="15" hidden="false" customHeight="false" outlineLevel="0" collapsed="false">
      <c r="A273" s="19" t="str">
        <f aca="false">IF($K273="","",INDEX(Jobs!$O$5:$O$504,$K273))</f>
        <v/>
      </c>
      <c r="B273" s="22" t="str">
        <f aca="false">IF($K273="","",INDEX(Jobs!$A$5:$A$504,$K273))</f>
        <v/>
      </c>
      <c r="C273" s="19" t="str">
        <f aca="false">IF($K273="","",INDEX(Jobs!$B$5:$B$504,$K273))</f>
        <v/>
      </c>
      <c r="D273" s="19" t="str">
        <f aca="false">IF($K273="","",INDEX(Jobs!$J$5:$J$504,$K273))</f>
        <v/>
      </c>
      <c r="E273" s="15" t="str">
        <f aca="false">IF($K273="","",INDEX(Jobs!$N$5:$N$504,$K273))</f>
        <v/>
      </c>
      <c r="F273" s="15" t="str">
        <f aca="false">IF($A273="","",SUMIFS($P$5:$P$1004,$N$5:$N$1004,$A273))</f>
        <v/>
      </c>
      <c r="G273" s="15" t="str">
        <f aca="false">IF($A273="","",$E273-$F273)</f>
        <v/>
      </c>
      <c r="H273" s="22" t="str">
        <f aca="false">IF($A273="","",$B273+Settings!$B$11)</f>
        <v/>
      </c>
      <c r="I273" s="19" t="str">
        <f aca="true">IF($A273="","",IF($G273&lt;=0,"Paid",IF(TODAY()&gt;$H273,"Overdue",IF($F273&gt;0,"Partial","Unpaid"))))</f>
        <v/>
      </c>
      <c r="J273" s="14" t="str">
        <f aca="true">IF($A273="","",IF(AND($G273&gt;0,TODAY()&gt;$H273),TODAY()-$H273,""))</f>
        <v/>
      </c>
      <c r="K273" s="2" t="str">
        <f aca="false">IFERROR(MATCH(ROWS($K$5:$K273),Jobs!$Q$5:$Q$504,0),"")</f>
        <v/>
      </c>
      <c r="M273" s="16"/>
      <c r="N273" s="12"/>
      <c r="O273" s="12"/>
      <c r="P273" s="13"/>
      <c r="Q273" s="19" t="str">
        <f aca="false">IF($N273="","",IFERROR(INDEX($C$5:$C$504,MATCH($N273,$A$5:$A$504,0)),"Invoice not found"))</f>
        <v/>
      </c>
    </row>
    <row r="274" customFormat="false" ht="15" hidden="false" customHeight="false" outlineLevel="0" collapsed="false">
      <c r="A274" s="19" t="str">
        <f aca="false">IF($K274="","",INDEX(Jobs!$O$5:$O$504,$K274))</f>
        <v/>
      </c>
      <c r="B274" s="22" t="str">
        <f aca="false">IF($K274="","",INDEX(Jobs!$A$5:$A$504,$K274))</f>
        <v/>
      </c>
      <c r="C274" s="19" t="str">
        <f aca="false">IF($K274="","",INDEX(Jobs!$B$5:$B$504,$K274))</f>
        <v/>
      </c>
      <c r="D274" s="19" t="str">
        <f aca="false">IF($K274="","",INDEX(Jobs!$J$5:$J$504,$K274))</f>
        <v/>
      </c>
      <c r="E274" s="15" t="str">
        <f aca="false">IF($K274="","",INDEX(Jobs!$N$5:$N$504,$K274))</f>
        <v/>
      </c>
      <c r="F274" s="15" t="str">
        <f aca="false">IF($A274="","",SUMIFS($P$5:$P$1004,$N$5:$N$1004,$A274))</f>
        <v/>
      </c>
      <c r="G274" s="15" t="str">
        <f aca="false">IF($A274="","",$E274-$F274)</f>
        <v/>
      </c>
      <c r="H274" s="22" t="str">
        <f aca="false">IF($A274="","",$B274+Settings!$B$11)</f>
        <v/>
      </c>
      <c r="I274" s="19" t="str">
        <f aca="true">IF($A274="","",IF($G274&lt;=0,"Paid",IF(TODAY()&gt;$H274,"Overdue",IF($F274&gt;0,"Partial","Unpaid"))))</f>
        <v/>
      </c>
      <c r="J274" s="14" t="str">
        <f aca="true">IF($A274="","",IF(AND($G274&gt;0,TODAY()&gt;$H274),TODAY()-$H274,""))</f>
        <v/>
      </c>
      <c r="K274" s="2" t="str">
        <f aca="false">IFERROR(MATCH(ROWS($K$5:$K274),Jobs!$Q$5:$Q$504,0),"")</f>
        <v/>
      </c>
      <c r="M274" s="16"/>
      <c r="N274" s="12"/>
      <c r="O274" s="12"/>
      <c r="P274" s="13"/>
      <c r="Q274" s="19" t="str">
        <f aca="false">IF($N274="","",IFERROR(INDEX($C$5:$C$504,MATCH($N274,$A$5:$A$504,0)),"Invoice not found"))</f>
        <v/>
      </c>
    </row>
    <row r="275" customFormat="false" ht="15" hidden="false" customHeight="false" outlineLevel="0" collapsed="false">
      <c r="A275" s="19" t="str">
        <f aca="false">IF($K275="","",INDEX(Jobs!$O$5:$O$504,$K275))</f>
        <v/>
      </c>
      <c r="B275" s="22" t="str">
        <f aca="false">IF($K275="","",INDEX(Jobs!$A$5:$A$504,$K275))</f>
        <v/>
      </c>
      <c r="C275" s="19" t="str">
        <f aca="false">IF($K275="","",INDEX(Jobs!$B$5:$B$504,$K275))</f>
        <v/>
      </c>
      <c r="D275" s="19" t="str">
        <f aca="false">IF($K275="","",INDEX(Jobs!$J$5:$J$504,$K275))</f>
        <v/>
      </c>
      <c r="E275" s="15" t="str">
        <f aca="false">IF($K275="","",INDEX(Jobs!$N$5:$N$504,$K275))</f>
        <v/>
      </c>
      <c r="F275" s="15" t="str">
        <f aca="false">IF($A275="","",SUMIFS($P$5:$P$1004,$N$5:$N$1004,$A275))</f>
        <v/>
      </c>
      <c r="G275" s="15" t="str">
        <f aca="false">IF($A275="","",$E275-$F275)</f>
        <v/>
      </c>
      <c r="H275" s="22" t="str">
        <f aca="false">IF($A275="","",$B275+Settings!$B$11)</f>
        <v/>
      </c>
      <c r="I275" s="19" t="str">
        <f aca="true">IF($A275="","",IF($G275&lt;=0,"Paid",IF(TODAY()&gt;$H275,"Overdue",IF($F275&gt;0,"Partial","Unpaid"))))</f>
        <v/>
      </c>
      <c r="J275" s="14" t="str">
        <f aca="true">IF($A275="","",IF(AND($G275&gt;0,TODAY()&gt;$H275),TODAY()-$H275,""))</f>
        <v/>
      </c>
      <c r="K275" s="2" t="str">
        <f aca="false">IFERROR(MATCH(ROWS($K$5:$K275),Jobs!$Q$5:$Q$504,0),"")</f>
        <v/>
      </c>
      <c r="M275" s="16"/>
      <c r="N275" s="12"/>
      <c r="O275" s="12"/>
      <c r="P275" s="13"/>
      <c r="Q275" s="19" t="str">
        <f aca="false">IF($N275="","",IFERROR(INDEX($C$5:$C$504,MATCH($N275,$A$5:$A$504,0)),"Invoice not found"))</f>
        <v/>
      </c>
    </row>
    <row r="276" customFormat="false" ht="15" hidden="false" customHeight="false" outlineLevel="0" collapsed="false">
      <c r="A276" s="19" t="str">
        <f aca="false">IF($K276="","",INDEX(Jobs!$O$5:$O$504,$K276))</f>
        <v/>
      </c>
      <c r="B276" s="22" t="str">
        <f aca="false">IF($K276="","",INDEX(Jobs!$A$5:$A$504,$K276))</f>
        <v/>
      </c>
      <c r="C276" s="19" t="str">
        <f aca="false">IF($K276="","",INDEX(Jobs!$B$5:$B$504,$K276))</f>
        <v/>
      </c>
      <c r="D276" s="19" t="str">
        <f aca="false">IF($K276="","",INDEX(Jobs!$J$5:$J$504,$K276))</f>
        <v/>
      </c>
      <c r="E276" s="15" t="str">
        <f aca="false">IF($K276="","",INDEX(Jobs!$N$5:$N$504,$K276))</f>
        <v/>
      </c>
      <c r="F276" s="15" t="str">
        <f aca="false">IF($A276="","",SUMIFS($P$5:$P$1004,$N$5:$N$1004,$A276))</f>
        <v/>
      </c>
      <c r="G276" s="15" t="str">
        <f aca="false">IF($A276="","",$E276-$F276)</f>
        <v/>
      </c>
      <c r="H276" s="22" t="str">
        <f aca="false">IF($A276="","",$B276+Settings!$B$11)</f>
        <v/>
      </c>
      <c r="I276" s="19" t="str">
        <f aca="true">IF($A276="","",IF($G276&lt;=0,"Paid",IF(TODAY()&gt;$H276,"Overdue",IF($F276&gt;0,"Partial","Unpaid"))))</f>
        <v/>
      </c>
      <c r="J276" s="14" t="str">
        <f aca="true">IF($A276="","",IF(AND($G276&gt;0,TODAY()&gt;$H276),TODAY()-$H276,""))</f>
        <v/>
      </c>
      <c r="K276" s="2" t="str">
        <f aca="false">IFERROR(MATCH(ROWS($K$5:$K276),Jobs!$Q$5:$Q$504,0),"")</f>
        <v/>
      </c>
      <c r="M276" s="16"/>
      <c r="N276" s="12"/>
      <c r="O276" s="12"/>
      <c r="P276" s="13"/>
      <c r="Q276" s="19" t="str">
        <f aca="false">IF($N276="","",IFERROR(INDEX($C$5:$C$504,MATCH($N276,$A$5:$A$504,0)),"Invoice not found"))</f>
        <v/>
      </c>
    </row>
    <row r="277" customFormat="false" ht="15" hidden="false" customHeight="false" outlineLevel="0" collapsed="false">
      <c r="A277" s="19" t="str">
        <f aca="false">IF($K277="","",INDEX(Jobs!$O$5:$O$504,$K277))</f>
        <v/>
      </c>
      <c r="B277" s="22" t="str">
        <f aca="false">IF($K277="","",INDEX(Jobs!$A$5:$A$504,$K277))</f>
        <v/>
      </c>
      <c r="C277" s="19" t="str">
        <f aca="false">IF($K277="","",INDEX(Jobs!$B$5:$B$504,$K277))</f>
        <v/>
      </c>
      <c r="D277" s="19" t="str">
        <f aca="false">IF($K277="","",INDEX(Jobs!$J$5:$J$504,$K277))</f>
        <v/>
      </c>
      <c r="E277" s="15" t="str">
        <f aca="false">IF($K277="","",INDEX(Jobs!$N$5:$N$504,$K277))</f>
        <v/>
      </c>
      <c r="F277" s="15" t="str">
        <f aca="false">IF($A277="","",SUMIFS($P$5:$P$1004,$N$5:$N$1004,$A277))</f>
        <v/>
      </c>
      <c r="G277" s="15" t="str">
        <f aca="false">IF($A277="","",$E277-$F277)</f>
        <v/>
      </c>
      <c r="H277" s="22" t="str">
        <f aca="false">IF($A277="","",$B277+Settings!$B$11)</f>
        <v/>
      </c>
      <c r="I277" s="19" t="str">
        <f aca="true">IF($A277="","",IF($G277&lt;=0,"Paid",IF(TODAY()&gt;$H277,"Overdue",IF($F277&gt;0,"Partial","Unpaid"))))</f>
        <v/>
      </c>
      <c r="J277" s="14" t="str">
        <f aca="true">IF($A277="","",IF(AND($G277&gt;0,TODAY()&gt;$H277),TODAY()-$H277,""))</f>
        <v/>
      </c>
      <c r="K277" s="2" t="str">
        <f aca="false">IFERROR(MATCH(ROWS($K$5:$K277),Jobs!$Q$5:$Q$504,0),"")</f>
        <v/>
      </c>
      <c r="M277" s="16"/>
      <c r="N277" s="12"/>
      <c r="O277" s="12"/>
      <c r="P277" s="13"/>
      <c r="Q277" s="19" t="str">
        <f aca="false">IF($N277="","",IFERROR(INDEX($C$5:$C$504,MATCH($N277,$A$5:$A$504,0)),"Invoice not found"))</f>
        <v/>
      </c>
    </row>
    <row r="278" customFormat="false" ht="15" hidden="false" customHeight="false" outlineLevel="0" collapsed="false">
      <c r="A278" s="19" t="str">
        <f aca="false">IF($K278="","",INDEX(Jobs!$O$5:$O$504,$K278))</f>
        <v/>
      </c>
      <c r="B278" s="22" t="str">
        <f aca="false">IF($K278="","",INDEX(Jobs!$A$5:$A$504,$K278))</f>
        <v/>
      </c>
      <c r="C278" s="19" t="str">
        <f aca="false">IF($K278="","",INDEX(Jobs!$B$5:$B$504,$K278))</f>
        <v/>
      </c>
      <c r="D278" s="19" t="str">
        <f aca="false">IF($K278="","",INDEX(Jobs!$J$5:$J$504,$K278))</f>
        <v/>
      </c>
      <c r="E278" s="15" t="str">
        <f aca="false">IF($K278="","",INDEX(Jobs!$N$5:$N$504,$K278))</f>
        <v/>
      </c>
      <c r="F278" s="15" t="str">
        <f aca="false">IF($A278="","",SUMIFS($P$5:$P$1004,$N$5:$N$1004,$A278))</f>
        <v/>
      </c>
      <c r="G278" s="15" t="str">
        <f aca="false">IF($A278="","",$E278-$F278)</f>
        <v/>
      </c>
      <c r="H278" s="22" t="str">
        <f aca="false">IF($A278="","",$B278+Settings!$B$11)</f>
        <v/>
      </c>
      <c r="I278" s="19" t="str">
        <f aca="true">IF($A278="","",IF($G278&lt;=0,"Paid",IF(TODAY()&gt;$H278,"Overdue",IF($F278&gt;0,"Partial","Unpaid"))))</f>
        <v/>
      </c>
      <c r="J278" s="14" t="str">
        <f aca="true">IF($A278="","",IF(AND($G278&gt;0,TODAY()&gt;$H278),TODAY()-$H278,""))</f>
        <v/>
      </c>
      <c r="K278" s="2" t="str">
        <f aca="false">IFERROR(MATCH(ROWS($K$5:$K278),Jobs!$Q$5:$Q$504,0),"")</f>
        <v/>
      </c>
      <c r="M278" s="16"/>
      <c r="N278" s="12"/>
      <c r="O278" s="12"/>
      <c r="P278" s="13"/>
      <c r="Q278" s="19" t="str">
        <f aca="false">IF($N278="","",IFERROR(INDEX($C$5:$C$504,MATCH($N278,$A$5:$A$504,0)),"Invoice not found"))</f>
        <v/>
      </c>
    </row>
    <row r="279" customFormat="false" ht="15" hidden="false" customHeight="false" outlineLevel="0" collapsed="false">
      <c r="A279" s="19" t="str">
        <f aca="false">IF($K279="","",INDEX(Jobs!$O$5:$O$504,$K279))</f>
        <v/>
      </c>
      <c r="B279" s="22" t="str">
        <f aca="false">IF($K279="","",INDEX(Jobs!$A$5:$A$504,$K279))</f>
        <v/>
      </c>
      <c r="C279" s="19" t="str">
        <f aca="false">IF($K279="","",INDEX(Jobs!$B$5:$B$504,$K279))</f>
        <v/>
      </c>
      <c r="D279" s="19" t="str">
        <f aca="false">IF($K279="","",INDEX(Jobs!$J$5:$J$504,$K279))</f>
        <v/>
      </c>
      <c r="E279" s="15" t="str">
        <f aca="false">IF($K279="","",INDEX(Jobs!$N$5:$N$504,$K279))</f>
        <v/>
      </c>
      <c r="F279" s="15" t="str">
        <f aca="false">IF($A279="","",SUMIFS($P$5:$P$1004,$N$5:$N$1004,$A279))</f>
        <v/>
      </c>
      <c r="G279" s="15" t="str">
        <f aca="false">IF($A279="","",$E279-$F279)</f>
        <v/>
      </c>
      <c r="H279" s="22" t="str">
        <f aca="false">IF($A279="","",$B279+Settings!$B$11)</f>
        <v/>
      </c>
      <c r="I279" s="19" t="str">
        <f aca="true">IF($A279="","",IF($G279&lt;=0,"Paid",IF(TODAY()&gt;$H279,"Overdue",IF($F279&gt;0,"Partial","Unpaid"))))</f>
        <v/>
      </c>
      <c r="J279" s="14" t="str">
        <f aca="true">IF($A279="","",IF(AND($G279&gt;0,TODAY()&gt;$H279),TODAY()-$H279,""))</f>
        <v/>
      </c>
      <c r="K279" s="2" t="str">
        <f aca="false">IFERROR(MATCH(ROWS($K$5:$K279),Jobs!$Q$5:$Q$504,0),"")</f>
        <v/>
      </c>
      <c r="M279" s="16"/>
      <c r="N279" s="12"/>
      <c r="O279" s="12"/>
      <c r="P279" s="13"/>
      <c r="Q279" s="19" t="str">
        <f aca="false">IF($N279="","",IFERROR(INDEX($C$5:$C$504,MATCH($N279,$A$5:$A$504,0)),"Invoice not found"))</f>
        <v/>
      </c>
    </row>
    <row r="280" customFormat="false" ht="15" hidden="false" customHeight="false" outlineLevel="0" collapsed="false">
      <c r="A280" s="19" t="str">
        <f aca="false">IF($K280="","",INDEX(Jobs!$O$5:$O$504,$K280))</f>
        <v/>
      </c>
      <c r="B280" s="22" t="str">
        <f aca="false">IF($K280="","",INDEX(Jobs!$A$5:$A$504,$K280))</f>
        <v/>
      </c>
      <c r="C280" s="19" t="str">
        <f aca="false">IF($K280="","",INDEX(Jobs!$B$5:$B$504,$K280))</f>
        <v/>
      </c>
      <c r="D280" s="19" t="str">
        <f aca="false">IF($K280="","",INDEX(Jobs!$J$5:$J$504,$K280))</f>
        <v/>
      </c>
      <c r="E280" s="15" t="str">
        <f aca="false">IF($K280="","",INDEX(Jobs!$N$5:$N$504,$K280))</f>
        <v/>
      </c>
      <c r="F280" s="15" t="str">
        <f aca="false">IF($A280="","",SUMIFS($P$5:$P$1004,$N$5:$N$1004,$A280))</f>
        <v/>
      </c>
      <c r="G280" s="15" t="str">
        <f aca="false">IF($A280="","",$E280-$F280)</f>
        <v/>
      </c>
      <c r="H280" s="22" t="str">
        <f aca="false">IF($A280="","",$B280+Settings!$B$11)</f>
        <v/>
      </c>
      <c r="I280" s="19" t="str">
        <f aca="true">IF($A280="","",IF($G280&lt;=0,"Paid",IF(TODAY()&gt;$H280,"Overdue",IF($F280&gt;0,"Partial","Unpaid"))))</f>
        <v/>
      </c>
      <c r="J280" s="14" t="str">
        <f aca="true">IF($A280="","",IF(AND($G280&gt;0,TODAY()&gt;$H280),TODAY()-$H280,""))</f>
        <v/>
      </c>
      <c r="K280" s="2" t="str">
        <f aca="false">IFERROR(MATCH(ROWS($K$5:$K280),Jobs!$Q$5:$Q$504,0),"")</f>
        <v/>
      </c>
      <c r="M280" s="16"/>
      <c r="N280" s="12"/>
      <c r="O280" s="12"/>
      <c r="P280" s="13"/>
      <c r="Q280" s="19" t="str">
        <f aca="false">IF($N280="","",IFERROR(INDEX($C$5:$C$504,MATCH($N280,$A$5:$A$504,0)),"Invoice not found"))</f>
        <v/>
      </c>
    </row>
    <row r="281" customFormat="false" ht="15" hidden="false" customHeight="false" outlineLevel="0" collapsed="false">
      <c r="A281" s="19" t="str">
        <f aca="false">IF($K281="","",INDEX(Jobs!$O$5:$O$504,$K281))</f>
        <v/>
      </c>
      <c r="B281" s="22" t="str">
        <f aca="false">IF($K281="","",INDEX(Jobs!$A$5:$A$504,$K281))</f>
        <v/>
      </c>
      <c r="C281" s="19" t="str">
        <f aca="false">IF($K281="","",INDEX(Jobs!$B$5:$B$504,$K281))</f>
        <v/>
      </c>
      <c r="D281" s="19" t="str">
        <f aca="false">IF($K281="","",INDEX(Jobs!$J$5:$J$504,$K281))</f>
        <v/>
      </c>
      <c r="E281" s="15" t="str">
        <f aca="false">IF($K281="","",INDEX(Jobs!$N$5:$N$504,$K281))</f>
        <v/>
      </c>
      <c r="F281" s="15" t="str">
        <f aca="false">IF($A281="","",SUMIFS($P$5:$P$1004,$N$5:$N$1004,$A281))</f>
        <v/>
      </c>
      <c r="G281" s="15" t="str">
        <f aca="false">IF($A281="","",$E281-$F281)</f>
        <v/>
      </c>
      <c r="H281" s="22" t="str">
        <f aca="false">IF($A281="","",$B281+Settings!$B$11)</f>
        <v/>
      </c>
      <c r="I281" s="19" t="str">
        <f aca="true">IF($A281="","",IF($G281&lt;=0,"Paid",IF(TODAY()&gt;$H281,"Overdue",IF($F281&gt;0,"Partial","Unpaid"))))</f>
        <v/>
      </c>
      <c r="J281" s="14" t="str">
        <f aca="true">IF($A281="","",IF(AND($G281&gt;0,TODAY()&gt;$H281),TODAY()-$H281,""))</f>
        <v/>
      </c>
      <c r="K281" s="2" t="str">
        <f aca="false">IFERROR(MATCH(ROWS($K$5:$K281),Jobs!$Q$5:$Q$504,0),"")</f>
        <v/>
      </c>
      <c r="M281" s="16"/>
      <c r="N281" s="12"/>
      <c r="O281" s="12"/>
      <c r="P281" s="13"/>
      <c r="Q281" s="19" t="str">
        <f aca="false">IF($N281="","",IFERROR(INDEX($C$5:$C$504,MATCH($N281,$A$5:$A$504,0)),"Invoice not found"))</f>
        <v/>
      </c>
    </row>
    <row r="282" customFormat="false" ht="15" hidden="false" customHeight="false" outlineLevel="0" collapsed="false">
      <c r="A282" s="19" t="str">
        <f aca="false">IF($K282="","",INDEX(Jobs!$O$5:$O$504,$K282))</f>
        <v/>
      </c>
      <c r="B282" s="22" t="str">
        <f aca="false">IF($K282="","",INDEX(Jobs!$A$5:$A$504,$K282))</f>
        <v/>
      </c>
      <c r="C282" s="19" t="str">
        <f aca="false">IF($K282="","",INDEX(Jobs!$B$5:$B$504,$K282))</f>
        <v/>
      </c>
      <c r="D282" s="19" t="str">
        <f aca="false">IF($K282="","",INDEX(Jobs!$J$5:$J$504,$K282))</f>
        <v/>
      </c>
      <c r="E282" s="15" t="str">
        <f aca="false">IF($K282="","",INDEX(Jobs!$N$5:$N$504,$K282))</f>
        <v/>
      </c>
      <c r="F282" s="15" t="str">
        <f aca="false">IF($A282="","",SUMIFS($P$5:$P$1004,$N$5:$N$1004,$A282))</f>
        <v/>
      </c>
      <c r="G282" s="15" t="str">
        <f aca="false">IF($A282="","",$E282-$F282)</f>
        <v/>
      </c>
      <c r="H282" s="22" t="str">
        <f aca="false">IF($A282="","",$B282+Settings!$B$11)</f>
        <v/>
      </c>
      <c r="I282" s="19" t="str">
        <f aca="true">IF($A282="","",IF($G282&lt;=0,"Paid",IF(TODAY()&gt;$H282,"Overdue",IF($F282&gt;0,"Partial","Unpaid"))))</f>
        <v/>
      </c>
      <c r="J282" s="14" t="str">
        <f aca="true">IF($A282="","",IF(AND($G282&gt;0,TODAY()&gt;$H282),TODAY()-$H282,""))</f>
        <v/>
      </c>
      <c r="K282" s="2" t="str">
        <f aca="false">IFERROR(MATCH(ROWS($K$5:$K282),Jobs!$Q$5:$Q$504,0),"")</f>
        <v/>
      </c>
      <c r="M282" s="16"/>
      <c r="N282" s="12"/>
      <c r="O282" s="12"/>
      <c r="P282" s="13"/>
      <c r="Q282" s="19" t="str">
        <f aca="false">IF($N282="","",IFERROR(INDEX($C$5:$C$504,MATCH($N282,$A$5:$A$504,0)),"Invoice not found"))</f>
        <v/>
      </c>
    </row>
    <row r="283" customFormat="false" ht="15" hidden="false" customHeight="false" outlineLevel="0" collapsed="false">
      <c r="A283" s="19" t="str">
        <f aca="false">IF($K283="","",INDEX(Jobs!$O$5:$O$504,$K283))</f>
        <v/>
      </c>
      <c r="B283" s="22" t="str">
        <f aca="false">IF($K283="","",INDEX(Jobs!$A$5:$A$504,$K283))</f>
        <v/>
      </c>
      <c r="C283" s="19" t="str">
        <f aca="false">IF($K283="","",INDEX(Jobs!$B$5:$B$504,$K283))</f>
        <v/>
      </c>
      <c r="D283" s="19" t="str">
        <f aca="false">IF($K283="","",INDEX(Jobs!$J$5:$J$504,$K283))</f>
        <v/>
      </c>
      <c r="E283" s="15" t="str">
        <f aca="false">IF($K283="","",INDEX(Jobs!$N$5:$N$504,$K283))</f>
        <v/>
      </c>
      <c r="F283" s="15" t="str">
        <f aca="false">IF($A283="","",SUMIFS($P$5:$P$1004,$N$5:$N$1004,$A283))</f>
        <v/>
      </c>
      <c r="G283" s="15" t="str">
        <f aca="false">IF($A283="","",$E283-$F283)</f>
        <v/>
      </c>
      <c r="H283" s="22" t="str">
        <f aca="false">IF($A283="","",$B283+Settings!$B$11)</f>
        <v/>
      </c>
      <c r="I283" s="19" t="str">
        <f aca="true">IF($A283="","",IF($G283&lt;=0,"Paid",IF(TODAY()&gt;$H283,"Overdue",IF($F283&gt;0,"Partial","Unpaid"))))</f>
        <v/>
      </c>
      <c r="J283" s="14" t="str">
        <f aca="true">IF($A283="","",IF(AND($G283&gt;0,TODAY()&gt;$H283),TODAY()-$H283,""))</f>
        <v/>
      </c>
      <c r="K283" s="2" t="str">
        <f aca="false">IFERROR(MATCH(ROWS($K$5:$K283),Jobs!$Q$5:$Q$504,0),"")</f>
        <v/>
      </c>
      <c r="M283" s="16"/>
      <c r="N283" s="12"/>
      <c r="O283" s="12"/>
      <c r="P283" s="13"/>
      <c r="Q283" s="19" t="str">
        <f aca="false">IF($N283="","",IFERROR(INDEX($C$5:$C$504,MATCH($N283,$A$5:$A$504,0)),"Invoice not found"))</f>
        <v/>
      </c>
    </row>
    <row r="284" customFormat="false" ht="15" hidden="false" customHeight="false" outlineLevel="0" collapsed="false">
      <c r="A284" s="19" t="str">
        <f aca="false">IF($K284="","",INDEX(Jobs!$O$5:$O$504,$K284))</f>
        <v/>
      </c>
      <c r="B284" s="22" t="str">
        <f aca="false">IF($K284="","",INDEX(Jobs!$A$5:$A$504,$K284))</f>
        <v/>
      </c>
      <c r="C284" s="19" t="str">
        <f aca="false">IF($K284="","",INDEX(Jobs!$B$5:$B$504,$K284))</f>
        <v/>
      </c>
      <c r="D284" s="19" t="str">
        <f aca="false">IF($K284="","",INDEX(Jobs!$J$5:$J$504,$K284))</f>
        <v/>
      </c>
      <c r="E284" s="15" t="str">
        <f aca="false">IF($K284="","",INDEX(Jobs!$N$5:$N$504,$K284))</f>
        <v/>
      </c>
      <c r="F284" s="15" t="str">
        <f aca="false">IF($A284="","",SUMIFS($P$5:$P$1004,$N$5:$N$1004,$A284))</f>
        <v/>
      </c>
      <c r="G284" s="15" t="str">
        <f aca="false">IF($A284="","",$E284-$F284)</f>
        <v/>
      </c>
      <c r="H284" s="22" t="str">
        <f aca="false">IF($A284="","",$B284+Settings!$B$11)</f>
        <v/>
      </c>
      <c r="I284" s="19" t="str">
        <f aca="true">IF($A284="","",IF($G284&lt;=0,"Paid",IF(TODAY()&gt;$H284,"Overdue",IF($F284&gt;0,"Partial","Unpaid"))))</f>
        <v/>
      </c>
      <c r="J284" s="14" t="str">
        <f aca="true">IF($A284="","",IF(AND($G284&gt;0,TODAY()&gt;$H284),TODAY()-$H284,""))</f>
        <v/>
      </c>
      <c r="K284" s="2" t="str">
        <f aca="false">IFERROR(MATCH(ROWS($K$5:$K284),Jobs!$Q$5:$Q$504,0),"")</f>
        <v/>
      </c>
      <c r="M284" s="16"/>
      <c r="N284" s="12"/>
      <c r="O284" s="12"/>
      <c r="P284" s="13"/>
      <c r="Q284" s="19" t="str">
        <f aca="false">IF($N284="","",IFERROR(INDEX($C$5:$C$504,MATCH($N284,$A$5:$A$504,0)),"Invoice not found"))</f>
        <v/>
      </c>
    </row>
    <row r="285" customFormat="false" ht="15" hidden="false" customHeight="false" outlineLevel="0" collapsed="false">
      <c r="A285" s="19" t="str">
        <f aca="false">IF($K285="","",INDEX(Jobs!$O$5:$O$504,$K285))</f>
        <v/>
      </c>
      <c r="B285" s="22" t="str">
        <f aca="false">IF($K285="","",INDEX(Jobs!$A$5:$A$504,$K285))</f>
        <v/>
      </c>
      <c r="C285" s="19" t="str">
        <f aca="false">IF($K285="","",INDEX(Jobs!$B$5:$B$504,$K285))</f>
        <v/>
      </c>
      <c r="D285" s="19" t="str">
        <f aca="false">IF($K285="","",INDEX(Jobs!$J$5:$J$504,$K285))</f>
        <v/>
      </c>
      <c r="E285" s="15" t="str">
        <f aca="false">IF($K285="","",INDEX(Jobs!$N$5:$N$504,$K285))</f>
        <v/>
      </c>
      <c r="F285" s="15" t="str">
        <f aca="false">IF($A285="","",SUMIFS($P$5:$P$1004,$N$5:$N$1004,$A285))</f>
        <v/>
      </c>
      <c r="G285" s="15" t="str">
        <f aca="false">IF($A285="","",$E285-$F285)</f>
        <v/>
      </c>
      <c r="H285" s="22" t="str">
        <f aca="false">IF($A285="","",$B285+Settings!$B$11)</f>
        <v/>
      </c>
      <c r="I285" s="19" t="str">
        <f aca="true">IF($A285="","",IF($G285&lt;=0,"Paid",IF(TODAY()&gt;$H285,"Overdue",IF($F285&gt;0,"Partial","Unpaid"))))</f>
        <v/>
      </c>
      <c r="J285" s="14" t="str">
        <f aca="true">IF($A285="","",IF(AND($G285&gt;0,TODAY()&gt;$H285),TODAY()-$H285,""))</f>
        <v/>
      </c>
      <c r="K285" s="2" t="str">
        <f aca="false">IFERROR(MATCH(ROWS($K$5:$K285),Jobs!$Q$5:$Q$504,0),"")</f>
        <v/>
      </c>
      <c r="M285" s="16"/>
      <c r="N285" s="12"/>
      <c r="O285" s="12"/>
      <c r="P285" s="13"/>
      <c r="Q285" s="19" t="str">
        <f aca="false">IF($N285="","",IFERROR(INDEX($C$5:$C$504,MATCH($N285,$A$5:$A$504,0)),"Invoice not found"))</f>
        <v/>
      </c>
    </row>
    <row r="286" customFormat="false" ht="15" hidden="false" customHeight="false" outlineLevel="0" collapsed="false">
      <c r="A286" s="19" t="str">
        <f aca="false">IF($K286="","",INDEX(Jobs!$O$5:$O$504,$K286))</f>
        <v/>
      </c>
      <c r="B286" s="22" t="str">
        <f aca="false">IF($K286="","",INDEX(Jobs!$A$5:$A$504,$K286))</f>
        <v/>
      </c>
      <c r="C286" s="19" t="str">
        <f aca="false">IF($K286="","",INDEX(Jobs!$B$5:$B$504,$K286))</f>
        <v/>
      </c>
      <c r="D286" s="19" t="str">
        <f aca="false">IF($K286="","",INDEX(Jobs!$J$5:$J$504,$K286))</f>
        <v/>
      </c>
      <c r="E286" s="15" t="str">
        <f aca="false">IF($K286="","",INDEX(Jobs!$N$5:$N$504,$K286))</f>
        <v/>
      </c>
      <c r="F286" s="15" t="str">
        <f aca="false">IF($A286="","",SUMIFS($P$5:$P$1004,$N$5:$N$1004,$A286))</f>
        <v/>
      </c>
      <c r="G286" s="15" t="str">
        <f aca="false">IF($A286="","",$E286-$F286)</f>
        <v/>
      </c>
      <c r="H286" s="22" t="str">
        <f aca="false">IF($A286="","",$B286+Settings!$B$11)</f>
        <v/>
      </c>
      <c r="I286" s="19" t="str">
        <f aca="true">IF($A286="","",IF($G286&lt;=0,"Paid",IF(TODAY()&gt;$H286,"Overdue",IF($F286&gt;0,"Partial","Unpaid"))))</f>
        <v/>
      </c>
      <c r="J286" s="14" t="str">
        <f aca="true">IF($A286="","",IF(AND($G286&gt;0,TODAY()&gt;$H286),TODAY()-$H286,""))</f>
        <v/>
      </c>
      <c r="K286" s="2" t="str">
        <f aca="false">IFERROR(MATCH(ROWS($K$5:$K286),Jobs!$Q$5:$Q$504,0),"")</f>
        <v/>
      </c>
      <c r="M286" s="16"/>
      <c r="N286" s="12"/>
      <c r="O286" s="12"/>
      <c r="P286" s="13"/>
      <c r="Q286" s="19" t="str">
        <f aca="false">IF($N286="","",IFERROR(INDEX($C$5:$C$504,MATCH($N286,$A$5:$A$504,0)),"Invoice not found"))</f>
        <v/>
      </c>
    </row>
    <row r="287" customFormat="false" ht="15" hidden="false" customHeight="false" outlineLevel="0" collapsed="false">
      <c r="A287" s="19" t="str">
        <f aca="false">IF($K287="","",INDEX(Jobs!$O$5:$O$504,$K287))</f>
        <v/>
      </c>
      <c r="B287" s="22" t="str">
        <f aca="false">IF($K287="","",INDEX(Jobs!$A$5:$A$504,$K287))</f>
        <v/>
      </c>
      <c r="C287" s="19" t="str">
        <f aca="false">IF($K287="","",INDEX(Jobs!$B$5:$B$504,$K287))</f>
        <v/>
      </c>
      <c r="D287" s="19" t="str">
        <f aca="false">IF($K287="","",INDEX(Jobs!$J$5:$J$504,$K287))</f>
        <v/>
      </c>
      <c r="E287" s="15" t="str">
        <f aca="false">IF($K287="","",INDEX(Jobs!$N$5:$N$504,$K287))</f>
        <v/>
      </c>
      <c r="F287" s="15" t="str">
        <f aca="false">IF($A287="","",SUMIFS($P$5:$P$1004,$N$5:$N$1004,$A287))</f>
        <v/>
      </c>
      <c r="G287" s="15" t="str">
        <f aca="false">IF($A287="","",$E287-$F287)</f>
        <v/>
      </c>
      <c r="H287" s="22" t="str">
        <f aca="false">IF($A287="","",$B287+Settings!$B$11)</f>
        <v/>
      </c>
      <c r="I287" s="19" t="str">
        <f aca="true">IF($A287="","",IF($G287&lt;=0,"Paid",IF(TODAY()&gt;$H287,"Overdue",IF($F287&gt;0,"Partial","Unpaid"))))</f>
        <v/>
      </c>
      <c r="J287" s="14" t="str">
        <f aca="true">IF($A287="","",IF(AND($G287&gt;0,TODAY()&gt;$H287),TODAY()-$H287,""))</f>
        <v/>
      </c>
      <c r="K287" s="2" t="str">
        <f aca="false">IFERROR(MATCH(ROWS($K$5:$K287),Jobs!$Q$5:$Q$504,0),"")</f>
        <v/>
      </c>
      <c r="M287" s="16"/>
      <c r="N287" s="12"/>
      <c r="O287" s="12"/>
      <c r="P287" s="13"/>
      <c r="Q287" s="19" t="str">
        <f aca="false">IF($N287="","",IFERROR(INDEX($C$5:$C$504,MATCH($N287,$A$5:$A$504,0)),"Invoice not found"))</f>
        <v/>
      </c>
    </row>
    <row r="288" customFormat="false" ht="15" hidden="false" customHeight="false" outlineLevel="0" collapsed="false">
      <c r="A288" s="19" t="str">
        <f aca="false">IF($K288="","",INDEX(Jobs!$O$5:$O$504,$K288))</f>
        <v/>
      </c>
      <c r="B288" s="22" t="str">
        <f aca="false">IF($K288="","",INDEX(Jobs!$A$5:$A$504,$K288))</f>
        <v/>
      </c>
      <c r="C288" s="19" t="str">
        <f aca="false">IF($K288="","",INDEX(Jobs!$B$5:$B$504,$K288))</f>
        <v/>
      </c>
      <c r="D288" s="19" t="str">
        <f aca="false">IF($K288="","",INDEX(Jobs!$J$5:$J$504,$K288))</f>
        <v/>
      </c>
      <c r="E288" s="15" t="str">
        <f aca="false">IF($K288="","",INDEX(Jobs!$N$5:$N$504,$K288))</f>
        <v/>
      </c>
      <c r="F288" s="15" t="str">
        <f aca="false">IF($A288="","",SUMIFS($P$5:$P$1004,$N$5:$N$1004,$A288))</f>
        <v/>
      </c>
      <c r="G288" s="15" t="str">
        <f aca="false">IF($A288="","",$E288-$F288)</f>
        <v/>
      </c>
      <c r="H288" s="22" t="str">
        <f aca="false">IF($A288="","",$B288+Settings!$B$11)</f>
        <v/>
      </c>
      <c r="I288" s="19" t="str">
        <f aca="true">IF($A288="","",IF($G288&lt;=0,"Paid",IF(TODAY()&gt;$H288,"Overdue",IF($F288&gt;0,"Partial","Unpaid"))))</f>
        <v/>
      </c>
      <c r="J288" s="14" t="str">
        <f aca="true">IF($A288="","",IF(AND($G288&gt;0,TODAY()&gt;$H288),TODAY()-$H288,""))</f>
        <v/>
      </c>
      <c r="K288" s="2" t="str">
        <f aca="false">IFERROR(MATCH(ROWS($K$5:$K288),Jobs!$Q$5:$Q$504,0),"")</f>
        <v/>
      </c>
      <c r="M288" s="16"/>
      <c r="N288" s="12"/>
      <c r="O288" s="12"/>
      <c r="P288" s="13"/>
      <c r="Q288" s="19" t="str">
        <f aca="false">IF($N288="","",IFERROR(INDEX($C$5:$C$504,MATCH($N288,$A$5:$A$504,0)),"Invoice not found"))</f>
        <v/>
      </c>
    </row>
    <row r="289" customFormat="false" ht="15" hidden="false" customHeight="false" outlineLevel="0" collapsed="false">
      <c r="A289" s="19" t="str">
        <f aca="false">IF($K289="","",INDEX(Jobs!$O$5:$O$504,$K289))</f>
        <v/>
      </c>
      <c r="B289" s="22" t="str">
        <f aca="false">IF($K289="","",INDEX(Jobs!$A$5:$A$504,$K289))</f>
        <v/>
      </c>
      <c r="C289" s="19" t="str">
        <f aca="false">IF($K289="","",INDEX(Jobs!$B$5:$B$504,$K289))</f>
        <v/>
      </c>
      <c r="D289" s="19" t="str">
        <f aca="false">IF($K289="","",INDEX(Jobs!$J$5:$J$504,$K289))</f>
        <v/>
      </c>
      <c r="E289" s="15" t="str">
        <f aca="false">IF($K289="","",INDEX(Jobs!$N$5:$N$504,$K289))</f>
        <v/>
      </c>
      <c r="F289" s="15" t="str">
        <f aca="false">IF($A289="","",SUMIFS($P$5:$P$1004,$N$5:$N$1004,$A289))</f>
        <v/>
      </c>
      <c r="G289" s="15" t="str">
        <f aca="false">IF($A289="","",$E289-$F289)</f>
        <v/>
      </c>
      <c r="H289" s="22" t="str">
        <f aca="false">IF($A289="","",$B289+Settings!$B$11)</f>
        <v/>
      </c>
      <c r="I289" s="19" t="str">
        <f aca="true">IF($A289="","",IF($G289&lt;=0,"Paid",IF(TODAY()&gt;$H289,"Overdue",IF($F289&gt;0,"Partial","Unpaid"))))</f>
        <v/>
      </c>
      <c r="J289" s="14" t="str">
        <f aca="true">IF($A289="","",IF(AND($G289&gt;0,TODAY()&gt;$H289),TODAY()-$H289,""))</f>
        <v/>
      </c>
      <c r="K289" s="2" t="str">
        <f aca="false">IFERROR(MATCH(ROWS($K$5:$K289),Jobs!$Q$5:$Q$504,0),"")</f>
        <v/>
      </c>
      <c r="M289" s="16"/>
      <c r="N289" s="12"/>
      <c r="O289" s="12"/>
      <c r="P289" s="13"/>
      <c r="Q289" s="19" t="str">
        <f aca="false">IF($N289="","",IFERROR(INDEX($C$5:$C$504,MATCH($N289,$A$5:$A$504,0)),"Invoice not found"))</f>
        <v/>
      </c>
    </row>
    <row r="290" customFormat="false" ht="15" hidden="false" customHeight="false" outlineLevel="0" collapsed="false">
      <c r="A290" s="19" t="str">
        <f aca="false">IF($K290="","",INDEX(Jobs!$O$5:$O$504,$K290))</f>
        <v/>
      </c>
      <c r="B290" s="22" t="str">
        <f aca="false">IF($K290="","",INDEX(Jobs!$A$5:$A$504,$K290))</f>
        <v/>
      </c>
      <c r="C290" s="19" t="str">
        <f aca="false">IF($K290="","",INDEX(Jobs!$B$5:$B$504,$K290))</f>
        <v/>
      </c>
      <c r="D290" s="19" t="str">
        <f aca="false">IF($K290="","",INDEX(Jobs!$J$5:$J$504,$K290))</f>
        <v/>
      </c>
      <c r="E290" s="15" t="str">
        <f aca="false">IF($K290="","",INDEX(Jobs!$N$5:$N$504,$K290))</f>
        <v/>
      </c>
      <c r="F290" s="15" t="str">
        <f aca="false">IF($A290="","",SUMIFS($P$5:$P$1004,$N$5:$N$1004,$A290))</f>
        <v/>
      </c>
      <c r="G290" s="15" t="str">
        <f aca="false">IF($A290="","",$E290-$F290)</f>
        <v/>
      </c>
      <c r="H290" s="22" t="str">
        <f aca="false">IF($A290="","",$B290+Settings!$B$11)</f>
        <v/>
      </c>
      <c r="I290" s="19" t="str">
        <f aca="true">IF($A290="","",IF($G290&lt;=0,"Paid",IF(TODAY()&gt;$H290,"Overdue",IF($F290&gt;0,"Partial","Unpaid"))))</f>
        <v/>
      </c>
      <c r="J290" s="14" t="str">
        <f aca="true">IF($A290="","",IF(AND($G290&gt;0,TODAY()&gt;$H290),TODAY()-$H290,""))</f>
        <v/>
      </c>
      <c r="K290" s="2" t="str">
        <f aca="false">IFERROR(MATCH(ROWS($K$5:$K290),Jobs!$Q$5:$Q$504,0),"")</f>
        <v/>
      </c>
      <c r="M290" s="16"/>
      <c r="N290" s="12"/>
      <c r="O290" s="12"/>
      <c r="P290" s="13"/>
      <c r="Q290" s="19" t="str">
        <f aca="false">IF($N290="","",IFERROR(INDEX($C$5:$C$504,MATCH($N290,$A$5:$A$504,0)),"Invoice not found"))</f>
        <v/>
      </c>
    </row>
    <row r="291" customFormat="false" ht="15" hidden="false" customHeight="false" outlineLevel="0" collapsed="false">
      <c r="A291" s="19" t="str">
        <f aca="false">IF($K291="","",INDEX(Jobs!$O$5:$O$504,$K291))</f>
        <v/>
      </c>
      <c r="B291" s="22" t="str">
        <f aca="false">IF($K291="","",INDEX(Jobs!$A$5:$A$504,$K291))</f>
        <v/>
      </c>
      <c r="C291" s="19" t="str">
        <f aca="false">IF($K291="","",INDEX(Jobs!$B$5:$B$504,$K291))</f>
        <v/>
      </c>
      <c r="D291" s="19" t="str">
        <f aca="false">IF($K291="","",INDEX(Jobs!$J$5:$J$504,$K291))</f>
        <v/>
      </c>
      <c r="E291" s="15" t="str">
        <f aca="false">IF($K291="","",INDEX(Jobs!$N$5:$N$504,$K291))</f>
        <v/>
      </c>
      <c r="F291" s="15" t="str">
        <f aca="false">IF($A291="","",SUMIFS($P$5:$P$1004,$N$5:$N$1004,$A291))</f>
        <v/>
      </c>
      <c r="G291" s="15" t="str">
        <f aca="false">IF($A291="","",$E291-$F291)</f>
        <v/>
      </c>
      <c r="H291" s="22" t="str">
        <f aca="false">IF($A291="","",$B291+Settings!$B$11)</f>
        <v/>
      </c>
      <c r="I291" s="19" t="str">
        <f aca="true">IF($A291="","",IF($G291&lt;=0,"Paid",IF(TODAY()&gt;$H291,"Overdue",IF($F291&gt;0,"Partial","Unpaid"))))</f>
        <v/>
      </c>
      <c r="J291" s="14" t="str">
        <f aca="true">IF($A291="","",IF(AND($G291&gt;0,TODAY()&gt;$H291),TODAY()-$H291,""))</f>
        <v/>
      </c>
      <c r="K291" s="2" t="str">
        <f aca="false">IFERROR(MATCH(ROWS($K$5:$K291),Jobs!$Q$5:$Q$504,0),"")</f>
        <v/>
      </c>
      <c r="M291" s="16"/>
      <c r="N291" s="12"/>
      <c r="O291" s="12"/>
      <c r="P291" s="13"/>
      <c r="Q291" s="19" t="str">
        <f aca="false">IF($N291="","",IFERROR(INDEX($C$5:$C$504,MATCH($N291,$A$5:$A$504,0)),"Invoice not found"))</f>
        <v/>
      </c>
    </row>
    <row r="292" customFormat="false" ht="15" hidden="false" customHeight="false" outlineLevel="0" collapsed="false">
      <c r="A292" s="19" t="str">
        <f aca="false">IF($K292="","",INDEX(Jobs!$O$5:$O$504,$K292))</f>
        <v/>
      </c>
      <c r="B292" s="22" t="str">
        <f aca="false">IF($K292="","",INDEX(Jobs!$A$5:$A$504,$K292))</f>
        <v/>
      </c>
      <c r="C292" s="19" t="str">
        <f aca="false">IF($K292="","",INDEX(Jobs!$B$5:$B$504,$K292))</f>
        <v/>
      </c>
      <c r="D292" s="19" t="str">
        <f aca="false">IF($K292="","",INDEX(Jobs!$J$5:$J$504,$K292))</f>
        <v/>
      </c>
      <c r="E292" s="15" t="str">
        <f aca="false">IF($K292="","",INDEX(Jobs!$N$5:$N$504,$K292))</f>
        <v/>
      </c>
      <c r="F292" s="15" t="str">
        <f aca="false">IF($A292="","",SUMIFS($P$5:$P$1004,$N$5:$N$1004,$A292))</f>
        <v/>
      </c>
      <c r="G292" s="15" t="str">
        <f aca="false">IF($A292="","",$E292-$F292)</f>
        <v/>
      </c>
      <c r="H292" s="22" t="str">
        <f aca="false">IF($A292="","",$B292+Settings!$B$11)</f>
        <v/>
      </c>
      <c r="I292" s="19" t="str">
        <f aca="true">IF($A292="","",IF($G292&lt;=0,"Paid",IF(TODAY()&gt;$H292,"Overdue",IF($F292&gt;0,"Partial","Unpaid"))))</f>
        <v/>
      </c>
      <c r="J292" s="14" t="str">
        <f aca="true">IF($A292="","",IF(AND($G292&gt;0,TODAY()&gt;$H292),TODAY()-$H292,""))</f>
        <v/>
      </c>
      <c r="K292" s="2" t="str">
        <f aca="false">IFERROR(MATCH(ROWS($K$5:$K292),Jobs!$Q$5:$Q$504,0),"")</f>
        <v/>
      </c>
      <c r="M292" s="16"/>
      <c r="N292" s="12"/>
      <c r="O292" s="12"/>
      <c r="P292" s="13"/>
      <c r="Q292" s="19" t="str">
        <f aca="false">IF($N292="","",IFERROR(INDEX($C$5:$C$504,MATCH($N292,$A$5:$A$504,0)),"Invoice not found"))</f>
        <v/>
      </c>
    </row>
    <row r="293" customFormat="false" ht="15" hidden="false" customHeight="false" outlineLevel="0" collapsed="false">
      <c r="A293" s="19" t="str">
        <f aca="false">IF($K293="","",INDEX(Jobs!$O$5:$O$504,$K293))</f>
        <v/>
      </c>
      <c r="B293" s="22" t="str">
        <f aca="false">IF($K293="","",INDEX(Jobs!$A$5:$A$504,$K293))</f>
        <v/>
      </c>
      <c r="C293" s="19" t="str">
        <f aca="false">IF($K293="","",INDEX(Jobs!$B$5:$B$504,$K293))</f>
        <v/>
      </c>
      <c r="D293" s="19" t="str">
        <f aca="false">IF($K293="","",INDEX(Jobs!$J$5:$J$504,$K293))</f>
        <v/>
      </c>
      <c r="E293" s="15" t="str">
        <f aca="false">IF($K293="","",INDEX(Jobs!$N$5:$N$504,$K293))</f>
        <v/>
      </c>
      <c r="F293" s="15" t="str">
        <f aca="false">IF($A293="","",SUMIFS($P$5:$P$1004,$N$5:$N$1004,$A293))</f>
        <v/>
      </c>
      <c r="G293" s="15" t="str">
        <f aca="false">IF($A293="","",$E293-$F293)</f>
        <v/>
      </c>
      <c r="H293" s="22" t="str">
        <f aca="false">IF($A293="","",$B293+Settings!$B$11)</f>
        <v/>
      </c>
      <c r="I293" s="19" t="str">
        <f aca="true">IF($A293="","",IF($G293&lt;=0,"Paid",IF(TODAY()&gt;$H293,"Overdue",IF($F293&gt;0,"Partial","Unpaid"))))</f>
        <v/>
      </c>
      <c r="J293" s="14" t="str">
        <f aca="true">IF($A293="","",IF(AND($G293&gt;0,TODAY()&gt;$H293),TODAY()-$H293,""))</f>
        <v/>
      </c>
      <c r="K293" s="2" t="str">
        <f aca="false">IFERROR(MATCH(ROWS($K$5:$K293),Jobs!$Q$5:$Q$504,0),"")</f>
        <v/>
      </c>
      <c r="M293" s="16"/>
      <c r="N293" s="12"/>
      <c r="O293" s="12"/>
      <c r="P293" s="13"/>
      <c r="Q293" s="19" t="str">
        <f aca="false">IF($N293="","",IFERROR(INDEX($C$5:$C$504,MATCH($N293,$A$5:$A$504,0)),"Invoice not found"))</f>
        <v/>
      </c>
    </row>
    <row r="294" customFormat="false" ht="15" hidden="false" customHeight="false" outlineLevel="0" collapsed="false">
      <c r="A294" s="19" t="str">
        <f aca="false">IF($K294="","",INDEX(Jobs!$O$5:$O$504,$K294))</f>
        <v/>
      </c>
      <c r="B294" s="22" t="str">
        <f aca="false">IF($K294="","",INDEX(Jobs!$A$5:$A$504,$K294))</f>
        <v/>
      </c>
      <c r="C294" s="19" t="str">
        <f aca="false">IF($K294="","",INDEX(Jobs!$B$5:$B$504,$K294))</f>
        <v/>
      </c>
      <c r="D294" s="19" t="str">
        <f aca="false">IF($K294="","",INDEX(Jobs!$J$5:$J$504,$K294))</f>
        <v/>
      </c>
      <c r="E294" s="15" t="str">
        <f aca="false">IF($K294="","",INDEX(Jobs!$N$5:$N$504,$K294))</f>
        <v/>
      </c>
      <c r="F294" s="15" t="str">
        <f aca="false">IF($A294="","",SUMIFS($P$5:$P$1004,$N$5:$N$1004,$A294))</f>
        <v/>
      </c>
      <c r="G294" s="15" t="str">
        <f aca="false">IF($A294="","",$E294-$F294)</f>
        <v/>
      </c>
      <c r="H294" s="22" t="str">
        <f aca="false">IF($A294="","",$B294+Settings!$B$11)</f>
        <v/>
      </c>
      <c r="I294" s="19" t="str">
        <f aca="true">IF($A294="","",IF($G294&lt;=0,"Paid",IF(TODAY()&gt;$H294,"Overdue",IF($F294&gt;0,"Partial","Unpaid"))))</f>
        <v/>
      </c>
      <c r="J294" s="14" t="str">
        <f aca="true">IF($A294="","",IF(AND($G294&gt;0,TODAY()&gt;$H294),TODAY()-$H294,""))</f>
        <v/>
      </c>
      <c r="K294" s="2" t="str">
        <f aca="false">IFERROR(MATCH(ROWS($K$5:$K294),Jobs!$Q$5:$Q$504,0),"")</f>
        <v/>
      </c>
      <c r="M294" s="16"/>
      <c r="N294" s="12"/>
      <c r="O294" s="12"/>
      <c r="P294" s="13"/>
      <c r="Q294" s="19" t="str">
        <f aca="false">IF($N294="","",IFERROR(INDEX($C$5:$C$504,MATCH($N294,$A$5:$A$504,0)),"Invoice not found"))</f>
        <v/>
      </c>
    </row>
    <row r="295" customFormat="false" ht="15" hidden="false" customHeight="false" outlineLevel="0" collapsed="false">
      <c r="A295" s="19" t="str">
        <f aca="false">IF($K295="","",INDEX(Jobs!$O$5:$O$504,$K295))</f>
        <v/>
      </c>
      <c r="B295" s="22" t="str">
        <f aca="false">IF($K295="","",INDEX(Jobs!$A$5:$A$504,$K295))</f>
        <v/>
      </c>
      <c r="C295" s="19" t="str">
        <f aca="false">IF($K295="","",INDEX(Jobs!$B$5:$B$504,$K295))</f>
        <v/>
      </c>
      <c r="D295" s="19" t="str">
        <f aca="false">IF($K295="","",INDEX(Jobs!$J$5:$J$504,$K295))</f>
        <v/>
      </c>
      <c r="E295" s="15" t="str">
        <f aca="false">IF($K295="","",INDEX(Jobs!$N$5:$N$504,$K295))</f>
        <v/>
      </c>
      <c r="F295" s="15" t="str">
        <f aca="false">IF($A295="","",SUMIFS($P$5:$P$1004,$N$5:$N$1004,$A295))</f>
        <v/>
      </c>
      <c r="G295" s="15" t="str">
        <f aca="false">IF($A295="","",$E295-$F295)</f>
        <v/>
      </c>
      <c r="H295" s="22" t="str">
        <f aca="false">IF($A295="","",$B295+Settings!$B$11)</f>
        <v/>
      </c>
      <c r="I295" s="19" t="str">
        <f aca="true">IF($A295="","",IF($G295&lt;=0,"Paid",IF(TODAY()&gt;$H295,"Overdue",IF($F295&gt;0,"Partial","Unpaid"))))</f>
        <v/>
      </c>
      <c r="J295" s="14" t="str">
        <f aca="true">IF($A295="","",IF(AND($G295&gt;0,TODAY()&gt;$H295),TODAY()-$H295,""))</f>
        <v/>
      </c>
      <c r="K295" s="2" t="str">
        <f aca="false">IFERROR(MATCH(ROWS($K$5:$K295),Jobs!$Q$5:$Q$504,0),"")</f>
        <v/>
      </c>
      <c r="M295" s="16"/>
      <c r="N295" s="12"/>
      <c r="O295" s="12"/>
      <c r="P295" s="13"/>
      <c r="Q295" s="19" t="str">
        <f aca="false">IF($N295="","",IFERROR(INDEX($C$5:$C$504,MATCH($N295,$A$5:$A$504,0)),"Invoice not found"))</f>
        <v/>
      </c>
    </row>
    <row r="296" customFormat="false" ht="15" hidden="false" customHeight="false" outlineLevel="0" collapsed="false">
      <c r="A296" s="19" t="str">
        <f aca="false">IF($K296="","",INDEX(Jobs!$O$5:$O$504,$K296))</f>
        <v/>
      </c>
      <c r="B296" s="22" t="str">
        <f aca="false">IF($K296="","",INDEX(Jobs!$A$5:$A$504,$K296))</f>
        <v/>
      </c>
      <c r="C296" s="19" t="str">
        <f aca="false">IF($K296="","",INDEX(Jobs!$B$5:$B$504,$K296))</f>
        <v/>
      </c>
      <c r="D296" s="19" t="str">
        <f aca="false">IF($K296="","",INDEX(Jobs!$J$5:$J$504,$K296))</f>
        <v/>
      </c>
      <c r="E296" s="15" t="str">
        <f aca="false">IF($K296="","",INDEX(Jobs!$N$5:$N$504,$K296))</f>
        <v/>
      </c>
      <c r="F296" s="15" t="str">
        <f aca="false">IF($A296="","",SUMIFS($P$5:$P$1004,$N$5:$N$1004,$A296))</f>
        <v/>
      </c>
      <c r="G296" s="15" t="str">
        <f aca="false">IF($A296="","",$E296-$F296)</f>
        <v/>
      </c>
      <c r="H296" s="22" t="str">
        <f aca="false">IF($A296="","",$B296+Settings!$B$11)</f>
        <v/>
      </c>
      <c r="I296" s="19" t="str">
        <f aca="true">IF($A296="","",IF($G296&lt;=0,"Paid",IF(TODAY()&gt;$H296,"Overdue",IF($F296&gt;0,"Partial","Unpaid"))))</f>
        <v/>
      </c>
      <c r="J296" s="14" t="str">
        <f aca="true">IF($A296="","",IF(AND($G296&gt;0,TODAY()&gt;$H296),TODAY()-$H296,""))</f>
        <v/>
      </c>
      <c r="K296" s="2" t="str">
        <f aca="false">IFERROR(MATCH(ROWS($K$5:$K296),Jobs!$Q$5:$Q$504,0),"")</f>
        <v/>
      </c>
      <c r="M296" s="16"/>
      <c r="N296" s="12"/>
      <c r="O296" s="12"/>
      <c r="P296" s="13"/>
      <c r="Q296" s="19" t="str">
        <f aca="false">IF($N296="","",IFERROR(INDEX($C$5:$C$504,MATCH($N296,$A$5:$A$504,0)),"Invoice not found"))</f>
        <v/>
      </c>
    </row>
    <row r="297" customFormat="false" ht="15" hidden="false" customHeight="false" outlineLevel="0" collapsed="false">
      <c r="A297" s="19" t="str">
        <f aca="false">IF($K297="","",INDEX(Jobs!$O$5:$O$504,$K297))</f>
        <v/>
      </c>
      <c r="B297" s="22" t="str">
        <f aca="false">IF($K297="","",INDEX(Jobs!$A$5:$A$504,$K297))</f>
        <v/>
      </c>
      <c r="C297" s="19" t="str">
        <f aca="false">IF($K297="","",INDEX(Jobs!$B$5:$B$504,$K297))</f>
        <v/>
      </c>
      <c r="D297" s="19" t="str">
        <f aca="false">IF($K297="","",INDEX(Jobs!$J$5:$J$504,$K297))</f>
        <v/>
      </c>
      <c r="E297" s="15" t="str">
        <f aca="false">IF($K297="","",INDEX(Jobs!$N$5:$N$504,$K297))</f>
        <v/>
      </c>
      <c r="F297" s="15" t="str">
        <f aca="false">IF($A297="","",SUMIFS($P$5:$P$1004,$N$5:$N$1004,$A297))</f>
        <v/>
      </c>
      <c r="G297" s="15" t="str">
        <f aca="false">IF($A297="","",$E297-$F297)</f>
        <v/>
      </c>
      <c r="H297" s="22" t="str">
        <f aca="false">IF($A297="","",$B297+Settings!$B$11)</f>
        <v/>
      </c>
      <c r="I297" s="19" t="str">
        <f aca="true">IF($A297="","",IF($G297&lt;=0,"Paid",IF(TODAY()&gt;$H297,"Overdue",IF($F297&gt;0,"Partial","Unpaid"))))</f>
        <v/>
      </c>
      <c r="J297" s="14" t="str">
        <f aca="true">IF($A297="","",IF(AND($G297&gt;0,TODAY()&gt;$H297),TODAY()-$H297,""))</f>
        <v/>
      </c>
      <c r="K297" s="2" t="str">
        <f aca="false">IFERROR(MATCH(ROWS($K$5:$K297),Jobs!$Q$5:$Q$504,0),"")</f>
        <v/>
      </c>
      <c r="M297" s="16"/>
      <c r="N297" s="12"/>
      <c r="O297" s="12"/>
      <c r="P297" s="13"/>
      <c r="Q297" s="19" t="str">
        <f aca="false">IF($N297="","",IFERROR(INDEX($C$5:$C$504,MATCH($N297,$A$5:$A$504,0)),"Invoice not found"))</f>
        <v/>
      </c>
    </row>
    <row r="298" customFormat="false" ht="15" hidden="false" customHeight="false" outlineLevel="0" collapsed="false">
      <c r="A298" s="19" t="str">
        <f aca="false">IF($K298="","",INDEX(Jobs!$O$5:$O$504,$K298))</f>
        <v/>
      </c>
      <c r="B298" s="22" t="str">
        <f aca="false">IF($K298="","",INDEX(Jobs!$A$5:$A$504,$K298))</f>
        <v/>
      </c>
      <c r="C298" s="19" t="str">
        <f aca="false">IF($K298="","",INDEX(Jobs!$B$5:$B$504,$K298))</f>
        <v/>
      </c>
      <c r="D298" s="19" t="str">
        <f aca="false">IF($K298="","",INDEX(Jobs!$J$5:$J$504,$K298))</f>
        <v/>
      </c>
      <c r="E298" s="15" t="str">
        <f aca="false">IF($K298="","",INDEX(Jobs!$N$5:$N$504,$K298))</f>
        <v/>
      </c>
      <c r="F298" s="15" t="str">
        <f aca="false">IF($A298="","",SUMIFS($P$5:$P$1004,$N$5:$N$1004,$A298))</f>
        <v/>
      </c>
      <c r="G298" s="15" t="str">
        <f aca="false">IF($A298="","",$E298-$F298)</f>
        <v/>
      </c>
      <c r="H298" s="22" t="str">
        <f aca="false">IF($A298="","",$B298+Settings!$B$11)</f>
        <v/>
      </c>
      <c r="I298" s="19" t="str">
        <f aca="true">IF($A298="","",IF($G298&lt;=0,"Paid",IF(TODAY()&gt;$H298,"Overdue",IF($F298&gt;0,"Partial","Unpaid"))))</f>
        <v/>
      </c>
      <c r="J298" s="14" t="str">
        <f aca="true">IF($A298="","",IF(AND($G298&gt;0,TODAY()&gt;$H298),TODAY()-$H298,""))</f>
        <v/>
      </c>
      <c r="K298" s="2" t="str">
        <f aca="false">IFERROR(MATCH(ROWS($K$5:$K298),Jobs!$Q$5:$Q$504,0),"")</f>
        <v/>
      </c>
      <c r="M298" s="16"/>
      <c r="N298" s="12"/>
      <c r="O298" s="12"/>
      <c r="P298" s="13"/>
      <c r="Q298" s="19" t="str">
        <f aca="false">IF($N298="","",IFERROR(INDEX($C$5:$C$504,MATCH($N298,$A$5:$A$504,0)),"Invoice not found"))</f>
        <v/>
      </c>
    </row>
    <row r="299" customFormat="false" ht="15" hidden="false" customHeight="false" outlineLevel="0" collapsed="false">
      <c r="A299" s="19" t="str">
        <f aca="false">IF($K299="","",INDEX(Jobs!$O$5:$O$504,$K299))</f>
        <v/>
      </c>
      <c r="B299" s="22" t="str">
        <f aca="false">IF($K299="","",INDEX(Jobs!$A$5:$A$504,$K299))</f>
        <v/>
      </c>
      <c r="C299" s="19" t="str">
        <f aca="false">IF($K299="","",INDEX(Jobs!$B$5:$B$504,$K299))</f>
        <v/>
      </c>
      <c r="D299" s="19" t="str">
        <f aca="false">IF($K299="","",INDEX(Jobs!$J$5:$J$504,$K299))</f>
        <v/>
      </c>
      <c r="E299" s="15" t="str">
        <f aca="false">IF($K299="","",INDEX(Jobs!$N$5:$N$504,$K299))</f>
        <v/>
      </c>
      <c r="F299" s="15" t="str">
        <f aca="false">IF($A299="","",SUMIFS($P$5:$P$1004,$N$5:$N$1004,$A299))</f>
        <v/>
      </c>
      <c r="G299" s="15" t="str">
        <f aca="false">IF($A299="","",$E299-$F299)</f>
        <v/>
      </c>
      <c r="H299" s="22" t="str">
        <f aca="false">IF($A299="","",$B299+Settings!$B$11)</f>
        <v/>
      </c>
      <c r="I299" s="19" t="str">
        <f aca="true">IF($A299="","",IF($G299&lt;=0,"Paid",IF(TODAY()&gt;$H299,"Overdue",IF($F299&gt;0,"Partial","Unpaid"))))</f>
        <v/>
      </c>
      <c r="J299" s="14" t="str">
        <f aca="true">IF($A299="","",IF(AND($G299&gt;0,TODAY()&gt;$H299),TODAY()-$H299,""))</f>
        <v/>
      </c>
      <c r="K299" s="2" t="str">
        <f aca="false">IFERROR(MATCH(ROWS($K$5:$K299),Jobs!$Q$5:$Q$504,0),"")</f>
        <v/>
      </c>
      <c r="M299" s="16"/>
      <c r="N299" s="12"/>
      <c r="O299" s="12"/>
      <c r="P299" s="13"/>
      <c r="Q299" s="19" t="str">
        <f aca="false">IF($N299="","",IFERROR(INDEX($C$5:$C$504,MATCH($N299,$A$5:$A$504,0)),"Invoice not found"))</f>
        <v/>
      </c>
    </row>
    <row r="300" customFormat="false" ht="15" hidden="false" customHeight="false" outlineLevel="0" collapsed="false">
      <c r="A300" s="19" t="str">
        <f aca="false">IF($K300="","",INDEX(Jobs!$O$5:$O$504,$K300))</f>
        <v/>
      </c>
      <c r="B300" s="22" t="str">
        <f aca="false">IF($K300="","",INDEX(Jobs!$A$5:$A$504,$K300))</f>
        <v/>
      </c>
      <c r="C300" s="19" t="str">
        <f aca="false">IF($K300="","",INDEX(Jobs!$B$5:$B$504,$K300))</f>
        <v/>
      </c>
      <c r="D300" s="19" t="str">
        <f aca="false">IF($K300="","",INDEX(Jobs!$J$5:$J$504,$K300))</f>
        <v/>
      </c>
      <c r="E300" s="15" t="str">
        <f aca="false">IF($K300="","",INDEX(Jobs!$N$5:$N$504,$K300))</f>
        <v/>
      </c>
      <c r="F300" s="15" t="str">
        <f aca="false">IF($A300="","",SUMIFS($P$5:$P$1004,$N$5:$N$1004,$A300))</f>
        <v/>
      </c>
      <c r="G300" s="15" t="str">
        <f aca="false">IF($A300="","",$E300-$F300)</f>
        <v/>
      </c>
      <c r="H300" s="22" t="str">
        <f aca="false">IF($A300="","",$B300+Settings!$B$11)</f>
        <v/>
      </c>
      <c r="I300" s="19" t="str">
        <f aca="true">IF($A300="","",IF($G300&lt;=0,"Paid",IF(TODAY()&gt;$H300,"Overdue",IF($F300&gt;0,"Partial","Unpaid"))))</f>
        <v/>
      </c>
      <c r="J300" s="14" t="str">
        <f aca="true">IF($A300="","",IF(AND($G300&gt;0,TODAY()&gt;$H300),TODAY()-$H300,""))</f>
        <v/>
      </c>
      <c r="K300" s="2" t="str">
        <f aca="false">IFERROR(MATCH(ROWS($K$5:$K300),Jobs!$Q$5:$Q$504,0),"")</f>
        <v/>
      </c>
      <c r="M300" s="16"/>
      <c r="N300" s="12"/>
      <c r="O300" s="12"/>
      <c r="P300" s="13"/>
      <c r="Q300" s="19" t="str">
        <f aca="false">IF($N300="","",IFERROR(INDEX($C$5:$C$504,MATCH($N300,$A$5:$A$504,0)),"Invoice not found"))</f>
        <v/>
      </c>
    </row>
    <row r="301" customFormat="false" ht="15" hidden="false" customHeight="false" outlineLevel="0" collapsed="false">
      <c r="A301" s="19" t="str">
        <f aca="false">IF($K301="","",INDEX(Jobs!$O$5:$O$504,$K301))</f>
        <v/>
      </c>
      <c r="B301" s="22" t="str">
        <f aca="false">IF($K301="","",INDEX(Jobs!$A$5:$A$504,$K301))</f>
        <v/>
      </c>
      <c r="C301" s="19" t="str">
        <f aca="false">IF($K301="","",INDEX(Jobs!$B$5:$B$504,$K301))</f>
        <v/>
      </c>
      <c r="D301" s="19" t="str">
        <f aca="false">IF($K301="","",INDEX(Jobs!$J$5:$J$504,$K301))</f>
        <v/>
      </c>
      <c r="E301" s="15" t="str">
        <f aca="false">IF($K301="","",INDEX(Jobs!$N$5:$N$504,$K301))</f>
        <v/>
      </c>
      <c r="F301" s="15" t="str">
        <f aca="false">IF($A301="","",SUMIFS($P$5:$P$1004,$N$5:$N$1004,$A301))</f>
        <v/>
      </c>
      <c r="G301" s="15" t="str">
        <f aca="false">IF($A301="","",$E301-$F301)</f>
        <v/>
      </c>
      <c r="H301" s="22" t="str">
        <f aca="false">IF($A301="","",$B301+Settings!$B$11)</f>
        <v/>
      </c>
      <c r="I301" s="19" t="str">
        <f aca="true">IF($A301="","",IF($G301&lt;=0,"Paid",IF(TODAY()&gt;$H301,"Overdue",IF($F301&gt;0,"Partial","Unpaid"))))</f>
        <v/>
      </c>
      <c r="J301" s="14" t="str">
        <f aca="true">IF($A301="","",IF(AND($G301&gt;0,TODAY()&gt;$H301),TODAY()-$H301,""))</f>
        <v/>
      </c>
      <c r="K301" s="2" t="str">
        <f aca="false">IFERROR(MATCH(ROWS($K$5:$K301),Jobs!$Q$5:$Q$504,0),"")</f>
        <v/>
      </c>
      <c r="M301" s="16"/>
      <c r="N301" s="12"/>
      <c r="O301" s="12"/>
      <c r="P301" s="13"/>
      <c r="Q301" s="19" t="str">
        <f aca="false">IF($N301="","",IFERROR(INDEX($C$5:$C$504,MATCH($N301,$A$5:$A$504,0)),"Invoice not found"))</f>
        <v/>
      </c>
    </row>
    <row r="302" customFormat="false" ht="15" hidden="false" customHeight="false" outlineLevel="0" collapsed="false">
      <c r="A302" s="19" t="str">
        <f aca="false">IF($K302="","",INDEX(Jobs!$O$5:$O$504,$K302))</f>
        <v/>
      </c>
      <c r="B302" s="22" t="str">
        <f aca="false">IF($K302="","",INDEX(Jobs!$A$5:$A$504,$K302))</f>
        <v/>
      </c>
      <c r="C302" s="19" t="str">
        <f aca="false">IF($K302="","",INDEX(Jobs!$B$5:$B$504,$K302))</f>
        <v/>
      </c>
      <c r="D302" s="19" t="str">
        <f aca="false">IF($K302="","",INDEX(Jobs!$J$5:$J$504,$K302))</f>
        <v/>
      </c>
      <c r="E302" s="15" t="str">
        <f aca="false">IF($K302="","",INDEX(Jobs!$N$5:$N$504,$K302))</f>
        <v/>
      </c>
      <c r="F302" s="15" t="str">
        <f aca="false">IF($A302="","",SUMIFS($P$5:$P$1004,$N$5:$N$1004,$A302))</f>
        <v/>
      </c>
      <c r="G302" s="15" t="str">
        <f aca="false">IF($A302="","",$E302-$F302)</f>
        <v/>
      </c>
      <c r="H302" s="22" t="str">
        <f aca="false">IF($A302="","",$B302+Settings!$B$11)</f>
        <v/>
      </c>
      <c r="I302" s="19" t="str">
        <f aca="true">IF($A302="","",IF($G302&lt;=0,"Paid",IF(TODAY()&gt;$H302,"Overdue",IF($F302&gt;0,"Partial","Unpaid"))))</f>
        <v/>
      </c>
      <c r="J302" s="14" t="str">
        <f aca="true">IF($A302="","",IF(AND($G302&gt;0,TODAY()&gt;$H302),TODAY()-$H302,""))</f>
        <v/>
      </c>
      <c r="K302" s="2" t="str">
        <f aca="false">IFERROR(MATCH(ROWS($K$5:$K302),Jobs!$Q$5:$Q$504,0),"")</f>
        <v/>
      </c>
      <c r="M302" s="16"/>
      <c r="N302" s="12"/>
      <c r="O302" s="12"/>
      <c r="P302" s="13"/>
      <c r="Q302" s="19" t="str">
        <f aca="false">IF($N302="","",IFERROR(INDEX($C$5:$C$504,MATCH($N302,$A$5:$A$504,0)),"Invoice not found"))</f>
        <v/>
      </c>
    </row>
    <row r="303" customFormat="false" ht="15" hidden="false" customHeight="false" outlineLevel="0" collapsed="false">
      <c r="A303" s="19" t="str">
        <f aca="false">IF($K303="","",INDEX(Jobs!$O$5:$O$504,$K303))</f>
        <v/>
      </c>
      <c r="B303" s="22" t="str">
        <f aca="false">IF($K303="","",INDEX(Jobs!$A$5:$A$504,$K303))</f>
        <v/>
      </c>
      <c r="C303" s="19" t="str">
        <f aca="false">IF($K303="","",INDEX(Jobs!$B$5:$B$504,$K303))</f>
        <v/>
      </c>
      <c r="D303" s="19" t="str">
        <f aca="false">IF($K303="","",INDEX(Jobs!$J$5:$J$504,$K303))</f>
        <v/>
      </c>
      <c r="E303" s="15" t="str">
        <f aca="false">IF($K303="","",INDEX(Jobs!$N$5:$N$504,$K303))</f>
        <v/>
      </c>
      <c r="F303" s="15" t="str">
        <f aca="false">IF($A303="","",SUMIFS($P$5:$P$1004,$N$5:$N$1004,$A303))</f>
        <v/>
      </c>
      <c r="G303" s="15" t="str">
        <f aca="false">IF($A303="","",$E303-$F303)</f>
        <v/>
      </c>
      <c r="H303" s="22" t="str">
        <f aca="false">IF($A303="","",$B303+Settings!$B$11)</f>
        <v/>
      </c>
      <c r="I303" s="19" t="str">
        <f aca="true">IF($A303="","",IF($G303&lt;=0,"Paid",IF(TODAY()&gt;$H303,"Overdue",IF($F303&gt;0,"Partial","Unpaid"))))</f>
        <v/>
      </c>
      <c r="J303" s="14" t="str">
        <f aca="true">IF($A303="","",IF(AND($G303&gt;0,TODAY()&gt;$H303),TODAY()-$H303,""))</f>
        <v/>
      </c>
      <c r="K303" s="2" t="str">
        <f aca="false">IFERROR(MATCH(ROWS($K$5:$K303),Jobs!$Q$5:$Q$504,0),"")</f>
        <v/>
      </c>
      <c r="M303" s="16"/>
      <c r="N303" s="12"/>
      <c r="O303" s="12"/>
      <c r="P303" s="13"/>
      <c r="Q303" s="19" t="str">
        <f aca="false">IF($N303="","",IFERROR(INDEX($C$5:$C$504,MATCH($N303,$A$5:$A$504,0)),"Invoice not found"))</f>
        <v/>
      </c>
    </row>
    <row r="304" customFormat="false" ht="15" hidden="false" customHeight="false" outlineLevel="0" collapsed="false">
      <c r="A304" s="19" t="str">
        <f aca="false">IF($K304="","",INDEX(Jobs!$O$5:$O$504,$K304))</f>
        <v/>
      </c>
      <c r="B304" s="22" t="str">
        <f aca="false">IF($K304="","",INDEX(Jobs!$A$5:$A$504,$K304))</f>
        <v/>
      </c>
      <c r="C304" s="19" t="str">
        <f aca="false">IF($K304="","",INDEX(Jobs!$B$5:$B$504,$K304))</f>
        <v/>
      </c>
      <c r="D304" s="19" t="str">
        <f aca="false">IF($K304="","",INDEX(Jobs!$J$5:$J$504,$K304))</f>
        <v/>
      </c>
      <c r="E304" s="15" t="str">
        <f aca="false">IF($K304="","",INDEX(Jobs!$N$5:$N$504,$K304))</f>
        <v/>
      </c>
      <c r="F304" s="15" t="str">
        <f aca="false">IF($A304="","",SUMIFS($P$5:$P$1004,$N$5:$N$1004,$A304))</f>
        <v/>
      </c>
      <c r="G304" s="15" t="str">
        <f aca="false">IF($A304="","",$E304-$F304)</f>
        <v/>
      </c>
      <c r="H304" s="22" t="str">
        <f aca="false">IF($A304="","",$B304+Settings!$B$11)</f>
        <v/>
      </c>
      <c r="I304" s="19" t="str">
        <f aca="true">IF($A304="","",IF($G304&lt;=0,"Paid",IF(TODAY()&gt;$H304,"Overdue",IF($F304&gt;0,"Partial","Unpaid"))))</f>
        <v/>
      </c>
      <c r="J304" s="14" t="str">
        <f aca="true">IF($A304="","",IF(AND($G304&gt;0,TODAY()&gt;$H304),TODAY()-$H304,""))</f>
        <v/>
      </c>
      <c r="K304" s="2" t="str">
        <f aca="false">IFERROR(MATCH(ROWS($K$5:$K304),Jobs!$Q$5:$Q$504,0),"")</f>
        <v/>
      </c>
      <c r="M304" s="16"/>
      <c r="N304" s="12"/>
      <c r="O304" s="12"/>
      <c r="P304" s="13"/>
      <c r="Q304" s="19" t="str">
        <f aca="false">IF($N304="","",IFERROR(INDEX($C$5:$C$504,MATCH($N304,$A$5:$A$504,0)),"Invoice not found"))</f>
        <v/>
      </c>
    </row>
    <row r="305" customFormat="false" ht="15" hidden="false" customHeight="false" outlineLevel="0" collapsed="false">
      <c r="A305" s="19" t="str">
        <f aca="false">IF($K305="","",INDEX(Jobs!$O$5:$O$504,$K305))</f>
        <v/>
      </c>
      <c r="B305" s="22" t="str">
        <f aca="false">IF($K305="","",INDEX(Jobs!$A$5:$A$504,$K305))</f>
        <v/>
      </c>
      <c r="C305" s="19" t="str">
        <f aca="false">IF($K305="","",INDEX(Jobs!$B$5:$B$504,$K305))</f>
        <v/>
      </c>
      <c r="D305" s="19" t="str">
        <f aca="false">IF($K305="","",INDEX(Jobs!$J$5:$J$504,$K305))</f>
        <v/>
      </c>
      <c r="E305" s="15" t="str">
        <f aca="false">IF($K305="","",INDEX(Jobs!$N$5:$N$504,$K305))</f>
        <v/>
      </c>
      <c r="F305" s="15" t="str">
        <f aca="false">IF($A305="","",SUMIFS($P$5:$P$1004,$N$5:$N$1004,$A305))</f>
        <v/>
      </c>
      <c r="G305" s="15" t="str">
        <f aca="false">IF($A305="","",$E305-$F305)</f>
        <v/>
      </c>
      <c r="H305" s="22" t="str">
        <f aca="false">IF($A305="","",$B305+Settings!$B$11)</f>
        <v/>
      </c>
      <c r="I305" s="19" t="str">
        <f aca="true">IF($A305="","",IF($G305&lt;=0,"Paid",IF(TODAY()&gt;$H305,"Overdue",IF($F305&gt;0,"Partial","Unpaid"))))</f>
        <v/>
      </c>
      <c r="J305" s="14" t="str">
        <f aca="true">IF($A305="","",IF(AND($G305&gt;0,TODAY()&gt;$H305),TODAY()-$H305,""))</f>
        <v/>
      </c>
      <c r="K305" s="2" t="str">
        <f aca="false">IFERROR(MATCH(ROWS($K$5:$K305),Jobs!$Q$5:$Q$504,0),"")</f>
        <v/>
      </c>
      <c r="M305" s="16"/>
      <c r="N305" s="12"/>
      <c r="O305" s="12"/>
      <c r="P305" s="13"/>
      <c r="Q305" s="19" t="str">
        <f aca="false">IF($N305="","",IFERROR(INDEX($C$5:$C$504,MATCH($N305,$A$5:$A$504,0)),"Invoice not found"))</f>
        <v/>
      </c>
    </row>
    <row r="306" customFormat="false" ht="15" hidden="false" customHeight="false" outlineLevel="0" collapsed="false">
      <c r="A306" s="19" t="str">
        <f aca="false">IF($K306="","",INDEX(Jobs!$O$5:$O$504,$K306))</f>
        <v/>
      </c>
      <c r="B306" s="22" t="str">
        <f aca="false">IF($K306="","",INDEX(Jobs!$A$5:$A$504,$K306))</f>
        <v/>
      </c>
      <c r="C306" s="19" t="str">
        <f aca="false">IF($K306="","",INDEX(Jobs!$B$5:$B$504,$K306))</f>
        <v/>
      </c>
      <c r="D306" s="19" t="str">
        <f aca="false">IF($K306="","",INDEX(Jobs!$J$5:$J$504,$K306))</f>
        <v/>
      </c>
      <c r="E306" s="15" t="str">
        <f aca="false">IF($K306="","",INDEX(Jobs!$N$5:$N$504,$K306))</f>
        <v/>
      </c>
      <c r="F306" s="15" t="str">
        <f aca="false">IF($A306="","",SUMIFS($P$5:$P$1004,$N$5:$N$1004,$A306))</f>
        <v/>
      </c>
      <c r="G306" s="15" t="str">
        <f aca="false">IF($A306="","",$E306-$F306)</f>
        <v/>
      </c>
      <c r="H306" s="22" t="str">
        <f aca="false">IF($A306="","",$B306+Settings!$B$11)</f>
        <v/>
      </c>
      <c r="I306" s="19" t="str">
        <f aca="true">IF($A306="","",IF($G306&lt;=0,"Paid",IF(TODAY()&gt;$H306,"Overdue",IF($F306&gt;0,"Partial","Unpaid"))))</f>
        <v/>
      </c>
      <c r="J306" s="14" t="str">
        <f aca="true">IF($A306="","",IF(AND($G306&gt;0,TODAY()&gt;$H306),TODAY()-$H306,""))</f>
        <v/>
      </c>
      <c r="K306" s="2" t="str">
        <f aca="false">IFERROR(MATCH(ROWS($K$5:$K306),Jobs!$Q$5:$Q$504,0),"")</f>
        <v/>
      </c>
      <c r="M306" s="16"/>
      <c r="N306" s="12"/>
      <c r="O306" s="12"/>
      <c r="P306" s="13"/>
      <c r="Q306" s="19" t="str">
        <f aca="false">IF($N306="","",IFERROR(INDEX($C$5:$C$504,MATCH($N306,$A$5:$A$504,0)),"Invoice not found"))</f>
        <v/>
      </c>
    </row>
    <row r="307" customFormat="false" ht="15" hidden="false" customHeight="false" outlineLevel="0" collapsed="false">
      <c r="A307" s="19" t="str">
        <f aca="false">IF($K307="","",INDEX(Jobs!$O$5:$O$504,$K307))</f>
        <v/>
      </c>
      <c r="B307" s="22" t="str">
        <f aca="false">IF($K307="","",INDEX(Jobs!$A$5:$A$504,$K307))</f>
        <v/>
      </c>
      <c r="C307" s="19" t="str">
        <f aca="false">IF($K307="","",INDEX(Jobs!$B$5:$B$504,$K307))</f>
        <v/>
      </c>
      <c r="D307" s="19" t="str">
        <f aca="false">IF($K307="","",INDEX(Jobs!$J$5:$J$504,$K307))</f>
        <v/>
      </c>
      <c r="E307" s="15" t="str">
        <f aca="false">IF($K307="","",INDEX(Jobs!$N$5:$N$504,$K307))</f>
        <v/>
      </c>
      <c r="F307" s="15" t="str">
        <f aca="false">IF($A307="","",SUMIFS($P$5:$P$1004,$N$5:$N$1004,$A307))</f>
        <v/>
      </c>
      <c r="G307" s="15" t="str">
        <f aca="false">IF($A307="","",$E307-$F307)</f>
        <v/>
      </c>
      <c r="H307" s="22" t="str">
        <f aca="false">IF($A307="","",$B307+Settings!$B$11)</f>
        <v/>
      </c>
      <c r="I307" s="19" t="str">
        <f aca="true">IF($A307="","",IF($G307&lt;=0,"Paid",IF(TODAY()&gt;$H307,"Overdue",IF($F307&gt;0,"Partial","Unpaid"))))</f>
        <v/>
      </c>
      <c r="J307" s="14" t="str">
        <f aca="true">IF($A307="","",IF(AND($G307&gt;0,TODAY()&gt;$H307),TODAY()-$H307,""))</f>
        <v/>
      </c>
      <c r="K307" s="2" t="str">
        <f aca="false">IFERROR(MATCH(ROWS($K$5:$K307),Jobs!$Q$5:$Q$504,0),"")</f>
        <v/>
      </c>
      <c r="M307" s="16"/>
      <c r="N307" s="12"/>
      <c r="O307" s="12"/>
      <c r="P307" s="13"/>
      <c r="Q307" s="19" t="str">
        <f aca="false">IF($N307="","",IFERROR(INDEX($C$5:$C$504,MATCH($N307,$A$5:$A$504,0)),"Invoice not found"))</f>
        <v/>
      </c>
    </row>
    <row r="308" customFormat="false" ht="15" hidden="false" customHeight="false" outlineLevel="0" collapsed="false">
      <c r="A308" s="19" t="str">
        <f aca="false">IF($K308="","",INDEX(Jobs!$O$5:$O$504,$K308))</f>
        <v/>
      </c>
      <c r="B308" s="22" t="str">
        <f aca="false">IF($K308="","",INDEX(Jobs!$A$5:$A$504,$K308))</f>
        <v/>
      </c>
      <c r="C308" s="19" t="str">
        <f aca="false">IF($K308="","",INDEX(Jobs!$B$5:$B$504,$K308))</f>
        <v/>
      </c>
      <c r="D308" s="19" t="str">
        <f aca="false">IF($K308="","",INDEX(Jobs!$J$5:$J$504,$K308))</f>
        <v/>
      </c>
      <c r="E308" s="15" t="str">
        <f aca="false">IF($K308="","",INDEX(Jobs!$N$5:$N$504,$K308))</f>
        <v/>
      </c>
      <c r="F308" s="15" t="str">
        <f aca="false">IF($A308="","",SUMIFS($P$5:$P$1004,$N$5:$N$1004,$A308))</f>
        <v/>
      </c>
      <c r="G308" s="15" t="str">
        <f aca="false">IF($A308="","",$E308-$F308)</f>
        <v/>
      </c>
      <c r="H308" s="22" t="str">
        <f aca="false">IF($A308="","",$B308+Settings!$B$11)</f>
        <v/>
      </c>
      <c r="I308" s="19" t="str">
        <f aca="true">IF($A308="","",IF($G308&lt;=0,"Paid",IF(TODAY()&gt;$H308,"Overdue",IF($F308&gt;0,"Partial","Unpaid"))))</f>
        <v/>
      </c>
      <c r="J308" s="14" t="str">
        <f aca="true">IF($A308="","",IF(AND($G308&gt;0,TODAY()&gt;$H308),TODAY()-$H308,""))</f>
        <v/>
      </c>
      <c r="K308" s="2" t="str">
        <f aca="false">IFERROR(MATCH(ROWS($K$5:$K308),Jobs!$Q$5:$Q$504,0),"")</f>
        <v/>
      </c>
      <c r="M308" s="16"/>
      <c r="N308" s="12"/>
      <c r="O308" s="12"/>
      <c r="P308" s="13"/>
      <c r="Q308" s="19" t="str">
        <f aca="false">IF($N308="","",IFERROR(INDEX($C$5:$C$504,MATCH($N308,$A$5:$A$504,0)),"Invoice not found"))</f>
        <v/>
      </c>
    </row>
    <row r="309" customFormat="false" ht="15" hidden="false" customHeight="false" outlineLevel="0" collapsed="false">
      <c r="A309" s="19" t="str">
        <f aca="false">IF($K309="","",INDEX(Jobs!$O$5:$O$504,$K309))</f>
        <v/>
      </c>
      <c r="B309" s="22" t="str">
        <f aca="false">IF($K309="","",INDEX(Jobs!$A$5:$A$504,$K309))</f>
        <v/>
      </c>
      <c r="C309" s="19" t="str">
        <f aca="false">IF($K309="","",INDEX(Jobs!$B$5:$B$504,$K309))</f>
        <v/>
      </c>
      <c r="D309" s="19" t="str">
        <f aca="false">IF($K309="","",INDEX(Jobs!$J$5:$J$504,$K309))</f>
        <v/>
      </c>
      <c r="E309" s="15" t="str">
        <f aca="false">IF($K309="","",INDEX(Jobs!$N$5:$N$504,$K309))</f>
        <v/>
      </c>
      <c r="F309" s="15" t="str">
        <f aca="false">IF($A309="","",SUMIFS($P$5:$P$1004,$N$5:$N$1004,$A309))</f>
        <v/>
      </c>
      <c r="G309" s="15" t="str">
        <f aca="false">IF($A309="","",$E309-$F309)</f>
        <v/>
      </c>
      <c r="H309" s="22" t="str">
        <f aca="false">IF($A309="","",$B309+Settings!$B$11)</f>
        <v/>
      </c>
      <c r="I309" s="19" t="str">
        <f aca="true">IF($A309="","",IF($G309&lt;=0,"Paid",IF(TODAY()&gt;$H309,"Overdue",IF($F309&gt;0,"Partial","Unpaid"))))</f>
        <v/>
      </c>
      <c r="J309" s="14" t="str">
        <f aca="true">IF($A309="","",IF(AND($G309&gt;0,TODAY()&gt;$H309),TODAY()-$H309,""))</f>
        <v/>
      </c>
      <c r="K309" s="2" t="str">
        <f aca="false">IFERROR(MATCH(ROWS($K$5:$K309),Jobs!$Q$5:$Q$504,0),"")</f>
        <v/>
      </c>
      <c r="M309" s="16"/>
      <c r="N309" s="12"/>
      <c r="O309" s="12"/>
      <c r="P309" s="13"/>
      <c r="Q309" s="19" t="str">
        <f aca="false">IF($N309="","",IFERROR(INDEX($C$5:$C$504,MATCH($N309,$A$5:$A$504,0)),"Invoice not found"))</f>
        <v/>
      </c>
    </row>
    <row r="310" customFormat="false" ht="15" hidden="false" customHeight="false" outlineLevel="0" collapsed="false">
      <c r="A310" s="19" t="str">
        <f aca="false">IF($K310="","",INDEX(Jobs!$O$5:$O$504,$K310))</f>
        <v/>
      </c>
      <c r="B310" s="22" t="str">
        <f aca="false">IF($K310="","",INDEX(Jobs!$A$5:$A$504,$K310))</f>
        <v/>
      </c>
      <c r="C310" s="19" t="str">
        <f aca="false">IF($K310="","",INDEX(Jobs!$B$5:$B$504,$K310))</f>
        <v/>
      </c>
      <c r="D310" s="19" t="str">
        <f aca="false">IF($K310="","",INDEX(Jobs!$J$5:$J$504,$K310))</f>
        <v/>
      </c>
      <c r="E310" s="15" t="str">
        <f aca="false">IF($K310="","",INDEX(Jobs!$N$5:$N$504,$K310))</f>
        <v/>
      </c>
      <c r="F310" s="15" t="str">
        <f aca="false">IF($A310="","",SUMIFS($P$5:$P$1004,$N$5:$N$1004,$A310))</f>
        <v/>
      </c>
      <c r="G310" s="15" t="str">
        <f aca="false">IF($A310="","",$E310-$F310)</f>
        <v/>
      </c>
      <c r="H310" s="22" t="str">
        <f aca="false">IF($A310="","",$B310+Settings!$B$11)</f>
        <v/>
      </c>
      <c r="I310" s="19" t="str">
        <f aca="true">IF($A310="","",IF($G310&lt;=0,"Paid",IF(TODAY()&gt;$H310,"Overdue",IF($F310&gt;0,"Partial","Unpaid"))))</f>
        <v/>
      </c>
      <c r="J310" s="14" t="str">
        <f aca="true">IF($A310="","",IF(AND($G310&gt;0,TODAY()&gt;$H310),TODAY()-$H310,""))</f>
        <v/>
      </c>
      <c r="K310" s="2" t="str">
        <f aca="false">IFERROR(MATCH(ROWS($K$5:$K310),Jobs!$Q$5:$Q$504,0),"")</f>
        <v/>
      </c>
      <c r="M310" s="16"/>
      <c r="N310" s="12"/>
      <c r="O310" s="12"/>
      <c r="P310" s="13"/>
      <c r="Q310" s="19" t="str">
        <f aca="false">IF($N310="","",IFERROR(INDEX($C$5:$C$504,MATCH($N310,$A$5:$A$504,0)),"Invoice not found"))</f>
        <v/>
      </c>
    </row>
    <row r="311" customFormat="false" ht="15" hidden="false" customHeight="false" outlineLevel="0" collapsed="false">
      <c r="A311" s="19" t="str">
        <f aca="false">IF($K311="","",INDEX(Jobs!$O$5:$O$504,$K311))</f>
        <v/>
      </c>
      <c r="B311" s="22" t="str">
        <f aca="false">IF($K311="","",INDEX(Jobs!$A$5:$A$504,$K311))</f>
        <v/>
      </c>
      <c r="C311" s="19" t="str">
        <f aca="false">IF($K311="","",INDEX(Jobs!$B$5:$B$504,$K311))</f>
        <v/>
      </c>
      <c r="D311" s="19" t="str">
        <f aca="false">IF($K311="","",INDEX(Jobs!$J$5:$J$504,$K311))</f>
        <v/>
      </c>
      <c r="E311" s="15" t="str">
        <f aca="false">IF($K311="","",INDEX(Jobs!$N$5:$N$504,$K311))</f>
        <v/>
      </c>
      <c r="F311" s="15" t="str">
        <f aca="false">IF($A311="","",SUMIFS($P$5:$P$1004,$N$5:$N$1004,$A311))</f>
        <v/>
      </c>
      <c r="G311" s="15" t="str">
        <f aca="false">IF($A311="","",$E311-$F311)</f>
        <v/>
      </c>
      <c r="H311" s="22" t="str">
        <f aca="false">IF($A311="","",$B311+Settings!$B$11)</f>
        <v/>
      </c>
      <c r="I311" s="19" t="str">
        <f aca="true">IF($A311="","",IF($G311&lt;=0,"Paid",IF(TODAY()&gt;$H311,"Overdue",IF($F311&gt;0,"Partial","Unpaid"))))</f>
        <v/>
      </c>
      <c r="J311" s="14" t="str">
        <f aca="true">IF($A311="","",IF(AND($G311&gt;0,TODAY()&gt;$H311),TODAY()-$H311,""))</f>
        <v/>
      </c>
      <c r="K311" s="2" t="str">
        <f aca="false">IFERROR(MATCH(ROWS($K$5:$K311),Jobs!$Q$5:$Q$504,0),"")</f>
        <v/>
      </c>
      <c r="M311" s="16"/>
      <c r="N311" s="12"/>
      <c r="O311" s="12"/>
      <c r="P311" s="13"/>
      <c r="Q311" s="19" t="str">
        <f aca="false">IF($N311="","",IFERROR(INDEX($C$5:$C$504,MATCH($N311,$A$5:$A$504,0)),"Invoice not found"))</f>
        <v/>
      </c>
    </row>
    <row r="312" customFormat="false" ht="15" hidden="false" customHeight="false" outlineLevel="0" collapsed="false">
      <c r="A312" s="19" t="str">
        <f aca="false">IF($K312="","",INDEX(Jobs!$O$5:$O$504,$K312))</f>
        <v/>
      </c>
      <c r="B312" s="22" t="str">
        <f aca="false">IF($K312="","",INDEX(Jobs!$A$5:$A$504,$K312))</f>
        <v/>
      </c>
      <c r="C312" s="19" t="str">
        <f aca="false">IF($K312="","",INDEX(Jobs!$B$5:$B$504,$K312))</f>
        <v/>
      </c>
      <c r="D312" s="19" t="str">
        <f aca="false">IF($K312="","",INDEX(Jobs!$J$5:$J$504,$K312))</f>
        <v/>
      </c>
      <c r="E312" s="15" t="str">
        <f aca="false">IF($K312="","",INDEX(Jobs!$N$5:$N$504,$K312))</f>
        <v/>
      </c>
      <c r="F312" s="15" t="str">
        <f aca="false">IF($A312="","",SUMIFS($P$5:$P$1004,$N$5:$N$1004,$A312))</f>
        <v/>
      </c>
      <c r="G312" s="15" t="str">
        <f aca="false">IF($A312="","",$E312-$F312)</f>
        <v/>
      </c>
      <c r="H312" s="22" t="str">
        <f aca="false">IF($A312="","",$B312+Settings!$B$11)</f>
        <v/>
      </c>
      <c r="I312" s="19" t="str">
        <f aca="true">IF($A312="","",IF($G312&lt;=0,"Paid",IF(TODAY()&gt;$H312,"Overdue",IF($F312&gt;0,"Partial","Unpaid"))))</f>
        <v/>
      </c>
      <c r="J312" s="14" t="str">
        <f aca="true">IF($A312="","",IF(AND($G312&gt;0,TODAY()&gt;$H312),TODAY()-$H312,""))</f>
        <v/>
      </c>
      <c r="K312" s="2" t="str">
        <f aca="false">IFERROR(MATCH(ROWS($K$5:$K312),Jobs!$Q$5:$Q$504,0),"")</f>
        <v/>
      </c>
      <c r="M312" s="16"/>
      <c r="N312" s="12"/>
      <c r="O312" s="12"/>
      <c r="P312" s="13"/>
      <c r="Q312" s="19" t="str">
        <f aca="false">IF($N312="","",IFERROR(INDEX($C$5:$C$504,MATCH($N312,$A$5:$A$504,0)),"Invoice not found"))</f>
        <v/>
      </c>
    </row>
    <row r="313" customFormat="false" ht="15" hidden="false" customHeight="false" outlineLevel="0" collapsed="false">
      <c r="A313" s="19" t="str">
        <f aca="false">IF($K313="","",INDEX(Jobs!$O$5:$O$504,$K313))</f>
        <v/>
      </c>
      <c r="B313" s="22" t="str">
        <f aca="false">IF($K313="","",INDEX(Jobs!$A$5:$A$504,$K313))</f>
        <v/>
      </c>
      <c r="C313" s="19" t="str">
        <f aca="false">IF($K313="","",INDEX(Jobs!$B$5:$B$504,$K313))</f>
        <v/>
      </c>
      <c r="D313" s="19" t="str">
        <f aca="false">IF($K313="","",INDEX(Jobs!$J$5:$J$504,$K313))</f>
        <v/>
      </c>
      <c r="E313" s="15" t="str">
        <f aca="false">IF($K313="","",INDEX(Jobs!$N$5:$N$504,$K313))</f>
        <v/>
      </c>
      <c r="F313" s="15" t="str">
        <f aca="false">IF($A313="","",SUMIFS($P$5:$P$1004,$N$5:$N$1004,$A313))</f>
        <v/>
      </c>
      <c r="G313" s="15" t="str">
        <f aca="false">IF($A313="","",$E313-$F313)</f>
        <v/>
      </c>
      <c r="H313" s="22" t="str">
        <f aca="false">IF($A313="","",$B313+Settings!$B$11)</f>
        <v/>
      </c>
      <c r="I313" s="19" t="str">
        <f aca="true">IF($A313="","",IF($G313&lt;=0,"Paid",IF(TODAY()&gt;$H313,"Overdue",IF($F313&gt;0,"Partial","Unpaid"))))</f>
        <v/>
      </c>
      <c r="J313" s="14" t="str">
        <f aca="true">IF($A313="","",IF(AND($G313&gt;0,TODAY()&gt;$H313),TODAY()-$H313,""))</f>
        <v/>
      </c>
      <c r="K313" s="2" t="str">
        <f aca="false">IFERROR(MATCH(ROWS($K$5:$K313),Jobs!$Q$5:$Q$504,0),"")</f>
        <v/>
      </c>
      <c r="M313" s="16"/>
      <c r="N313" s="12"/>
      <c r="O313" s="12"/>
      <c r="P313" s="13"/>
      <c r="Q313" s="19" t="str">
        <f aca="false">IF($N313="","",IFERROR(INDEX($C$5:$C$504,MATCH($N313,$A$5:$A$504,0)),"Invoice not found"))</f>
        <v/>
      </c>
    </row>
    <row r="314" customFormat="false" ht="15" hidden="false" customHeight="false" outlineLevel="0" collapsed="false">
      <c r="A314" s="19" t="str">
        <f aca="false">IF($K314="","",INDEX(Jobs!$O$5:$O$504,$K314))</f>
        <v/>
      </c>
      <c r="B314" s="22" t="str">
        <f aca="false">IF($K314="","",INDEX(Jobs!$A$5:$A$504,$K314))</f>
        <v/>
      </c>
      <c r="C314" s="19" t="str">
        <f aca="false">IF($K314="","",INDEX(Jobs!$B$5:$B$504,$K314))</f>
        <v/>
      </c>
      <c r="D314" s="19" t="str">
        <f aca="false">IF($K314="","",INDEX(Jobs!$J$5:$J$504,$K314))</f>
        <v/>
      </c>
      <c r="E314" s="15" t="str">
        <f aca="false">IF($K314="","",INDEX(Jobs!$N$5:$N$504,$K314))</f>
        <v/>
      </c>
      <c r="F314" s="15" t="str">
        <f aca="false">IF($A314="","",SUMIFS($P$5:$P$1004,$N$5:$N$1004,$A314))</f>
        <v/>
      </c>
      <c r="G314" s="15" t="str">
        <f aca="false">IF($A314="","",$E314-$F314)</f>
        <v/>
      </c>
      <c r="H314" s="22" t="str">
        <f aca="false">IF($A314="","",$B314+Settings!$B$11)</f>
        <v/>
      </c>
      <c r="I314" s="19" t="str">
        <f aca="true">IF($A314="","",IF($G314&lt;=0,"Paid",IF(TODAY()&gt;$H314,"Overdue",IF($F314&gt;0,"Partial","Unpaid"))))</f>
        <v/>
      </c>
      <c r="J314" s="14" t="str">
        <f aca="true">IF($A314="","",IF(AND($G314&gt;0,TODAY()&gt;$H314),TODAY()-$H314,""))</f>
        <v/>
      </c>
      <c r="K314" s="2" t="str">
        <f aca="false">IFERROR(MATCH(ROWS($K$5:$K314),Jobs!$Q$5:$Q$504,0),"")</f>
        <v/>
      </c>
      <c r="M314" s="16"/>
      <c r="N314" s="12"/>
      <c r="O314" s="12"/>
      <c r="P314" s="13"/>
      <c r="Q314" s="19" t="str">
        <f aca="false">IF($N314="","",IFERROR(INDEX($C$5:$C$504,MATCH($N314,$A$5:$A$504,0)),"Invoice not found"))</f>
        <v/>
      </c>
    </row>
    <row r="315" customFormat="false" ht="15" hidden="false" customHeight="false" outlineLevel="0" collapsed="false">
      <c r="A315" s="19" t="str">
        <f aca="false">IF($K315="","",INDEX(Jobs!$O$5:$O$504,$K315))</f>
        <v/>
      </c>
      <c r="B315" s="22" t="str">
        <f aca="false">IF($K315="","",INDEX(Jobs!$A$5:$A$504,$K315))</f>
        <v/>
      </c>
      <c r="C315" s="19" t="str">
        <f aca="false">IF($K315="","",INDEX(Jobs!$B$5:$B$504,$K315))</f>
        <v/>
      </c>
      <c r="D315" s="19" t="str">
        <f aca="false">IF($K315="","",INDEX(Jobs!$J$5:$J$504,$K315))</f>
        <v/>
      </c>
      <c r="E315" s="15" t="str">
        <f aca="false">IF($K315="","",INDEX(Jobs!$N$5:$N$504,$K315))</f>
        <v/>
      </c>
      <c r="F315" s="15" t="str">
        <f aca="false">IF($A315="","",SUMIFS($P$5:$P$1004,$N$5:$N$1004,$A315))</f>
        <v/>
      </c>
      <c r="G315" s="15" t="str">
        <f aca="false">IF($A315="","",$E315-$F315)</f>
        <v/>
      </c>
      <c r="H315" s="22" t="str">
        <f aca="false">IF($A315="","",$B315+Settings!$B$11)</f>
        <v/>
      </c>
      <c r="I315" s="19" t="str">
        <f aca="true">IF($A315="","",IF($G315&lt;=0,"Paid",IF(TODAY()&gt;$H315,"Overdue",IF($F315&gt;0,"Partial","Unpaid"))))</f>
        <v/>
      </c>
      <c r="J315" s="14" t="str">
        <f aca="true">IF($A315="","",IF(AND($G315&gt;0,TODAY()&gt;$H315),TODAY()-$H315,""))</f>
        <v/>
      </c>
      <c r="K315" s="2" t="str">
        <f aca="false">IFERROR(MATCH(ROWS($K$5:$K315),Jobs!$Q$5:$Q$504,0),"")</f>
        <v/>
      </c>
      <c r="M315" s="16"/>
      <c r="N315" s="12"/>
      <c r="O315" s="12"/>
      <c r="P315" s="13"/>
      <c r="Q315" s="19" t="str">
        <f aca="false">IF($N315="","",IFERROR(INDEX($C$5:$C$504,MATCH($N315,$A$5:$A$504,0)),"Invoice not found"))</f>
        <v/>
      </c>
    </row>
    <row r="316" customFormat="false" ht="15" hidden="false" customHeight="false" outlineLevel="0" collapsed="false">
      <c r="A316" s="19" t="str">
        <f aca="false">IF($K316="","",INDEX(Jobs!$O$5:$O$504,$K316))</f>
        <v/>
      </c>
      <c r="B316" s="22" t="str">
        <f aca="false">IF($K316="","",INDEX(Jobs!$A$5:$A$504,$K316))</f>
        <v/>
      </c>
      <c r="C316" s="19" t="str">
        <f aca="false">IF($K316="","",INDEX(Jobs!$B$5:$B$504,$K316))</f>
        <v/>
      </c>
      <c r="D316" s="19" t="str">
        <f aca="false">IF($K316="","",INDEX(Jobs!$J$5:$J$504,$K316))</f>
        <v/>
      </c>
      <c r="E316" s="15" t="str">
        <f aca="false">IF($K316="","",INDEX(Jobs!$N$5:$N$504,$K316))</f>
        <v/>
      </c>
      <c r="F316" s="15" t="str">
        <f aca="false">IF($A316="","",SUMIFS($P$5:$P$1004,$N$5:$N$1004,$A316))</f>
        <v/>
      </c>
      <c r="G316" s="15" t="str">
        <f aca="false">IF($A316="","",$E316-$F316)</f>
        <v/>
      </c>
      <c r="H316" s="22" t="str">
        <f aca="false">IF($A316="","",$B316+Settings!$B$11)</f>
        <v/>
      </c>
      <c r="I316" s="19" t="str">
        <f aca="true">IF($A316="","",IF($G316&lt;=0,"Paid",IF(TODAY()&gt;$H316,"Overdue",IF($F316&gt;0,"Partial","Unpaid"))))</f>
        <v/>
      </c>
      <c r="J316" s="14" t="str">
        <f aca="true">IF($A316="","",IF(AND($G316&gt;0,TODAY()&gt;$H316),TODAY()-$H316,""))</f>
        <v/>
      </c>
      <c r="K316" s="2" t="str">
        <f aca="false">IFERROR(MATCH(ROWS($K$5:$K316),Jobs!$Q$5:$Q$504,0),"")</f>
        <v/>
      </c>
      <c r="M316" s="16"/>
      <c r="N316" s="12"/>
      <c r="O316" s="12"/>
      <c r="P316" s="13"/>
      <c r="Q316" s="19" t="str">
        <f aca="false">IF($N316="","",IFERROR(INDEX($C$5:$C$504,MATCH($N316,$A$5:$A$504,0)),"Invoice not found"))</f>
        <v/>
      </c>
    </row>
    <row r="317" customFormat="false" ht="15" hidden="false" customHeight="false" outlineLevel="0" collapsed="false">
      <c r="A317" s="19" t="str">
        <f aca="false">IF($K317="","",INDEX(Jobs!$O$5:$O$504,$K317))</f>
        <v/>
      </c>
      <c r="B317" s="22" t="str">
        <f aca="false">IF($K317="","",INDEX(Jobs!$A$5:$A$504,$K317))</f>
        <v/>
      </c>
      <c r="C317" s="19" t="str">
        <f aca="false">IF($K317="","",INDEX(Jobs!$B$5:$B$504,$K317))</f>
        <v/>
      </c>
      <c r="D317" s="19" t="str">
        <f aca="false">IF($K317="","",INDEX(Jobs!$J$5:$J$504,$K317))</f>
        <v/>
      </c>
      <c r="E317" s="15" t="str">
        <f aca="false">IF($K317="","",INDEX(Jobs!$N$5:$N$504,$K317))</f>
        <v/>
      </c>
      <c r="F317" s="15" t="str">
        <f aca="false">IF($A317="","",SUMIFS($P$5:$P$1004,$N$5:$N$1004,$A317))</f>
        <v/>
      </c>
      <c r="G317" s="15" t="str">
        <f aca="false">IF($A317="","",$E317-$F317)</f>
        <v/>
      </c>
      <c r="H317" s="22" t="str">
        <f aca="false">IF($A317="","",$B317+Settings!$B$11)</f>
        <v/>
      </c>
      <c r="I317" s="19" t="str">
        <f aca="true">IF($A317="","",IF($G317&lt;=0,"Paid",IF(TODAY()&gt;$H317,"Overdue",IF($F317&gt;0,"Partial","Unpaid"))))</f>
        <v/>
      </c>
      <c r="J317" s="14" t="str">
        <f aca="true">IF($A317="","",IF(AND($G317&gt;0,TODAY()&gt;$H317),TODAY()-$H317,""))</f>
        <v/>
      </c>
      <c r="K317" s="2" t="str">
        <f aca="false">IFERROR(MATCH(ROWS($K$5:$K317),Jobs!$Q$5:$Q$504,0),"")</f>
        <v/>
      </c>
      <c r="M317" s="16"/>
      <c r="N317" s="12"/>
      <c r="O317" s="12"/>
      <c r="P317" s="13"/>
      <c r="Q317" s="19" t="str">
        <f aca="false">IF($N317="","",IFERROR(INDEX($C$5:$C$504,MATCH($N317,$A$5:$A$504,0)),"Invoice not found"))</f>
        <v/>
      </c>
    </row>
    <row r="318" customFormat="false" ht="15" hidden="false" customHeight="false" outlineLevel="0" collapsed="false">
      <c r="A318" s="19" t="str">
        <f aca="false">IF($K318="","",INDEX(Jobs!$O$5:$O$504,$K318))</f>
        <v/>
      </c>
      <c r="B318" s="22" t="str">
        <f aca="false">IF($K318="","",INDEX(Jobs!$A$5:$A$504,$K318))</f>
        <v/>
      </c>
      <c r="C318" s="19" t="str">
        <f aca="false">IF($K318="","",INDEX(Jobs!$B$5:$B$504,$K318))</f>
        <v/>
      </c>
      <c r="D318" s="19" t="str">
        <f aca="false">IF($K318="","",INDEX(Jobs!$J$5:$J$504,$K318))</f>
        <v/>
      </c>
      <c r="E318" s="15" t="str">
        <f aca="false">IF($K318="","",INDEX(Jobs!$N$5:$N$504,$K318))</f>
        <v/>
      </c>
      <c r="F318" s="15" t="str">
        <f aca="false">IF($A318="","",SUMIFS($P$5:$P$1004,$N$5:$N$1004,$A318))</f>
        <v/>
      </c>
      <c r="G318" s="15" t="str">
        <f aca="false">IF($A318="","",$E318-$F318)</f>
        <v/>
      </c>
      <c r="H318" s="22" t="str">
        <f aca="false">IF($A318="","",$B318+Settings!$B$11)</f>
        <v/>
      </c>
      <c r="I318" s="19" t="str">
        <f aca="true">IF($A318="","",IF($G318&lt;=0,"Paid",IF(TODAY()&gt;$H318,"Overdue",IF($F318&gt;0,"Partial","Unpaid"))))</f>
        <v/>
      </c>
      <c r="J318" s="14" t="str">
        <f aca="true">IF($A318="","",IF(AND($G318&gt;0,TODAY()&gt;$H318),TODAY()-$H318,""))</f>
        <v/>
      </c>
      <c r="K318" s="2" t="str">
        <f aca="false">IFERROR(MATCH(ROWS($K$5:$K318),Jobs!$Q$5:$Q$504,0),"")</f>
        <v/>
      </c>
      <c r="M318" s="16"/>
      <c r="N318" s="12"/>
      <c r="O318" s="12"/>
      <c r="P318" s="13"/>
      <c r="Q318" s="19" t="str">
        <f aca="false">IF($N318="","",IFERROR(INDEX($C$5:$C$504,MATCH($N318,$A$5:$A$504,0)),"Invoice not found"))</f>
        <v/>
      </c>
    </row>
    <row r="319" customFormat="false" ht="15" hidden="false" customHeight="false" outlineLevel="0" collapsed="false">
      <c r="A319" s="19" t="str">
        <f aca="false">IF($K319="","",INDEX(Jobs!$O$5:$O$504,$K319))</f>
        <v/>
      </c>
      <c r="B319" s="22" t="str">
        <f aca="false">IF($K319="","",INDEX(Jobs!$A$5:$A$504,$K319))</f>
        <v/>
      </c>
      <c r="C319" s="19" t="str">
        <f aca="false">IF($K319="","",INDEX(Jobs!$B$5:$B$504,$K319))</f>
        <v/>
      </c>
      <c r="D319" s="19" t="str">
        <f aca="false">IF($K319="","",INDEX(Jobs!$J$5:$J$504,$K319))</f>
        <v/>
      </c>
      <c r="E319" s="15" t="str">
        <f aca="false">IF($K319="","",INDEX(Jobs!$N$5:$N$504,$K319))</f>
        <v/>
      </c>
      <c r="F319" s="15" t="str">
        <f aca="false">IF($A319="","",SUMIFS($P$5:$P$1004,$N$5:$N$1004,$A319))</f>
        <v/>
      </c>
      <c r="G319" s="15" t="str">
        <f aca="false">IF($A319="","",$E319-$F319)</f>
        <v/>
      </c>
      <c r="H319" s="22" t="str">
        <f aca="false">IF($A319="","",$B319+Settings!$B$11)</f>
        <v/>
      </c>
      <c r="I319" s="19" t="str">
        <f aca="true">IF($A319="","",IF($G319&lt;=0,"Paid",IF(TODAY()&gt;$H319,"Overdue",IF($F319&gt;0,"Partial","Unpaid"))))</f>
        <v/>
      </c>
      <c r="J319" s="14" t="str">
        <f aca="true">IF($A319="","",IF(AND($G319&gt;0,TODAY()&gt;$H319),TODAY()-$H319,""))</f>
        <v/>
      </c>
      <c r="K319" s="2" t="str">
        <f aca="false">IFERROR(MATCH(ROWS($K$5:$K319),Jobs!$Q$5:$Q$504,0),"")</f>
        <v/>
      </c>
      <c r="M319" s="16"/>
      <c r="N319" s="12"/>
      <c r="O319" s="12"/>
      <c r="P319" s="13"/>
      <c r="Q319" s="19" t="str">
        <f aca="false">IF($N319="","",IFERROR(INDEX($C$5:$C$504,MATCH($N319,$A$5:$A$504,0)),"Invoice not found"))</f>
        <v/>
      </c>
    </row>
    <row r="320" customFormat="false" ht="15" hidden="false" customHeight="false" outlineLevel="0" collapsed="false">
      <c r="A320" s="19" t="str">
        <f aca="false">IF($K320="","",INDEX(Jobs!$O$5:$O$504,$K320))</f>
        <v/>
      </c>
      <c r="B320" s="22" t="str">
        <f aca="false">IF($K320="","",INDEX(Jobs!$A$5:$A$504,$K320))</f>
        <v/>
      </c>
      <c r="C320" s="19" t="str">
        <f aca="false">IF($K320="","",INDEX(Jobs!$B$5:$B$504,$K320))</f>
        <v/>
      </c>
      <c r="D320" s="19" t="str">
        <f aca="false">IF($K320="","",INDEX(Jobs!$J$5:$J$504,$K320))</f>
        <v/>
      </c>
      <c r="E320" s="15" t="str">
        <f aca="false">IF($K320="","",INDEX(Jobs!$N$5:$N$504,$K320))</f>
        <v/>
      </c>
      <c r="F320" s="15" t="str">
        <f aca="false">IF($A320="","",SUMIFS($P$5:$P$1004,$N$5:$N$1004,$A320))</f>
        <v/>
      </c>
      <c r="G320" s="15" t="str">
        <f aca="false">IF($A320="","",$E320-$F320)</f>
        <v/>
      </c>
      <c r="H320" s="22" t="str">
        <f aca="false">IF($A320="","",$B320+Settings!$B$11)</f>
        <v/>
      </c>
      <c r="I320" s="19" t="str">
        <f aca="true">IF($A320="","",IF($G320&lt;=0,"Paid",IF(TODAY()&gt;$H320,"Overdue",IF($F320&gt;0,"Partial","Unpaid"))))</f>
        <v/>
      </c>
      <c r="J320" s="14" t="str">
        <f aca="true">IF($A320="","",IF(AND($G320&gt;0,TODAY()&gt;$H320),TODAY()-$H320,""))</f>
        <v/>
      </c>
      <c r="K320" s="2" t="str">
        <f aca="false">IFERROR(MATCH(ROWS($K$5:$K320),Jobs!$Q$5:$Q$504,0),"")</f>
        <v/>
      </c>
      <c r="M320" s="16"/>
      <c r="N320" s="12"/>
      <c r="O320" s="12"/>
      <c r="P320" s="13"/>
      <c r="Q320" s="19" t="str">
        <f aca="false">IF($N320="","",IFERROR(INDEX($C$5:$C$504,MATCH($N320,$A$5:$A$504,0)),"Invoice not found"))</f>
        <v/>
      </c>
    </row>
    <row r="321" customFormat="false" ht="15" hidden="false" customHeight="false" outlineLevel="0" collapsed="false">
      <c r="A321" s="19" t="str">
        <f aca="false">IF($K321="","",INDEX(Jobs!$O$5:$O$504,$K321))</f>
        <v/>
      </c>
      <c r="B321" s="22" t="str">
        <f aca="false">IF($K321="","",INDEX(Jobs!$A$5:$A$504,$K321))</f>
        <v/>
      </c>
      <c r="C321" s="19" t="str">
        <f aca="false">IF($K321="","",INDEX(Jobs!$B$5:$B$504,$K321))</f>
        <v/>
      </c>
      <c r="D321" s="19" t="str">
        <f aca="false">IF($K321="","",INDEX(Jobs!$J$5:$J$504,$K321))</f>
        <v/>
      </c>
      <c r="E321" s="15" t="str">
        <f aca="false">IF($K321="","",INDEX(Jobs!$N$5:$N$504,$K321))</f>
        <v/>
      </c>
      <c r="F321" s="15" t="str">
        <f aca="false">IF($A321="","",SUMIFS($P$5:$P$1004,$N$5:$N$1004,$A321))</f>
        <v/>
      </c>
      <c r="G321" s="15" t="str">
        <f aca="false">IF($A321="","",$E321-$F321)</f>
        <v/>
      </c>
      <c r="H321" s="22" t="str">
        <f aca="false">IF($A321="","",$B321+Settings!$B$11)</f>
        <v/>
      </c>
      <c r="I321" s="19" t="str">
        <f aca="true">IF($A321="","",IF($G321&lt;=0,"Paid",IF(TODAY()&gt;$H321,"Overdue",IF($F321&gt;0,"Partial","Unpaid"))))</f>
        <v/>
      </c>
      <c r="J321" s="14" t="str">
        <f aca="true">IF($A321="","",IF(AND($G321&gt;0,TODAY()&gt;$H321),TODAY()-$H321,""))</f>
        <v/>
      </c>
      <c r="K321" s="2" t="str">
        <f aca="false">IFERROR(MATCH(ROWS($K$5:$K321),Jobs!$Q$5:$Q$504,0),"")</f>
        <v/>
      </c>
      <c r="M321" s="16"/>
      <c r="N321" s="12"/>
      <c r="O321" s="12"/>
      <c r="P321" s="13"/>
      <c r="Q321" s="19" t="str">
        <f aca="false">IF($N321="","",IFERROR(INDEX($C$5:$C$504,MATCH($N321,$A$5:$A$504,0)),"Invoice not found"))</f>
        <v/>
      </c>
    </row>
    <row r="322" customFormat="false" ht="15" hidden="false" customHeight="false" outlineLevel="0" collapsed="false">
      <c r="A322" s="19" t="str">
        <f aca="false">IF($K322="","",INDEX(Jobs!$O$5:$O$504,$K322))</f>
        <v/>
      </c>
      <c r="B322" s="22" t="str">
        <f aca="false">IF($K322="","",INDEX(Jobs!$A$5:$A$504,$K322))</f>
        <v/>
      </c>
      <c r="C322" s="19" t="str">
        <f aca="false">IF($K322="","",INDEX(Jobs!$B$5:$B$504,$K322))</f>
        <v/>
      </c>
      <c r="D322" s="19" t="str">
        <f aca="false">IF($K322="","",INDEX(Jobs!$J$5:$J$504,$K322))</f>
        <v/>
      </c>
      <c r="E322" s="15" t="str">
        <f aca="false">IF($K322="","",INDEX(Jobs!$N$5:$N$504,$K322))</f>
        <v/>
      </c>
      <c r="F322" s="15" t="str">
        <f aca="false">IF($A322="","",SUMIFS($P$5:$P$1004,$N$5:$N$1004,$A322))</f>
        <v/>
      </c>
      <c r="G322" s="15" t="str">
        <f aca="false">IF($A322="","",$E322-$F322)</f>
        <v/>
      </c>
      <c r="H322" s="22" t="str">
        <f aca="false">IF($A322="","",$B322+Settings!$B$11)</f>
        <v/>
      </c>
      <c r="I322" s="19" t="str">
        <f aca="true">IF($A322="","",IF($G322&lt;=0,"Paid",IF(TODAY()&gt;$H322,"Overdue",IF($F322&gt;0,"Partial","Unpaid"))))</f>
        <v/>
      </c>
      <c r="J322" s="14" t="str">
        <f aca="true">IF($A322="","",IF(AND($G322&gt;0,TODAY()&gt;$H322),TODAY()-$H322,""))</f>
        <v/>
      </c>
      <c r="K322" s="2" t="str">
        <f aca="false">IFERROR(MATCH(ROWS($K$5:$K322),Jobs!$Q$5:$Q$504,0),"")</f>
        <v/>
      </c>
      <c r="M322" s="16"/>
      <c r="N322" s="12"/>
      <c r="O322" s="12"/>
      <c r="P322" s="13"/>
      <c r="Q322" s="19" t="str">
        <f aca="false">IF($N322="","",IFERROR(INDEX($C$5:$C$504,MATCH($N322,$A$5:$A$504,0)),"Invoice not found"))</f>
        <v/>
      </c>
    </row>
    <row r="323" customFormat="false" ht="15" hidden="false" customHeight="false" outlineLevel="0" collapsed="false">
      <c r="A323" s="19" t="str">
        <f aca="false">IF($K323="","",INDEX(Jobs!$O$5:$O$504,$K323))</f>
        <v/>
      </c>
      <c r="B323" s="22" t="str">
        <f aca="false">IF($K323="","",INDEX(Jobs!$A$5:$A$504,$K323))</f>
        <v/>
      </c>
      <c r="C323" s="19" t="str">
        <f aca="false">IF($K323="","",INDEX(Jobs!$B$5:$B$504,$K323))</f>
        <v/>
      </c>
      <c r="D323" s="19" t="str">
        <f aca="false">IF($K323="","",INDEX(Jobs!$J$5:$J$504,$K323))</f>
        <v/>
      </c>
      <c r="E323" s="15" t="str">
        <f aca="false">IF($K323="","",INDEX(Jobs!$N$5:$N$504,$K323))</f>
        <v/>
      </c>
      <c r="F323" s="15" t="str">
        <f aca="false">IF($A323="","",SUMIFS($P$5:$P$1004,$N$5:$N$1004,$A323))</f>
        <v/>
      </c>
      <c r="G323" s="15" t="str">
        <f aca="false">IF($A323="","",$E323-$F323)</f>
        <v/>
      </c>
      <c r="H323" s="22" t="str">
        <f aca="false">IF($A323="","",$B323+Settings!$B$11)</f>
        <v/>
      </c>
      <c r="I323" s="19" t="str">
        <f aca="true">IF($A323="","",IF($G323&lt;=0,"Paid",IF(TODAY()&gt;$H323,"Overdue",IF($F323&gt;0,"Partial","Unpaid"))))</f>
        <v/>
      </c>
      <c r="J323" s="14" t="str">
        <f aca="true">IF($A323="","",IF(AND($G323&gt;0,TODAY()&gt;$H323),TODAY()-$H323,""))</f>
        <v/>
      </c>
      <c r="K323" s="2" t="str">
        <f aca="false">IFERROR(MATCH(ROWS($K$5:$K323),Jobs!$Q$5:$Q$504,0),"")</f>
        <v/>
      </c>
      <c r="M323" s="16"/>
      <c r="N323" s="12"/>
      <c r="O323" s="12"/>
      <c r="P323" s="13"/>
      <c r="Q323" s="19" t="str">
        <f aca="false">IF($N323="","",IFERROR(INDEX($C$5:$C$504,MATCH($N323,$A$5:$A$504,0)),"Invoice not found"))</f>
        <v/>
      </c>
    </row>
    <row r="324" customFormat="false" ht="15" hidden="false" customHeight="false" outlineLevel="0" collapsed="false">
      <c r="A324" s="19" t="str">
        <f aca="false">IF($K324="","",INDEX(Jobs!$O$5:$O$504,$K324))</f>
        <v/>
      </c>
      <c r="B324" s="22" t="str">
        <f aca="false">IF($K324="","",INDEX(Jobs!$A$5:$A$504,$K324))</f>
        <v/>
      </c>
      <c r="C324" s="19" t="str">
        <f aca="false">IF($K324="","",INDEX(Jobs!$B$5:$B$504,$K324))</f>
        <v/>
      </c>
      <c r="D324" s="19" t="str">
        <f aca="false">IF($K324="","",INDEX(Jobs!$J$5:$J$504,$K324))</f>
        <v/>
      </c>
      <c r="E324" s="15" t="str">
        <f aca="false">IF($K324="","",INDEX(Jobs!$N$5:$N$504,$K324))</f>
        <v/>
      </c>
      <c r="F324" s="15" t="str">
        <f aca="false">IF($A324="","",SUMIFS($P$5:$P$1004,$N$5:$N$1004,$A324))</f>
        <v/>
      </c>
      <c r="G324" s="15" t="str">
        <f aca="false">IF($A324="","",$E324-$F324)</f>
        <v/>
      </c>
      <c r="H324" s="22" t="str">
        <f aca="false">IF($A324="","",$B324+Settings!$B$11)</f>
        <v/>
      </c>
      <c r="I324" s="19" t="str">
        <f aca="true">IF($A324="","",IF($G324&lt;=0,"Paid",IF(TODAY()&gt;$H324,"Overdue",IF($F324&gt;0,"Partial","Unpaid"))))</f>
        <v/>
      </c>
      <c r="J324" s="14" t="str">
        <f aca="true">IF($A324="","",IF(AND($G324&gt;0,TODAY()&gt;$H324),TODAY()-$H324,""))</f>
        <v/>
      </c>
      <c r="K324" s="2" t="str">
        <f aca="false">IFERROR(MATCH(ROWS($K$5:$K324),Jobs!$Q$5:$Q$504,0),"")</f>
        <v/>
      </c>
      <c r="M324" s="16"/>
      <c r="N324" s="12"/>
      <c r="O324" s="12"/>
      <c r="P324" s="13"/>
      <c r="Q324" s="19" t="str">
        <f aca="false">IF($N324="","",IFERROR(INDEX($C$5:$C$504,MATCH($N324,$A$5:$A$504,0)),"Invoice not found"))</f>
        <v/>
      </c>
    </row>
    <row r="325" customFormat="false" ht="15" hidden="false" customHeight="false" outlineLevel="0" collapsed="false">
      <c r="A325" s="19" t="str">
        <f aca="false">IF($K325="","",INDEX(Jobs!$O$5:$O$504,$K325))</f>
        <v/>
      </c>
      <c r="B325" s="22" t="str">
        <f aca="false">IF($K325="","",INDEX(Jobs!$A$5:$A$504,$K325))</f>
        <v/>
      </c>
      <c r="C325" s="19" t="str">
        <f aca="false">IF($K325="","",INDEX(Jobs!$B$5:$B$504,$K325))</f>
        <v/>
      </c>
      <c r="D325" s="19" t="str">
        <f aca="false">IF($K325="","",INDEX(Jobs!$J$5:$J$504,$K325))</f>
        <v/>
      </c>
      <c r="E325" s="15" t="str">
        <f aca="false">IF($K325="","",INDEX(Jobs!$N$5:$N$504,$K325))</f>
        <v/>
      </c>
      <c r="F325" s="15" t="str">
        <f aca="false">IF($A325="","",SUMIFS($P$5:$P$1004,$N$5:$N$1004,$A325))</f>
        <v/>
      </c>
      <c r="G325" s="15" t="str">
        <f aca="false">IF($A325="","",$E325-$F325)</f>
        <v/>
      </c>
      <c r="H325" s="22" t="str">
        <f aca="false">IF($A325="","",$B325+Settings!$B$11)</f>
        <v/>
      </c>
      <c r="I325" s="19" t="str">
        <f aca="true">IF($A325="","",IF($G325&lt;=0,"Paid",IF(TODAY()&gt;$H325,"Overdue",IF($F325&gt;0,"Partial","Unpaid"))))</f>
        <v/>
      </c>
      <c r="J325" s="14" t="str">
        <f aca="true">IF($A325="","",IF(AND($G325&gt;0,TODAY()&gt;$H325),TODAY()-$H325,""))</f>
        <v/>
      </c>
      <c r="K325" s="2" t="str">
        <f aca="false">IFERROR(MATCH(ROWS($K$5:$K325),Jobs!$Q$5:$Q$504,0),"")</f>
        <v/>
      </c>
      <c r="M325" s="16"/>
      <c r="N325" s="12"/>
      <c r="O325" s="12"/>
      <c r="P325" s="13"/>
      <c r="Q325" s="19" t="str">
        <f aca="false">IF($N325="","",IFERROR(INDEX($C$5:$C$504,MATCH($N325,$A$5:$A$504,0)),"Invoice not found"))</f>
        <v/>
      </c>
    </row>
    <row r="326" customFormat="false" ht="15" hidden="false" customHeight="false" outlineLevel="0" collapsed="false">
      <c r="A326" s="19" t="str">
        <f aca="false">IF($K326="","",INDEX(Jobs!$O$5:$O$504,$K326))</f>
        <v/>
      </c>
      <c r="B326" s="22" t="str">
        <f aca="false">IF($K326="","",INDEX(Jobs!$A$5:$A$504,$K326))</f>
        <v/>
      </c>
      <c r="C326" s="19" t="str">
        <f aca="false">IF($K326="","",INDEX(Jobs!$B$5:$B$504,$K326))</f>
        <v/>
      </c>
      <c r="D326" s="19" t="str">
        <f aca="false">IF($K326="","",INDEX(Jobs!$J$5:$J$504,$K326))</f>
        <v/>
      </c>
      <c r="E326" s="15" t="str">
        <f aca="false">IF($K326="","",INDEX(Jobs!$N$5:$N$504,$K326))</f>
        <v/>
      </c>
      <c r="F326" s="15" t="str">
        <f aca="false">IF($A326="","",SUMIFS($P$5:$P$1004,$N$5:$N$1004,$A326))</f>
        <v/>
      </c>
      <c r="G326" s="15" t="str">
        <f aca="false">IF($A326="","",$E326-$F326)</f>
        <v/>
      </c>
      <c r="H326" s="22" t="str">
        <f aca="false">IF($A326="","",$B326+Settings!$B$11)</f>
        <v/>
      </c>
      <c r="I326" s="19" t="str">
        <f aca="true">IF($A326="","",IF($G326&lt;=0,"Paid",IF(TODAY()&gt;$H326,"Overdue",IF($F326&gt;0,"Partial","Unpaid"))))</f>
        <v/>
      </c>
      <c r="J326" s="14" t="str">
        <f aca="true">IF($A326="","",IF(AND($G326&gt;0,TODAY()&gt;$H326),TODAY()-$H326,""))</f>
        <v/>
      </c>
      <c r="K326" s="2" t="str">
        <f aca="false">IFERROR(MATCH(ROWS($K$5:$K326),Jobs!$Q$5:$Q$504,0),"")</f>
        <v/>
      </c>
      <c r="M326" s="16"/>
      <c r="N326" s="12"/>
      <c r="O326" s="12"/>
      <c r="P326" s="13"/>
      <c r="Q326" s="19" t="str">
        <f aca="false">IF($N326="","",IFERROR(INDEX($C$5:$C$504,MATCH($N326,$A$5:$A$504,0)),"Invoice not found"))</f>
        <v/>
      </c>
    </row>
    <row r="327" customFormat="false" ht="15" hidden="false" customHeight="false" outlineLevel="0" collapsed="false">
      <c r="A327" s="19" t="str">
        <f aca="false">IF($K327="","",INDEX(Jobs!$O$5:$O$504,$K327))</f>
        <v/>
      </c>
      <c r="B327" s="22" t="str">
        <f aca="false">IF($K327="","",INDEX(Jobs!$A$5:$A$504,$K327))</f>
        <v/>
      </c>
      <c r="C327" s="19" t="str">
        <f aca="false">IF($K327="","",INDEX(Jobs!$B$5:$B$504,$K327))</f>
        <v/>
      </c>
      <c r="D327" s="19" t="str">
        <f aca="false">IF($K327="","",INDEX(Jobs!$J$5:$J$504,$K327))</f>
        <v/>
      </c>
      <c r="E327" s="15" t="str">
        <f aca="false">IF($K327="","",INDEX(Jobs!$N$5:$N$504,$K327))</f>
        <v/>
      </c>
      <c r="F327" s="15" t="str">
        <f aca="false">IF($A327="","",SUMIFS($P$5:$P$1004,$N$5:$N$1004,$A327))</f>
        <v/>
      </c>
      <c r="G327" s="15" t="str">
        <f aca="false">IF($A327="","",$E327-$F327)</f>
        <v/>
      </c>
      <c r="H327" s="22" t="str">
        <f aca="false">IF($A327="","",$B327+Settings!$B$11)</f>
        <v/>
      </c>
      <c r="I327" s="19" t="str">
        <f aca="true">IF($A327="","",IF($G327&lt;=0,"Paid",IF(TODAY()&gt;$H327,"Overdue",IF($F327&gt;0,"Partial","Unpaid"))))</f>
        <v/>
      </c>
      <c r="J327" s="14" t="str">
        <f aca="true">IF($A327="","",IF(AND($G327&gt;0,TODAY()&gt;$H327),TODAY()-$H327,""))</f>
        <v/>
      </c>
      <c r="K327" s="2" t="str">
        <f aca="false">IFERROR(MATCH(ROWS($K$5:$K327),Jobs!$Q$5:$Q$504,0),"")</f>
        <v/>
      </c>
      <c r="M327" s="16"/>
      <c r="N327" s="12"/>
      <c r="O327" s="12"/>
      <c r="P327" s="13"/>
      <c r="Q327" s="19" t="str">
        <f aca="false">IF($N327="","",IFERROR(INDEX($C$5:$C$504,MATCH($N327,$A$5:$A$504,0)),"Invoice not found"))</f>
        <v/>
      </c>
    </row>
    <row r="328" customFormat="false" ht="15" hidden="false" customHeight="false" outlineLevel="0" collapsed="false">
      <c r="A328" s="19" t="str">
        <f aca="false">IF($K328="","",INDEX(Jobs!$O$5:$O$504,$K328))</f>
        <v/>
      </c>
      <c r="B328" s="22" t="str">
        <f aca="false">IF($K328="","",INDEX(Jobs!$A$5:$A$504,$K328))</f>
        <v/>
      </c>
      <c r="C328" s="19" t="str">
        <f aca="false">IF($K328="","",INDEX(Jobs!$B$5:$B$504,$K328))</f>
        <v/>
      </c>
      <c r="D328" s="19" t="str">
        <f aca="false">IF($K328="","",INDEX(Jobs!$J$5:$J$504,$K328))</f>
        <v/>
      </c>
      <c r="E328" s="15" t="str">
        <f aca="false">IF($K328="","",INDEX(Jobs!$N$5:$N$504,$K328))</f>
        <v/>
      </c>
      <c r="F328" s="15" t="str">
        <f aca="false">IF($A328="","",SUMIFS($P$5:$P$1004,$N$5:$N$1004,$A328))</f>
        <v/>
      </c>
      <c r="G328" s="15" t="str">
        <f aca="false">IF($A328="","",$E328-$F328)</f>
        <v/>
      </c>
      <c r="H328" s="22" t="str">
        <f aca="false">IF($A328="","",$B328+Settings!$B$11)</f>
        <v/>
      </c>
      <c r="I328" s="19" t="str">
        <f aca="true">IF($A328="","",IF($G328&lt;=0,"Paid",IF(TODAY()&gt;$H328,"Overdue",IF($F328&gt;0,"Partial","Unpaid"))))</f>
        <v/>
      </c>
      <c r="J328" s="14" t="str">
        <f aca="true">IF($A328="","",IF(AND($G328&gt;0,TODAY()&gt;$H328),TODAY()-$H328,""))</f>
        <v/>
      </c>
      <c r="K328" s="2" t="str">
        <f aca="false">IFERROR(MATCH(ROWS($K$5:$K328),Jobs!$Q$5:$Q$504,0),"")</f>
        <v/>
      </c>
      <c r="M328" s="16"/>
      <c r="N328" s="12"/>
      <c r="O328" s="12"/>
      <c r="P328" s="13"/>
      <c r="Q328" s="19" t="str">
        <f aca="false">IF($N328="","",IFERROR(INDEX($C$5:$C$504,MATCH($N328,$A$5:$A$504,0)),"Invoice not found"))</f>
        <v/>
      </c>
    </row>
    <row r="329" customFormat="false" ht="15" hidden="false" customHeight="false" outlineLevel="0" collapsed="false">
      <c r="A329" s="19" t="str">
        <f aca="false">IF($K329="","",INDEX(Jobs!$O$5:$O$504,$K329))</f>
        <v/>
      </c>
      <c r="B329" s="22" t="str">
        <f aca="false">IF($K329="","",INDEX(Jobs!$A$5:$A$504,$K329))</f>
        <v/>
      </c>
      <c r="C329" s="19" t="str">
        <f aca="false">IF($K329="","",INDEX(Jobs!$B$5:$B$504,$K329))</f>
        <v/>
      </c>
      <c r="D329" s="19" t="str">
        <f aca="false">IF($K329="","",INDEX(Jobs!$J$5:$J$504,$K329))</f>
        <v/>
      </c>
      <c r="E329" s="15" t="str">
        <f aca="false">IF($K329="","",INDEX(Jobs!$N$5:$N$504,$K329))</f>
        <v/>
      </c>
      <c r="F329" s="15" t="str">
        <f aca="false">IF($A329="","",SUMIFS($P$5:$P$1004,$N$5:$N$1004,$A329))</f>
        <v/>
      </c>
      <c r="G329" s="15" t="str">
        <f aca="false">IF($A329="","",$E329-$F329)</f>
        <v/>
      </c>
      <c r="H329" s="22" t="str">
        <f aca="false">IF($A329="","",$B329+Settings!$B$11)</f>
        <v/>
      </c>
      <c r="I329" s="19" t="str">
        <f aca="true">IF($A329="","",IF($G329&lt;=0,"Paid",IF(TODAY()&gt;$H329,"Overdue",IF($F329&gt;0,"Partial","Unpaid"))))</f>
        <v/>
      </c>
      <c r="J329" s="14" t="str">
        <f aca="true">IF($A329="","",IF(AND($G329&gt;0,TODAY()&gt;$H329),TODAY()-$H329,""))</f>
        <v/>
      </c>
      <c r="K329" s="2" t="str">
        <f aca="false">IFERROR(MATCH(ROWS($K$5:$K329),Jobs!$Q$5:$Q$504,0),"")</f>
        <v/>
      </c>
      <c r="M329" s="16"/>
      <c r="N329" s="12"/>
      <c r="O329" s="12"/>
      <c r="P329" s="13"/>
      <c r="Q329" s="19" t="str">
        <f aca="false">IF($N329="","",IFERROR(INDEX($C$5:$C$504,MATCH($N329,$A$5:$A$504,0)),"Invoice not found"))</f>
        <v/>
      </c>
    </row>
    <row r="330" customFormat="false" ht="15" hidden="false" customHeight="false" outlineLevel="0" collapsed="false">
      <c r="A330" s="19" t="str">
        <f aca="false">IF($K330="","",INDEX(Jobs!$O$5:$O$504,$K330))</f>
        <v/>
      </c>
      <c r="B330" s="22" t="str">
        <f aca="false">IF($K330="","",INDEX(Jobs!$A$5:$A$504,$K330))</f>
        <v/>
      </c>
      <c r="C330" s="19" t="str">
        <f aca="false">IF($K330="","",INDEX(Jobs!$B$5:$B$504,$K330))</f>
        <v/>
      </c>
      <c r="D330" s="19" t="str">
        <f aca="false">IF($K330="","",INDEX(Jobs!$J$5:$J$504,$K330))</f>
        <v/>
      </c>
      <c r="E330" s="15" t="str">
        <f aca="false">IF($K330="","",INDEX(Jobs!$N$5:$N$504,$K330))</f>
        <v/>
      </c>
      <c r="F330" s="15" t="str">
        <f aca="false">IF($A330="","",SUMIFS($P$5:$P$1004,$N$5:$N$1004,$A330))</f>
        <v/>
      </c>
      <c r="G330" s="15" t="str">
        <f aca="false">IF($A330="","",$E330-$F330)</f>
        <v/>
      </c>
      <c r="H330" s="22" t="str">
        <f aca="false">IF($A330="","",$B330+Settings!$B$11)</f>
        <v/>
      </c>
      <c r="I330" s="19" t="str">
        <f aca="true">IF($A330="","",IF($G330&lt;=0,"Paid",IF(TODAY()&gt;$H330,"Overdue",IF($F330&gt;0,"Partial","Unpaid"))))</f>
        <v/>
      </c>
      <c r="J330" s="14" t="str">
        <f aca="true">IF($A330="","",IF(AND($G330&gt;0,TODAY()&gt;$H330),TODAY()-$H330,""))</f>
        <v/>
      </c>
      <c r="K330" s="2" t="str">
        <f aca="false">IFERROR(MATCH(ROWS($K$5:$K330),Jobs!$Q$5:$Q$504,0),"")</f>
        <v/>
      </c>
      <c r="M330" s="16"/>
      <c r="N330" s="12"/>
      <c r="O330" s="12"/>
      <c r="P330" s="13"/>
      <c r="Q330" s="19" t="str">
        <f aca="false">IF($N330="","",IFERROR(INDEX($C$5:$C$504,MATCH($N330,$A$5:$A$504,0)),"Invoice not found"))</f>
        <v/>
      </c>
    </row>
    <row r="331" customFormat="false" ht="15" hidden="false" customHeight="false" outlineLevel="0" collapsed="false">
      <c r="A331" s="19" t="str">
        <f aca="false">IF($K331="","",INDEX(Jobs!$O$5:$O$504,$K331))</f>
        <v/>
      </c>
      <c r="B331" s="22" t="str">
        <f aca="false">IF($K331="","",INDEX(Jobs!$A$5:$A$504,$K331))</f>
        <v/>
      </c>
      <c r="C331" s="19" t="str">
        <f aca="false">IF($K331="","",INDEX(Jobs!$B$5:$B$504,$K331))</f>
        <v/>
      </c>
      <c r="D331" s="19" t="str">
        <f aca="false">IF($K331="","",INDEX(Jobs!$J$5:$J$504,$K331))</f>
        <v/>
      </c>
      <c r="E331" s="15" t="str">
        <f aca="false">IF($K331="","",INDEX(Jobs!$N$5:$N$504,$K331))</f>
        <v/>
      </c>
      <c r="F331" s="15" t="str">
        <f aca="false">IF($A331="","",SUMIFS($P$5:$P$1004,$N$5:$N$1004,$A331))</f>
        <v/>
      </c>
      <c r="G331" s="15" t="str">
        <f aca="false">IF($A331="","",$E331-$F331)</f>
        <v/>
      </c>
      <c r="H331" s="22" t="str">
        <f aca="false">IF($A331="","",$B331+Settings!$B$11)</f>
        <v/>
      </c>
      <c r="I331" s="19" t="str">
        <f aca="true">IF($A331="","",IF($G331&lt;=0,"Paid",IF(TODAY()&gt;$H331,"Overdue",IF($F331&gt;0,"Partial","Unpaid"))))</f>
        <v/>
      </c>
      <c r="J331" s="14" t="str">
        <f aca="true">IF($A331="","",IF(AND($G331&gt;0,TODAY()&gt;$H331),TODAY()-$H331,""))</f>
        <v/>
      </c>
      <c r="K331" s="2" t="str">
        <f aca="false">IFERROR(MATCH(ROWS($K$5:$K331),Jobs!$Q$5:$Q$504,0),"")</f>
        <v/>
      </c>
      <c r="M331" s="16"/>
      <c r="N331" s="12"/>
      <c r="O331" s="12"/>
      <c r="P331" s="13"/>
      <c r="Q331" s="19" t="str">
        <f aca="false">IF($N331="","",IFERROR(INDEX($C$5:$C$504,MATCH($N331,$A$5:$A$504,0)),"Invoice not found"))</f>
        <v/>
      </c>
    </row>
    <row r="332" customFormat="false" ht="15" hidden="false" customHeight="false" outlineLevel="0" collapsed="false">
      <c r="A332" s="19" t="str">
        <f aca="false">IF($K332="","",INDEX(Jobs!$O$5:$O$504,$K332))</f>
        <v/>
      </c>
      <c r="B332" s="22" t="str">
        <f aca="false">IF($K332="","",INDEX(Jobs!$A$5:$A$504,$K332))</f>
        <v/>
      </c>
      <c r="C332" s="19" t="str">
        <f aca="false">IF($K332="","",INDEX(Jobs!$B$5:$B$504,$K332))</f>
        <v/>
      </c>
      <c r="D332" s="19" t="str">
        <f aca="false">IF($K332="","",INDEX(Jobs!$J$5:$J$504,$K332))</f>
        <v/>
      </c>
      <c r="E332" s="15" t="str">
        <f aca="false">IF($K332="","",INDEX(Jobs!$N$5:$N$504,$K332))</f>
        <v/>
      </c>
      <c r="F332" s="15" t="str">
        <f aca="false">IF($A332="","",SUMIFS($P$5:$P$1004,$N$5:$N$1004,$A332))</f>
        <v/>
      </c>
      <c r="G332" s="15" t="str">
        <f aca="false">IF($A332="","",$E332-$F332)</f>
        <v/>
      </c>
      <c r="H332" s="22" t="str">
        <f aca="false">IF($A332="","",$B332+Settings!$B$11)</f>
        <v/>
      </c>
      <c r="I332" s="19" t="str">
        <f aca="true">IF($A332="","",IF($G332&lt;=0,"Paid",IF(TODAY()&gt;$H332,"Overdue",IF($F332&gt;0,"Partial","Unpaid"))))</f>
        <v/>
      </c>
      <c r="J332" s="14" t="str">
        <f aca="true">IF($A332="","",IF(AND($G332&gt;0,TODAY()&gt;$H332),TODAY()-$H332,""))</f>
        <v/>
      </c>
      <c r="K332" s="2" t="str">
        <f aca="false">IFERROR(MATCH(ROWS($K$5:$K332),Jobs!$Q$5:$Q$504,0),"")</f>
        <v/>
      </c>
      <c r="M332" s="16"/>
      <c r="N332" s="12"/>
      <c r="O332" s="12"/>
      <c r="P332" s="13"/>
      <c r="Q332" s="19" t="str">
        <f aca="false">IF($N332="","",IFERROR(INDEX($C$5:$C$504,MATCH($N332,$A$5:$A$504,0)),"Invoice not found"))</f>
        <v/>
      </c>
    </row>
    <row r="333" customFormat="false" ht="15" hidden="false" customHeight="false" outlineLevel="0" collapsed="false">
      <c r="A333" s="19" t="str">
        <f aca="false">IF($K333="","",INDEX(Jobs!$O$5:$O$504,$K333))</f>
        <v/>
      </c>
      <c r="B333" s="22" t="str">
        <f aca="false">IF($K333="","",INDEX(Jobs!$A$5:$A$504,$K333))</f>
        <v/>
      </c>
      <c r="C333" s="19" t="str">
        <f aca="false">IF($K333="","",INDEX(Jobs!$B$5:$B$504,$K333))</f>
        <v/>
      </c>
      <c r="D333" s="19" t="str">
        <f aca="false">IF($K333="","",INDEX(Jobs!$J$5:$J$504,$K333))</f>
        <v/>
      </c>
      <c r="E333" s="15" t="str">
        <f aca="false">IF($K333="","",INDEX(Jobs!$N$5:$N$504,$K333))</f>
        <v/>
      </c>
      <c r="F333" s="15" t="str">
        <f aca="false">IF($A333="","",SUMIFS($P$5:$P$1004,$N$5:$N$1004,$A333))</f>
        <v/>
      </c>
      <c r="G333" s="15" t="str">
        <f aca="false">IF($A333="","",$E333-$F333)</f>
        <v/>
      </c>
      <c r="H333" s="22" t="str">
        <f aca="false">IF($A333="","",$B333+Settings!$B$11)</f>
        <v/>
      </c>
      <c r="I333" s="19" t="str">
        <f aca="true">IF($A333="","",IF($G333&lt;=0,"Paid",IF(TODAY()&gt;$H333,"Overdue",IF($F333&gt;0,"Partial","Unpaid"))))</f>
        <v/>
      </c>
      <c r="J333" s="14" t="str">
        <f aca="true">IF($A333="","",IF(AND($G333&gt;0,TODAY()&gt;$H333),TODAY()-$H333,""))</f>
        <v/>
      </c>
      <c r="K333" s="2" t="str">
        <f aca="false">IFERROR(MATCH(ROWS($K$5:$K333),Jobs!$Q$5:$Q$504,0),"")</f>
        <v/>
      </c>
      <c r="M333" s="16"/>
      <c r="N333" s="12"/>
      <c r="O333" s="12"/>
      <c r="P333" s="13"/>
      <c r="Q333" s="19" t="str">
        <f aca="false">IF($N333="","",IFERROR(INDEX($C$5:$C$504,MATCH($N333,$A$5:$A$504,0)),"Invoice not found"))</f>
        <v/>
      </c>
    </row>
    <row r="334" customFormat="false" ht="15" hidden="false" customHeight="false" outlineLevel="0" collapsed="false">
      <c r="A334" s="19" t="str">
        <f aca="false">IF($K334="","",INDEX(Jobs!$O$5:$O$504,$K334))</f>
        <v/>
      </c>
      <c r="B334" s="22" t="str">
        <f aca="false">IF($K334="","",INDEX(Jobs!$A$5:$A$504,$K334))</f>
        <v/>
      </c>
      <c r="C334" s="19" t="str">
        <f aca="false">IF($K334="","",INDEX(Jobs!$B$5:$B$504,$K334))</f>
        <v/>
      </c>
      <c r="D334" s="19" t="str">
        <f aca="false">IF($K334="","",INDEX(Jobs!$J$5:$J$504,$K334))</f>
        <v/>
      </c>
      <c r="E334" s="15" t="str">
        <f aca="false">IF($K334="","",INDEX(Jobs!$N$5:$N$504,$K334))</f>
        <v/>
      </c>
      <c r="F334" s="15" t="str">
        <f aca="false">IF($A334="","",SUMIFS($P$5:$P$1004,$N$5:$N$1004,$A334))</f>
        <v/>
      </c>
      <c r="G334" s="15" t="str">
        <f aca="false">IF($A334="","",$E334-$F334)</f>
        <v/>
      </c>
      <c r="H334" s="22" t="str">
        <f aca="false">IF($A334="","",$B334+Settings!$B$11)</f>
        <v/>
      </c>
      <c r="I334" s="19" t="str">
        <f aca="true">IF($A334="","",IF($G334&lt;=0,"Paid",IF(TODAY()&gt;$H334,"Overdue",IF($F334&gt;0,"Partial","Unpaid"))))</f>
        <v/>
      </c>
      <c r="J334" s="14" t="str">
        <f aca="true">IF($A334="","",IF(AND($G334&gt;0,TODAY()&gt;$H334),TODAY()-$H334,""))</f>
        <v/>
      </c>
      <c r="K334" s="2" t="str">
        <f aca="false">IFERROR(MATCH(ROWS($K$5:$K334),Jobs!$Q$5:$Q$504,0),"")</f>
        <v/>
      </c>
      <c r="M334" s="16"/>
      <c r="N334" s="12"/>
      <c r="O334" s="12"/>
      <c r="P334" s="13"/>
      <c r="Q334" s="19" t="str">
        <f aca="false">IF($N334="","",IFERROR(INDEX($C$5:$C$504,MATCH($N334,$A$5:$A$504,0)),"Invoice not found"))</f>
        <v/>
      </c>
    </row>
    <row r="335" customFormat="false" ht="15" hidden="false" customHeight="false" outlineLevel="0" collapsed="false">
      <c r="A335" s="19" t="str">
        <f aca="false">IF($K335="","",INDEX(Jobs!$O$5:$O$504,$K335))</f>
        <v/>
      </c>
      <c r="B335" s="22" t="str">
        <f aca="false">IF($K335="","",INDEX(Jobs!$A$5:$A$504,$K335))</f>
        <v/>
      </c>
      <c r="C335" s="19" t="str">
        <f aca="false">IF($K335="","",INDEX(Jobs!$B$5:$B$504,$K335))</f>
        <v/>
      </c>
      <c r="D335" s="19" t="str">
        <f aca="false">IF($K335="","",INDEX(Jobs!$J$5:$J$504,$K335))</f>
        <v/>
      </c>
      <c r="E335" s="15" t="str">
        <f aca="false">IF($K335="","",INDEX(Jobs!$N$5:$N$504,$K335))</f>
        <v/>
      </c>
      <c r="F335" s="15" t="str">
        <f aca="false">IF($A335="","",SUMIFS($P$5:$P$1004,$N$5:$N$1004,$A335))</f>
        <v/>
      </c>
      <c r="G335" s="15" t="str">
        <f aca="false">IF($A335="","",$E335-$F335)</f>
        <v/>
      </c>
      <c r="H335" s="22" t="str">
        <f aca="false">IF($A335="","",$B335+Settings!$B$11)</f>
        <v/>
      </c>
      <c r="I335" s="19" t="str">
        <f aca="true">IF($A335="","",IF($G335&lt;=0,"Paid",IF(TODAY()&gt;$H335,"Overdue",IF($F335&gt;0,"Partial","Unpaid"))))</f>
        <v/>
      </c>
      <c r="J335" s="14" t="str">
        <f aca="true">IF($A335="","",IF(AND($G335&gt;0,TODAY()&gt;$H335),TODAY()-$H335,""))</f>
        <v/>
      </c>
      <c r="K335" s="2" t="str">
        <f aca="false">IFERROR(MATCH(ROWS($K$5:$K335),Jobs!$Q$5:$Q$504,0),"")</f>
        <v/>
      </c>
      <c r="M335" s="16"/>
      <c r="N335" s="12"/>
      <c r="O335" s="12"/>
      <c r="P335" s="13"/>
      <c r="Q335" s="19" t="str">
        <f aca="false">IF($N335="","",IFERROR(INDEX($C$5:$C$504,MATCH($N335,$A$5:$A$504,0)),"Invoice not found"))</f>
        <v/>
      </c>
    </row>
    <row r="336" customFormat="false" ht="15" hidden="false" customHeight="false" outlineLevel="0" collapsed="false">
      <c r="A336" s="19" t="str">
        <f aca="false">IF($K336="","",INDEX(Jobs!$O$5:$O$504,$K336))</f>
        <v/>
      </c>
      <c r="B336" s="22" t="str">
        <f aca="false">IF($K336="","",INDEX(Jobs!$A$5:$A$504,$K336))</f>
        <v/>
      </c>
      <c r="C336" s="19" t="str">
        <f aca="false">IF($K336="","",INDEX(Jobs!$B$5:$B$504,$K336))</f>
        <v/>
      </c>
      <c r="D336" s="19" t="str">
        <f aca="false">IF($K336="","",INDEX(Jobs!$J$5:$J$504,$K336))</f>
        <v/>
      </c>
      <c r="E336" s="15" t="str">
        <f aca="false">IF($K336="","",INDEX(Jobs!$N$5:$N$504,$K336))</f>
        <v/>
      </c>
      <c r="F336" s="15" t="str">
        <f aca="false">IF($A336="","",SUMIFS($P$5:$P$1004,$N$5:$N$1004,$A336))</f>
        <v/>
      </c>
      <c r="G336" s="15" t="str">
        <f aca="false">IF($A336="","",$E336-$F336)</f>
        <v/>
      </c>
      <c r="H336" s="22" t="str">
        <f aca="false">IF($A336="","",$B336+Settings!$B$11)</f>
        <v/>
      </c>
      <c r="I336" s="19" t="str">
        <f aca="true">IF($A336="","",IF($G336&lt;=0,"Paid",IF(TODAY()&gt;$H336,"Overdue",IF($F336&gt;0,"Partial","Unpaid"))))</f>
        <v/>
      </c>
      <c r="J336" s="14" t="str">
        <f aca="true">IF($A336="","",IF(AND($G336&gt;0,TODAY()&gt;$H336),TODAY()-$H336,""))</f>
        <v/>
      </c>
      <c r="K336" s="2" t="str">
        <f aca="false">IFERROR(MATCH(ROWS($K$5:$K336),Jobs!$Q$5:$Q$504,0),"")</f>
        <v/>
      </c>
      <c r="M336" s="16"/>
      <c r="N336" s="12"/>
      <c r="O336" s="12"/>
      <c r="P336" s="13"/>
      <c r="Q336" s="19" t="str">
        <f aca="false">IF($N336="","",IFERROR(INDEX($C$5:$C$504,MATCH($N336,$A$5:$A$504,0)),"Invoice not found"))</f>
        <v/>
      </c>
    </row>
    <row r="337" customFormat="false" ht="15" hidden="false" customHeight="false" outlineLevel="0" collapsed="false">
      <c r="A337" s="19" t="str">
        <f aca="false">IF($K337="","",INDEX(Jobs!$O$5:$O$504,$K337))</f>
        <v/>
      </c>
      <c r="B337" s="22" t="str">
        <f aca="false">IF($K337="","",INDEX(Jobs!$A$5:$A$504,$K337))</f>
        <v/>
      </c>
      <c r="C337" s="19" t="str">
        <f aca="false">IF($K337="","",INDEX(Jobs!$B$5:$B$504,$K337))</f>
        <v/>
      </c>
      <c r="D337" s="19" t="str">
        <f aca="false">IF($K337="","",INDEX(Jobs!$J$5:$J$504,$K337))</f>
        <v/>
      </c>
      <c r="E337" s="15" t="str">
        <f aca="false">IF($K337="","",INDEX(Jobs!$N$5:$N$504,$K337))</f>
        <v/>
      </c>
      <c r="F337" s="15" t="str">
        <f aca="false">IF($A337="","",SUMIFS($P$5:$P$1004,$N$5:$N$1004,$A337))</f>
        <v/>
      </c>
      <c r="G337" s="15" t="str">
        <f aca="false">IF($A337="","",$E337-$F337)</f>
        <v/>
      </c>
      <c r="H337" s="22" t="str">
        <f aca="false">IF($A337="","",$B337+Settings!$B$11)</f>
        <v/>
      </c>
      <c r="I337" s="19" t="str">
        <f aca="true">IF($A337="","",IF($G337&lt;=0,"Paid",IF(TODAY()&gt;$H337,"Overdue",IF($F337&gt;0,"Partial","Unpaid"))))</f>
        <v/>
      </c>
      <c r="J337" s="14" t="str">
        <f aca="true">IF($A337="","",IF(AND($G337&gt;0,TODAY()&gt;$H337),TODAY()-$H337,""))</f>
        <v/>
      </c>
      <c r="K337" s="2" t="str">
        <f aca="false">IFERROR(MATCH(ROWS($K$5:$K337),Jobs!$Q$5:$Q$504,0),"")</f>
        <v/>
      </c>
      <c r="M337" s="16"/>
      <c r="N337" s="12"/>
      <c r="O337" s="12"/>
      <c r="P337" s="13"/>
      <c r="Q337" s="19" t="str">
        <f aca="false">IF($N337="","",IFERROR(INDEX($C$5:$C$504,MATCH($N337,$A$5:$A$504,0)),"Invoice not found"))</f>
        <v/>
      </c>
    </row>
    <row r="338" customFormat="false" ht="15" hidden="false" customHeight="false" outlineLevel="0" collapsed="false">
      <c r="A338" s="19" t="str">
        <f aca="false">IF($K338="","",INDEX(Jobs!$O$5:$O$504,$K338))</f>
        <v/>
      </c>
      <c r="B338" s="22" t="str">
        <f aca="false">IF($K338="","",INDEX(Jobs!$A$5:$A$504,$K338))</f>
        <v/>
      </c>
      <c r="C338" s="19" t="str">
        <f aca="false">IF($K338="","",INDEX(Jobs!$B$5:$B$504,$K338))</f>
        <v/>
      </c>
      <c r="D338" s="19" t="str">
        <f aca="false">IF($K338="","",INDEX(Jobs!$J$5:$J$504,$K338))</f>
        <v/>
      </c>
      <c r="E338" s="15" t="str">
        <f aca="false">IF($K338="","",INDEX(Jobs!$N$5:$N$504,$K338))</f>
        <v/>
      </c>
      <c r="F338" s="15" t="str">
        <f aca="false">IF($A338="","",SUMIFS($P$5:$P$1004,$N$5:$N$1004,$A338))</f>
        <v/>
      </c>
      <c r="G338" s="15" t="str">
        <f aca="false">IF($A338="","",$E338-$F338)</f>
        <v/>
      </c>
      <c r="H338" s="22" t="str">
        <f aca="false">IF($A338="","",$B338+Settings!$B$11)</f>
        <v/>
      </c>
      <c r="I338" s="19" t="str">
        <f aca="true">IF($A338="","",IF($G338&lt;=0,"Paid",IF(TODAY()&gt;$H338,"Overdue",IF($F338&gt;0,"Partial","Unpaid"))))</f>
        <v/>
      </c>
      <c r="J338" s="14" t="str">
        <f aca="true">IF($A338="","",IF(AND($G338&gt;0,TODAY()&gt;$H338),TODAY()-$H338,""))</f>
        <v/>
      </c>
      <c r="K338" s="2" t="str">
        <f aca="false">IFERROR(MATCH(ROWS($K$5:$K338),Jobs!$Q$5:$Q$504,0),"")</f>
        <v/>
      </c>
      <c r="M338" s="16"/>
      <c r="N338" s="12"/>
      <c r="O338" s="12"/>
      <c r="P338" s="13"/>
      <c r="Q338" s="19" t="str">
        <f aca="false">IF($N338="","",IFERROR(INDEX($C$5:$C$504,MATCH($N338,$A$5:$A$504,0)),"Invoice not found"))</f>
        <v/>
      </c>
    </row>
    <row r="339" customFormat="false" ht="15" hidden="false" customHeight="false" outlineLevel="0" collapsed="false">
      <c r="A339" s="19" t="str">
        <f aca="false">IF($K339="","",INDEX(Jobs!$O$5:$O$504,$K339))</f>
        <v/>
      </c>
      <c r="B339" s="22" t="str">
        <f aca="false">IF($K339="","",INDEX(Jobs!$A$5:$A$504,$K339))</f>
        <v/>
      </c>
      <c r="C339" s="19" t="str">
        <f aca="false">IF($K339="","",INDEX(Jobs!$B$5:$B$504,$K339))</f>
        <v/>
      </c>
      <c r="D339" s="19" t="str">
        <f aca="false">IF($K339="","",INDEX(Jobs!$J$5:$J$504,$K339))</f>
        <v/>
      </c>
      <c r="E339" s="15" t="str">
        <f aca="false">IF($K339="","",INDEX(Jobs!$N$5:$N$504,$K339))</f>
        <v/>
      </c>
      <c r="F339" s="15" t="str">
        <f aca="false">IF($A339="","",SUMIFS($P$5:$P$1004,$N$5:$N$1004,$A339))</f>
        <v/>
      </c>
      <c r="G339" s="15" t="str">
        <f aca="false">IF($A339="","",$E339-$F339)</f>
        <v/>
      </c>
      <c r="H339" s="22" t="str">
        <f aca="false">IF($A339="","",$B339+Settings!$B$11)</f>
        <v/>
      </c>
      <c r="I339" s="19" t="str">
        <f aca="true">IF($A339="","",IF($G339&lt;=0,"Paid",IF(TODAY()&gt;$H339,"Overdue",IF($F339&gt;0,"Partial","Unpaid"))))</f>
        <v/>
      </c>
      <c r="J339" s="14" t="str">
        <f aca="true">IF($A339="","",IF(AND($G339&gt;0,TODAY()&gt;$H339),TODAY()-$H339,""))</f>
        <v/>
      </c>
      <c r="K339" s="2" t="str">
        <f aca="false">IFERROR(MATCH(ROWS($K$5:$K339),Jobs!$Q$5:$Q$504,0),"")</f>
        <v/>
      </c>
      <c r="M339" s="16"/>
      <c r="N339" s="12"/>
      <c r="O339" s="12"/>
      <c r="P339" s="13"/>
      <c r="Q339" s="19" t="str">
        <f aca="false">IF($N339="","",IFERROR(INDEX($C$5:$C$504,MATCH($N339,$A$5:$A$504,0)),"Invoice not found"))</f>
        <v/>
      </c>
    </row>
    <row r="340" customFormat="false" ht="15" hidden="false" customHeight="false" outlineLevel="0" collapsed="false">
      <c r="A340" s="19" t="str">
        <f aca="false">IF($K340="","",INDEX(Jobs!$O$5:$O$504,$K340))</f>
        <v/>
      </c>
      <c r="B340" s="22" t="str">
        <f aca="false">IF($K340="","",INDEX(Jobs!$A$5:$A$504,$K340))</f>
        <v/>
      </c>
      <c r="C340" s="19" t="str">
        <f aca="false">IF($K340="","",INDEX(Jobs!$B$5:$B$504,$K340))</f>
        <v/>
      </c>
      <c r="D340" s="19" t="str">
        <f aca="false">IF($K340="","",INDEX(Jobs!$J$5:$J$504,$K340))</f>
        <v/>
      </c>
      <c r="E340" s="15" t="str">
        <f aca="false">IF($K340="","",INDEX(Jobs!$N$5:$N$504,$K340))</f>
        <v/>
      </c>
      <c r="F340" s="15" t="str">
        <f aca="false">IF($A340="","",SUMIFS($P$5:$P$1004,$N$5:$N$1004,$A340))</f>
        <v/>
      </c>
      <c r="G340" s="15" t="str">
        <f aca="false">IF($A340="","",$E340-$F340)</f>
        <v/>
      </c>
      <c r="H340" s="22" t="str">
        <f aca="false">IF($A340="","",$B340+Settings!$B$11)</f>
        <v/>
      </c>
      <c r="I340" s="19" t="str">
        <f aca="true">IF($A340="","",IF($G340&lt;=0,"Paid",IF(TODAY()&gt;$H340,"Overdue",IF($F340&gt;0,"Partial","Unpaid"))))</f>
        <v/>
      </c>
      <c r="J340" s="14" t="str">
        <f aca="true">IF($A340="","",IF(AND($G340&gt;0,TODAY()&gt;$H340),TODAY()-$H340,""))</f>
        <v/>
      </c>
      <c r="K340" s="2" t="str">
        <f aca="false">IFERROR(MATCH(ROWS($K$5:$K340),Jobs!$Q$5:$Q$504,0),"")</f>
        <v/>
      </c>
      <c r="M340" s="16"/>
      <c r="N340" s="12"/>
      <c r="O340" s="12"/>
      <c r="P340" s="13"/>
      <c r="Q340" s="19" t="str">
        <f aca="false">IF($N340="","",IFERROR(INDEX($C$5:$C$504,MATCH($N340,$A$5:$A$504,0)),"Invoice not found"))</f>
        <v/>
      </c>
    </row>
    <row r="341" customFormat="false" ht="15" hidden="false" customHeight="false" outlineLevel="0" collapsed="false">
      <c r="A341" s="19" t="str">
        <f aca="false">IF($K341="","",INDEX(Jobs!$O$5:$O$504,$K341))</f>
        <v/>
      </c>
      <c r="B341" s="22" t="str">
        <f aca="false">IF($K341="","",INDEX(Jobs!$A$5:$A$504,$K341))</f>
        <v/>
      </c>
      <c r="C341" s="19" t="str">
        <f aca="false">IF($K341="","",INDEX(Jobs!$B$5:$B$504,$K341))</f>
        <v/>
      </c>
      <c r="D341" s="19" t="str">
        <f aca="false">IF($K341="","",INDEX(Jobs!$J$5:$J$504,$K341))</f>
        <v/>
      </c>
      <c r="E341" s="15" t="str">
        <f aca="false">IF($K341="","",INDEX(Jobs!$N$5:$N$504,$K341))</f>
        <v/>
      </c>
      <c r="F341" s="15" t="str">
        <f aca="false">IF($A341="","",SUMIFS($P$5:$P$1004,$N$5:$N$1004,$A341))</f>
        <v/>
      </c>
      <c r="G341" s="15" t="str">
        <f aca="false">IF($A341="","",$E341-$F341)</f>
        <v/>
      </c>
      <c r="H341" s="22" t="str">
        <f aca="false">IF($A341="","",$B341+Settings!$B$11)</f>
        <v/>
      </c>
      <c r="I341" s="19" t="str">
        <f aca="true">IF($A341="","",IF($G341&lt;=0,"Paid",IF(TODAY()&gt;$H341,"Overdue",IF($F341&gt;0,"Partial","Unpaid"))))</f>
        <v/>
      </c>
      <c r="J341" s="14" t="str">
        <f aca="true">IF($A341="","",IF(AND($G341&gt;0,TODAY()&gt;$H341),TODAY()-$H341,""))</f>
        <v/>
      </c>
      <c r="K341" s="2" t="str">
        <f aca="false">IFERROR(MATCH(ROWS($K$5:$K341),Jobs!$Q$5:$Q$504,0),"")</f>
        <v/>
      </c>
      <c r="M341" s="16"/>
      <c r="N341" s="12"/>
      <c r="O341" s="12"/>
      <c r="P341" s="13"/>
      <c r="Q341" s="19" t="str">
        <f aca="false">IF($N341="","",IFERROR(INDEX($C$5:$C$504,MATCH($N341,$A$5:$A$504,0)),"Invoice not found"))</f>
        <v/>
      </c>
    </row>
    <row r="342" customFormat="false" ht="15" hidden="false" customHeight="false" outlineLevel="0" collapsed="false">
      <c r="A342" s="19" t="str">
        <f aca="false">IF($K342="","",INDEX(Jobs!$O$5:$O$504,$K342))</f>
        <v/>
      </c>
      <c r="B342" s="22" t="str">
        <f aca="false">IF($K342="","",INDEX(Jobs!$A$5:$A$504,$K342))</f>
        <v/>
      </c>
      <c r="C342" s="19" t="str">
        <f aca="false">IF($K342="","",INDEX(Jobs!$B$5:$B$504,$K342))</f>
        <v/>
      </c>
      <c r="D342" s="19" t="str">
        <f aca="false">IF($K342="","",INDEX(Jobs!$J$5:$J$504,$K342))</f>
        <v/>
      </c>
      <c r="E342" s="15" t="str">
        <f aca="false">IF($K342="","",INDEX(Jobs!$N$5:$N$504,$K342))</f>
        <v/>
      </c>
      <c r="F342" s="15" t="str">
        <f aca="false">IF($A342="","",SUMIFS($P$5:$P$1004,$N$5:$N$1004,$A342))</f>
        <v/>
      </c>
      <c r="G342" s="15" t="str">
        <f aca="false">IF($A342="","",$E342-$F342)</f>
        <v/>
      </c>
      <c r="H342" s="22" t="str">
        <f aca="false">IF($A342="","",$B342+Settings!$B$11)</f>
        <v/>
      </c>
      <c r="I342" s="19" t="str">
        <f aca="true">IF($A342="","",IF($G342&lt;=0,"Paid",IF(TODAY()&gt;$H342,"Overdue",IF($F342&gt;0,"Partial","Unpaid"))))</f>
        <v/>
      </c>
      <c r="J342" s="14" t="str">
        <f aca="true">IF($A342="","",IF(AND($G342&gt;0,TODAY()&gt;$H342),TODAY()-$H342,""))</f>
        <v/>
      </c>
      <c r="K342" s="2" t="str">
        <f aca="false">IFERROR(MATCH(ROWS($K$5:$K342),Jobs!$Q$5:$Q$504,0),"")</f>
        <v/>
      </c>
      <c r="M342" s="16"/>
      <c r="N342" s="12"/>
      <c r="O342" s="12"/>
      <c r="P342" s="13"/>
      <c r="Q342" s="19" t="str">
        <f aca="false">IF($N342="","",IFERROR(INDEX($C$5:$C$504,MATCH($N342,$A$5:$A$504,0)),"Invoice not found"))</f>
        <v/>
      </c>
    </row>
    <row r="343" customFormat="false" ht="15" hidden="false" customHeight="false" outlineLevel="0" collapsed="false">
      <c r="A343" s="19" t="str">
        <f aca="false">IF($K343="","",INDEX(Jobs!$O$5:$O$504,$K343))</f>
        <v/>
      </c>
      <c r="B343" s="22" t="str">
        <f aca="false">IF($K343="","",INDEX(Jobs!$A$5:$A$504,$K343))</f>
        <v/>
      </c>
      <c r="C343" s="19" t="str">
        <f aca="false">IF($K343="","",INDEX(Jobs!$B$5:$B$504,$K343))</f>
        <v/>
      </c>
      <c r="D343" s="19" t="str">
        <f aca="false">IF($K343="","",INDEX(Jobs!$J$5:$J$504,$K343))</f>
        <v/>
      </c>
      <c r="E343" s="15" t="str">
        <f aca="false">IF($K343="","",INDEX(Jobs!$N$5:$N$504,$K343))</f>
        <v/>
      </c>
      <c r="F343" s="15" t="str">
        <f aca="false">IF($A343="","",SUMIFS($P$5:$P$1004,$N$5:$N$1004,$A343))</f>
        <v/>
      </c>
      <c r="G343" s="15" t="str">
        <f aca="false">IF($A343="","",$E343-$F343)</f>
        <v/>
      </c>
      <c r="H343" s="22" t="str">
        <f aca="false">IF($A343="","",$B343+Settings!$B$11)</f>
        <v/>
      </c>
      <c r="I343" s="19" t="str">
        <f aca="true">IF($A343="","",IF($G343&lt;=0,"Paid",IF(TODAY()&gt;$H343,"Overdue",IF($F343&gt;0,"Partial","Unpaid"))))</f>
        <v/>
      </c>
      <c r="J343" s="14" t="str">
        <f aca="true">IF($A343="","",IF(AND($G343&gt;0,TODAY()&gt;$H343),TODAY()-$H343,""))</f>
        <v/>
      </c>
      <c r="K343" s="2" t="str">
        <f aca="false">IFERROR(MATCH(ROWS($K$5:$K343),Jobs!$Q$5:$Q$504,0),"")</f>
        <v/>
      </c>
      <c r="M343" s="16"/>
      <c r="N343" s="12"/>
      <c r="O343" s="12"/>
      <c r="P343" s="13"/>
      <c r="Q343" s="19" t="str">
        <f aca="false">IF($N343="","",IFERROR(INDEX($C$5:$C$504,MATCH($N343,$A$5:$A$504,0)),"Invoice not found"))</f>
        <v/>
      </c>
    </row>
    <row r="344" customFormat="false" ht="15" hidden="false" customHeight="false" outlineLevel="0" collapsed="false">
      <c r="A344" s="19" t="str">
        <f aca="false">IF($K344="","",INDEX(Jobs!$O$5:$O$504,$K344))</f>
        <v/>
      </c>
      <c r="B344" s="22" t="str">
        <f aca="false">IF($K344="","",INDEX(Jobs!$A$5:$A$504,$K344))</f>
        <v/>
      </c>
      <c r="C344" s="19" t="str">
        <f aca="false">IF($K344="","",INDEX(Jobs!$B$5:$B$504,$K344))</f>
        <v/>
      </c>
      <c r="D344" s="19" t="str">
        <f aca="false">IF($K344="","",INDEX(Jobs!$J$5:$J$504,$K344))</f>
        <v/>
      </c>
      <c r="E344" s="15" t="str">
        <f aca="false">IF($K344="","",INDEX(Jobs!$N$5:$N$504,$K344))</f>
        <v/>
      </c>
      <c r="F344" s="15" t="str">
        <f aca="false">IF($A344="","",SUMIFS($P$5:$P$1004,$N$5:$N$1004,$A344))</f>
        <v/>
      </c>
      <c r="G344" s="15" t="str">
        <f aca="false">IF($A344="","",$E344-$F344)</f>
        <v/>
      </c>
      <c r="H344" s="22" t="str">
        <f aca="false">IF($A344="","",$B344+Settings!$B$11)</f>
        <v/>
      </c>
      <c r="I344" s="19" t="str">
        <f aca="true">IF($A344="","",IF($G344&lt;=0,"Paid",IF(TODAY()&gt;$H344,"Overdue",IF($F344&gt;0,"Partial","Unpaid"))))</f>
        <v/>
      </c>
      <c r="J344" s="14" t="str">
        <f aca="true">IF($A344="","",IF(AND($G344&gt;0,TODAY()&gt;$H344),TODAY()-$H344,""))</f>
        <v/>
      </c>
      <c r="K344" s="2" t="str">
        <f aca="false">IFERROR(MATCH(ROWS($K$5:$K344),Jobs!$Q$5:$Q$504,0),"")</f>
        <v/>
      </c>
      <c r="M344" s="16"/>
      <c r="N344" s="12"/>
      <c r="O344" s="12"/>
      <c r="P344" s="13"/>
      <c r="Q344" s="19" t="str">
        <f aca="false">IF($N344="","",IFERROR(INDEX($C$5:$C$504,MATCH($N344,$A$5:$A$504,0)),"Invoice not found"))</f>
        <v/>
      </c>
    </row>
    <row r="345" customFormat="false" ht="15" hidden="false" customHeight="false" outlineLevel="0" collapsed="false">
      <c r="A345" s="19" t="str">
        <f aca="false">IF($K345="","",INDEX(Jobs!$O$5:$O$504,$K345))</f>
        <v/>
      </c>
      <c r="B345" s="22" t="str">
        <f aca="false">IF($K345="","",INDEX(Jobs!$A$5:$A$504,$K345))</f>
        <v/>
      </c>
      <c r="C345" s="19" t="str">
        <f aca="false">IF($K345="","",INDEX(Jobs!$B$5:$B$504,$K345))</f>
        <v/>
      </c>
      <c r="D345" s="19" t="str">
        <f aca="false">IF($K345="","",INDEX(Jobs!$J$5:$J$504,$K345))</f>
        <v/>
      </c>
      <c r="E345" s="15" t="str">
        <f aca="false">IF($K345="","",INDEX(Jobs!$N$5:$N$504,$K345))</f>
        <v/>
      </c>
      <c r="F345" s="15" t="str">
        <f aca="false">IF($A345="","",SUMIFS($P$5:$P$1004,$N$5:$N$1004,$A345))</f>
        <v/>
      </c>
      <c r="G345" s="15" t="str">
        <f aca="false">IF($A345="","",$E345-$F345)</f>
        <v/>
      </c>
      <c r="H345" s="22" t="str">
        <f aca="false">IF($A345="","",$B345+Settings!$B$11)</f>
        <v/>
      </c>
      <c r="I345" s="19" t="str">
        <f aca="true">IF($A345="","",IF($G345&lt;=0,"Paid",IF(TODAY()&gt;$H345,"Overdue",IF($F345&gt;0,"Partial","Unpaid"))))</f>
        <v/>
      </c>
      <c r="J345" s="14" t="str">
        <f aca="true">IF($A345="","",IF(AND($G345&gt;0,TODAY()&gt;$H345),TODAY()-$H345,""))</f>
        <v/>
      </c>
      <c r="K345" s="2" t="str">
        <f aca="false">IFERROR(MATCH(ROWS($K$5:$K345),Jobs!$Q$5:$Q$504,0),"")</f>
        <v/>
      </c>
      <c r="M345" s="16"/>
      <c r="N345" s="12"/>
      <c r="O345" s="12"/>
      <c r="P345" s="13"/>
      <c r="Q345" s="19" t="str">
        <f aca="false">IF($N345="","",IFERROR(INDEX($C$5:$C$504,MATCH($N345,$A$5:$A$504,0)),"Invoice not found"))</f>
        <v/>
      </c>
    </row>
    <row r="346" customFormat="false" ht="15" hidden="false" customHeight="false" outlineLevel="0" collapsed="false">
      <c r="A346" s="19" t="str">
        <f aca="false">IF($K346="","",INDEX(Jobs!$O$5:$O$504,$K346))</f>
        <v/>
      </c>
      <c r="B346" s="22" t="str">
        <f aca="false">IF($K346="","",INDEX(Jobs!$A$5:$A$504,$K346))</f>
        <v/>
      </c>
      <c r="C346" s="19" t="str">
        <f aca="false">IF($K346="","",INDEX(Jobs!$B$5:$B$504,$K346))</f>
        <v/>
      </c>
      <c r="D346" s="19" t="str">
        <f aca="false">IF($K346="","",INDEX(Jobs!$J$5:$J$504,$K346))</f>
        <v/>
      </c>
      <c r="E346" s="15" t="str">
        <f aca="false">IF($K346="","",INDEX(Jobs!$N$5:$N$504,$K346))</f>
        <v/>
      </c>
      <c r="F346" s="15" t="str">
        <f aca="false">IF($A346="","",SUMIFS($P$5:$P$1004,$N$5:$N$1004,$A346))</f>
        <v/>
      </c>
      <c r="G346" s="15" t="str">
        <f aca="false">IF($A346="","",$E346-$F346)</f>
        <v/>
      </c>
      <c r="H346" s="22" t="str">
        <f aca="false">IF($A346="","",$B346+Settings!$B$11)</f>
        <v/>
      </c>
      <c r="I346" s="19" t="str">
        <f aca="true">IF($A346="","",IF($G346&lt;=0,"Paid",IF(TODAY()&gt;$H346,"Overdue",IF($F346&gt;0,"Partial","Unpaid"))))</f>
        <v/>
      </c>
      <c r="J346" s="14" t="str">
        <f aca="true">IF($A346="","",IF(AND($G346&gt;0,TODAY()&gt;$H346),TODAY()-$H346,""))</f>
        <v/>
      </c>
      <c r="K346" s="2" t="str">
        <f aca="false">IFERROR(MATCH(ROWS($K$5:$K346),Jobs!$Q$5:$Q$504,0),"")</f>
        <v/>
      </c>
      <c r="M346" s="16"/>
      <c r="N346" s="12"/>
      <c r="O346" s="12"/>
      <c r="P346" s="13"/>
      <c r="Q346" s="19" t="str">
        <f aca="false">IF($N346="","",IFERROR(INDEX($C$5:$C$504,MATCH($N346,$A$5:$A$504,0)),"Invoice not found"))</f>
        <v/>
      </c>
    </row>
    <row r="347" customFormat="false" ht="15" hidden="false" customHeight="false" outlineLevel="0" collapsed="false">
      <c r="A347" s="19" t="str">
        <f aca="false">IF($K347="","",INDEX(Jobs!$O$5:$O$504,$K347))</f>
        <v/>
      </c>
      <c r="B347" s="22" t="str">
        <f aca="false">IF($K347="","",INDEX(Jobs!$A$5:$A$504,$K347))</f>
        <v/>
      </c>
      <c r="C347" s="19" t="str">
        <f aca="false">IF($K347="","",INDEX(Jobs!$B$5:$B$504,$K347))</f>
        <v/>
      </c>
      <c r="D347" s="19" t="str">
        <f aca="false">IF($K347="","",INDEX(Jobs!$J$5:$J$504,$K347))</f>
        <v/>
      </c>
      <c r="E347" s="15" t="str">
        <f aca="false">IF($K347="","",INDEX(Jobs!$N$5:$N$504,$K347))</f>
        <v/>
      </c>
      <c r="F347" s="15" t="str">
        <f aca="false">IF($A347="","",SUMIFS($P$5:$P$1004,$N$5:$N$1004,$A347))</f>
        <v/>
      </c>
      <c r="G347" s="15" t="str">
        <f aca="false">IF($A347="","",$E347-$F347)</f>
        <v/>
      </c>
      <c r="H347" s="22" t="str">
        <f aca="false">IF($A347="","",$B347+Settings!$B$11)</f>
        <v/>
      </c>
      <c r="I347" s="19" t="str">
        <f aca="true">IF($A347="","",IF($G347&lt;=0,"Paid",IF(TODAY()&gt;$H347,"Overdue",IF($F347&gt;0,"Partial","Unpaid"))))</f>
        <v/>
      </c>
      <c r="J347" s="14" t="str">
        <f aca="true">IF($A347="","",IF(AND($G347&gt;0,TODAY()&gt;$H347),TODAY()-$H347,""))</f>
        <v/>
      </c>
      <c r="K347" s="2" t="str">
        <f aca="false">IFERROR(MATCH(ROWS($K$5:$K347),Jobs!$Q$5:$Q$504,0),"")</f>
        <v/>
      </c>
      <c r="M347" s="16"/>
      <c r="N347" s="12"/>
      <c r="O347" s="12"/>
      <c r="P347" s="13"/>
      <c r="Q347" s="19" t="str">
        <f aca="false">IF($N347="","",IFERROR(INDEX($C$5:$C$504,MATCH($N347,$A$5:$A$504,0)),"Invoice not found"))</f>
        <v/>
      </c>
    </row>
    <row r="348" customFormat="false" ht="15" hidden="false" customHeight="false" outlineLevel="0" collapsed="false">
      <c r="A348" s="19" t="str">
        <f aca="false">IF($K348="","",INDEX(Jobs!$O$5:$O$504,$K348))</f>
        <v/>
      </c>
      <c r="B348" s="22" t="str">
        <f aca="false">IF($K348="","",INDEX(Jobs!$A$5:$A$504,$K348))</f>
        <v/>
      </c>
      <c r="C348" s="19" t="str">
        <f aca="false">IF($K348="","",INDEX(Jobs!$B$5:$B$504,$K348))</f>
        <v/>
      </c>
      <c r="D348" s="19" t="str">
        <f aca="false">IF($K348="","",INDEX(Jobs!$J$5:$J$504,$K348))</f>
        <v/>
      </c>
      <c r="E348" s="15" t="str">
        <f aca="false">IF($K348="","",INDEX(Jobs!$N$5:$N$504,$K348))</f>
        <v/>
      </c>
      <c r="F348" s="15" t="str">
        <f aca="false">IF($A348="","",SUMIFS($P$5:$P$1004,$N$5:$N$1004,$A348))</f>
        <v/>
      </c>
      <c r="G348" s="15" t="str">
        <f aca="false">IF($A348="","",$E348-$F348)</f>
        <v/>
      </c>
      <c r="H348" s="22" t="str">
        <f aca="false">IF($A348="","",$B348+Settings!$B$11)</f>
        <v/>
      </c>
      <c r="I348" s="19" t="str">
        <f aca="true">IF($A348="","",IF($G348&lt;=0,"Paid",IF(TODAY()&gt;$H348,"Overdue",IF($F348&gt;0,"Partial","Unpaid"))))</f>
        <v/>
      </c>
      <c r="J348" s="14" t="str">
        <f aca="true">IF($A348="","",IF(AND($G348&gt;0,TODAY()&gt;$H348),TODAY()-$H348,""))</f>
        <v/>
      </c>
      <c r="K348" s="2" t="str">
        <f aca="false">IFERROR(MATCH(ROWS($K$5:$K348),Jobs!$Q$5:$Q$504,0),"")</f>
        <v/>
      </c>
      <c r="M348" s="16"/>
      <c r="N348" s="12"/>
      <c r="O348" s="12"/>
      <c r="P348" s="13"/>
      <c r="Q348" s="19" t="str">
        <f aca="false">IF($N348="","",IFERROR(INDEX($C$5:$C$504,MATCH($N348,$A$5:$A$504,0)),"Invoice not found"))</f>
        <v/>
      </c>
    </row>
    <row r="349" customFormat="false" ht="15" hidden="false" customHeight="false" outlineLevel="0" collapsed="false">
      <c r="A349" s="19" t="str">
        <f aca="false">IF($K349="","",INDEX(Jobs!$O$5:$O$504,$K349))</f>
        <v/>
      </c>
      <c r="B349" s="22" t="str">
        <f aca="false">IF($K349="","",INDEX(Jobs!$A$5:$A$504,$K349))</f>
        <v/>
      </c>
      <c r="C349" s="19" t="str">
        <f aca="false">IF($K349="","",INDEX(Jobs!$B$5:$B$504,$K349))</f>
        <v/>
      </c>
      <c r="D349" s="19" t="str">
        <f aca="false">IF($K349="","",INDEX(Jobs!$J$5:$J$504,$K349))</f>
        <v/>
      </c>
      <c r="E349" s="15" t="str">
        <f aca="false">IF($K349="","",INDEX(Jobs!$N$5:$N$504,$K349))</f>
        <v/>
      </c>
      <c r="F349" s="15" t="str">
        <f aca="false">IF($A349="","",SUMIFS($P$5:$P$1004,$N$5:$N$1004,$A349))</f>
        <v/>
      </c>
      <c r="G349" s="15" t="str">
        <f aca="false">IF($A349="","",$E349-$F349)</f>
        <v/>
      </c>
      <c r="H349" s="22" t="str">
        <f aca="false">IF($A349="","",$B349+Settings!$B$11)</f>
        <v/>
      </c>
      <c r="I349" s="19" t="str">
        <f aca="true">IF($A349="","",IF($G349&lt;=0,"Paid",IF(TODAY()&gt;$H349,"Overdue",IF($F349&gt;0,"Partial","Unpaid"))))</f>
        <v/>
      </c>
      <c r="J349" s="14" t="str">
        <f aca="true">IF($A349="","",IF(AND($G349&gt;0,TODAY()&gt;$H349),TODAY()-$H349,""))</f>
        <v/>
      </c>
      <c r="K349" s="2" t="str">
        <f aca="false">IFERROR(MATCH(ROWS($K$5:$K349),Jobs!$Q$5:$Q$504,0),"")</f>
        <v/>
      </c>
      <c r="M349" s="16"/>
      <c r="N349" s="12"/>
      <c r="O349" s="12"/>
      <c r="P349" s="13"/>
      <c r="Q349" s="19" t="str">
        <f aca="false">IF($N349="","",IFERROR(INDEX($C$5:$C$504,MATCH($N349,$A$5:$A$504,0)),"Invoice not found"))</f>
        <v/>
      </c>
    </row>
    <row r="350" customFormat="false" ht="15" hidden="false" customHeight="false" outlineLevel="0" collapsed="false">
      <c r="A350" s="19" t="str">
        <f aca="false">IF($K350="","",INDEX(Jobs!$O$5:$O$504,$K350))</f>
        <v/>
      </c>
      <c r="B350" s="22" t="str">
        <f aca="false">IF($K350="","",INDEX(Jobs!$A$5:$A$504,$K350))</f>
        <v/>
      </c>
      <c r="C350" s="19" t="str">
        <f aca="false">IF($K350="","",INDEX(Jobs!$B$5:$B$504,$K350))</f>
        <v/>
      </c>
      <c r="D350" s="19" t="str">
        <f aca="false">IF($K350="","",INDEX(Jobs!$J$5:$J$504,$K350))</f>
        <v/>
      </c>
      <c r="E350" s="15" t="str">
        <f aca="false">IF($K350="","",INDEX(Jobs!$N$5:$N$504,$K350))</f>
        <v/>
      </c>
      <c r="F350" s="15" t="str">
        <f aca="false">IF($A350="","",SUMIFS($P$5:$P$1004,$N$5:$N$1004,$A350))</f>
        <v/>
      </c>
      <c r="G350" s="15" t="str">
        <f aca="false">IF($A350="","",$E350-$F350)</f>
        <v/>
      </c>
      <c r="H350" s="22" t="str">
        <f aca="false">IF($A350="","",$B350+Settings!$B$11)</f>
        <v/>
      </c>
      <c r="I350" s="19" t="str">
        <f aca="true">IF($A350="","",IF($G350&lt;=0,"Paid",IF(TODAY()&gt;$H350,"Overdue",IF($F350&gt;0,"Partial","Unpaid"))))</f>
        <v/>
      </c>
      <c r="J350" s="14" t="str">
        <f aca="true">IF($A350="","",IF(AND($G350&gt;0,TODAY()&gt;$H350),TODAY()-$H350,""))</f>
        <v/>
      </c>
      <c r="K350" s="2" t="str">
        <f aca="false">IFERROR(MATCH(ROWS($K$5:$K350),Jobs!$Q$5:$Q$504,0),"")</f>
        <v/>
      </c>
      <c r="M350" s="16"/>
      <c r="N350" s="12"/>
      <c r="O350" s="12"/>
      <c r="P350" s="13"/>
      <c r="Q350" s="19" t="str">
        <f aca="false">IF($N350="","",IFERROR(INDEX($C$5:$C$504,MATCH($N350,$A$5:$A$504,0)),"Invoice not found"))</f>
        <v/>
      </c>
    </row>
    <row r="351" customFormat="false" ht="15" hidden="false" customHeight="false" outlineLevel="0" collapsed="false">
      <c r="A351" s="19" t="str">
        <f aca="false">IF($K351="","",INDEX(Jobs!$O$5:$O$504,$K351))</f>
        <v/>
      </c>
      <c r="B351" s="22" t="str">
        <f aca="false">IF($K351="","",INDEX(Jobs!$A$5:$A$504,$K351))</f>
        <v/>
      </c>
      <c r="C351" s="19" t="str">
        <f aca="false">IF($K351="","",INDEX(Jobs!$B$5:$B$504,$K351))</f>
        <v/>
      </c>
      <c r="D351" s="19" t="str">
        <f aca="false">IF($K351="","",INDEX(Jobs!$J$5:$J$504,$K351))</f>
        <v/>
      </c>
      <c r="E351" s="15" t="str">
        <f aca="false">IF($K351="","",INDEX(Jobs!$N$5:$N$504,$K351))</f>
        <v/>
      </c>
      <c r="F351" s="15" t="str">
        <f aca="false">IF($A351="","",SUMIFS($P$5:$P$1004,$N$5:$N$1004,$A351))</f>
        <v/>
      </c>
      <c r="G351" s="15" t="str">
        <f aca="false">IF($A351="","",$E351-$F351)</f>
        <v/>
      </c>
      <c r="H351" s="22" t="str">
        <f aca="false">IF($A351="","",$B351+Settings!$B$11)</f>
        <v/>
      </c>
      <c r="I351" s="19" t="str">
        <f aca="true">IF($A351="","",IF($G351&lt;=0,"Paid",IF(TODAY()&gt;$H351,"Overdue",IF($F351&gt;0,"Partial","Unpaid"))))</f>
        <v/>
      </c>
      <c r="J351" s="14" t="str">
        <f aca="true">IF($A351="","",IF(AND($G351&gt;0,TODAY()&gt;$H351),TODAY()-$H351,""))</f>
        <v/>
      </c>
      <c r="K351" s="2" t="str">
        <f aca="false">IFERROR(MATCH(ROWS($K$5:$K351),Jobs!$Q$5:$Q$504,0),"")</f>
        <v/>
      </c>
      <c r="M351" s="16"/>
      <c r="N351" s="12"/>
      <c r="O351" s="12"/>
      <c r="P351" s="13"/>
      <c r="Q351" s="19" t="str">
        <f aca="false">IF($N351="","",IFERROR(INDEX($C$5:$C$504,MATCH($N351,$A$5:$A$504,0)),"Invoice not found"))</f>
        <v/>
      </c>
    </row>
    <row r="352" customFormat="false" ht="15" hidden="false" customHeight="false" outlineLevel="0" collapsed="false">
      <c r="A352" s="19" t="str">
        <f aca="false">IF($K352="","",INDEX(Jobs!$O$5:$O$504,$K352))</f>
        <v/>
      </c>
      <c r="B352" s="22" t="str">
        <f aca="false">IF($K352="","",INDEX(Jobs!$A$5:$A$504,$K352))</f>
        <v/>
      </c>
      <c r="C352" s="19" t="str">
        <f aca="false">IF($K352="","",INDEX(Jobs!$B$5:$B$504,$K352))</f>
        <v/>
      </c>
      <c r="D352" s="19" t="str">
        <f aca="false">IF($K352="","",INDEX(Jobs!$J$5:$J$504,$K352))</f>
        <v/>
      </c>
      <c r="E352" s="15" t="str">
        <f aca="false">IF($K352="","",INDEX(Jobs!$N$5:$N$504,$K352))</f>
        <v/>
      </c>
      <c r="F352" s="15" t="str">
        <f aca="false">IF($A352="","",SUMIFS($P$5:$P$1004,$N$5:$N$1004,$A352))</f>
        <v/>
      </c>
      <c r="G352" s="15" t="str">
        <f aca="false">IF($A352="","",$E352-$F352)</f>
        <v/>
      </c>
      <c r="H352" s="22" t="str">
        <f aca="false">IF($A352="","",$B352+Settings!$B$11)</f>
        <v/>
      </c>
      <c r="I352" s="19" t="str">
        <f aca="true">IF($A352="","",IF($G352&lt;=0,"Paid",IF(TODAY()&gt;$H352,"Overdue",IF($F352&gt;0,"Partial","Unpaid"))))</f>
        <v/>
      </c>
      <c r="J352" s="14" t="str">
        <f aca="true">IF($A352="","",IF(AND($G352&gt;0,TODAY()&gt;$H352),TODAY()-$H352,""))</f>
        <v/>
      </c>
      <c r="K352" s="2" t="str">
        <f aca="false">IFERROR(MATCH(ROWS($K$5:$K352),Jobs!$Q$5:$Q$504,0),"")</f>
        <v/>
      </c>
      <c r="M352" s="16"/>
      <c r="N352" s="12"/>
      <c r="O352" s="12"/>
      <c r="P352" s="13"/>
      <c r="Q352" s="19" t="str">
        <f aca="false">IF($N352="","",IFERROR(INDEX($C$5:$C$504,MATCH($N352,$A$5:$A$504,0)),"Invoice not found"))</f>
        <v/>
      </c>
    </row>
    <row r="353" customFormat="false" ht="15" hidden="false" customHeight="false" outlineLevel="0" collapsed="false">
      <c r="A353" s="19" t="str">
        <f aca="false">IF($K353="","",INDEX(Jobs!$O$5:$O$504,$K353))</f>
        <v/>
      </c>
      <c r="B353" s="22" t="str">
        <f aca="false">IF($K353="","",INDEX(Jobs!$A$5:$A$504,$K353))</f>
        <v/>
      </c>
      <c r="C353" s="19" t="str">
        <f aca="false">IF($K353="","",INDEX(Jobs!$B$5:$B$504,$K353))</f>
        <v/>
      </c>
      <c r="D353" s="19" t="str">
        <f aca="false">IF($K353="","",INDEX(Jobs!$J$5:$J$504,$K353))</f>
        <v/>
      </c>
      <c r="E353" s="15" t="str">
        <f aca="false">IF($K353="","",INDEX(Jobs!$N$5:$N$504,$K353))</f>
        <v/>
      </c>
      <c r="F353" s="15" t="str">
        <f aca="false">IF($A353="","",SUMIFS($P$5:$P$1004,$N$5:$N$1004,$A353))</f>
        <v/>
      </c>
      <c r="G353" s="15" t="str">
        <f aca="false">IF($A353="","",$E353-$F353)</f>
        <v/>
      </c>
      <c r="H353" s="22" t="str">
        <f aca="false">IF($A353="","",$B353+Settings!$B$11)</f>
        <v/>
      </c>
      <c r="I353" s="19" t="str">
        <f aca="true">IF($A353="","",IF($G353&lt;=0,"Paid",IF(TODAY()&gt;$H353,"Overdue",IF($F353&gt;0,"Partial","Unpaid"))))</f>
        <v/>
      </c>
      <c r="J353" s="14" t="str">
        <f aca="true">IF($A353="","",IF(AND($G353&gt;0,TODAY()&gt;$H353),TODAY()-$H353,""))</f>
        <v/>
      </c>
      <c r="K353" s="2" t="str">
        <f aca="false">IFERROR(MATCH(ROWS($K$5:$K353),Jobs!$Q$5:$Q$504,0),"")</f>
        <v/>
      </c>
      <c r="M353" s="16"/>
      <c r="N353" s="12"/>
      <c r="O353" s="12"/>
      <c r="P353" s="13"/>
      <c r="Q353" s="19" t="str">
        <f aca="false">IF($N353="","",IFERROR(INDEX($C$5:$C$504,MATCH($N353,$A$5:$A$504,0)),"Invoice not found"))</f>
        <v/>
      </c>
    </row>
    <row r="354" customFormat="false" ht="15" hidden="false" customHeight="false" outlineLevel="0" collapsed="false">
      <c r="A354" s="19" t="str">
        <f aca="false">IF($K354="","",INDEX(Jobs!$O$5:$O$504,$K354))</f>
        <v/>
      </c>
      <c r="B354" s="22" t="str">
        <f aca="false">IF($K354="","",INDEX(Jobs!$A$5:$A$504,$K354))</f>
        <v/>
      </c>
      <c r="C354" s="19" t="str">
        <f aca="false">IF($K354="","",INDEX(Jobs!$B$5:$B$504,$K354))</f>
        <v/>
      </c>
      <c r="D354" s="19" t="str">
        <f aca="false">IF($K354="","",INDEX(Jobs!$J$5:$J$504,$K354))</f>
        <v/>
      </c>
      <c r="E354" s="15" t="str">
        <f aca="false">IF($K354="","",INDEX(Jobs!$N$5:$N$504,$K354))</f>
        <v/>
      </c>
      <c r="F354" s="15" t="str">
        <f aca="false">IF($A354="","",SUMIFS($P$5:$P$1004,$N$5:$N$1004,$A354))</f>
        <v/>
      </c>
      <c r="G354" s="15" t="str">
        <f aca="false">IF($A354="","",$E354-$F354)</f>
        <v/>
      </c>
      <c r="H354" s="22" t="str">
        <f aca="false">IF($A354="","",$B354+Settings!$B$11)</f>
        <v/>
      </c>
      <c r="I354" s="19" t="str">
        <f aca="true">IF($A354="","",IF($G354&lt;=0,"Paid",IF(TODAY()&gt;$H354,"Overdue",IF($F354&gt;0,"Partial","Unpaid"))))</f>
        <v/>
      </c>
      <c r="J354" s="14" t="str">
        <f aca="true">IF($A354="","",IF(AND($G354&gt;0,TODAY()&gt;$H354),TODAY()-$H354,""))</f>
        <v/>
      </c>
      <c r="K354" s="2" t="str">
        <f aca="false">IFERROR(MATCH(ROWS($K$5:$K354),Jobs!$Q$5:$Q$504,0),"")</f>
        <v/>
      </c>
      <c r="M354" s="16"/>
      <c r="N354" s="12"/>
      <c r="O354" s="12"/>
      <c r="P354" s="13"/>
      <c r="Q354" s="19" t="str">
        <f aca="false">IF($N354="","",IFERROR(INDEX($C$5:$C$504,MATCH($N354,$A$5:$A$504,0)),"Invoice not found"))</f>
        <v/>
      </c>
    </row>
    <row r="355" customFormat="false" ht="15" hidden="false" customHeight="false" outlineLevel="0" collapsed="false">
      <c r="A355" s="19" t="str">
        <f aca="false">IF($K355="","",INDEX(Jobs!$O$5:$O$504,$K355))</f>
        <v/>
      </c>
      <c r="B355" s="22" t="str">
        <f aca="false">IF($K355="","",INDEX(Jobs!$A$5:$A$504,$K355))</f>
        <v/>
      </c>
      <c r="C355" s="19" t="str">
        <f aca="false">IF($K355="","",INDEX(Jobs!$B$5:$B$504,$K355))</f>
        <v/>
      </c>
      <c r="D355" s="19" t="str">
        <f aca="false">IF($K355="","",INDEX(Jobs!$J$5:$J$504,$K355))</f>
        <v/>
      </c>
      <c r="E355" s="15" t="str">
        <f aca="false">IF($K355="","",INDEX(Jobs!$N$5:$N$504,$K355))</f>
        <v/>
      </c>
      <c r="F355" s="15" t="str">
        <f aca="false">IF($A355="","",SUMIFS($P$5:$P$1004,$N$5:$N$1004,$A355))</f>
        <v/>
      </c>
      <c r="G355" s="15" t="str">
        <f aca="false">IF($A355="","",$E355-$F355)</f>
        <v/>
      </c>
      <c r="H355" s="22" t="str">
        <f aca="false">IF($A355="","",$B355+Settings!$B$11)</f>
        <v/>
      </c>
      <c r="I355" s="19" t="str">
        <f aca="true">IF($A355="","",IF($G355&lt;=0,"Paid",IF(TODAY()&gt;$H355,"Overdue",IF($F355&gt;0,"Partial","Unpaid"))))</f>
        <v/>
      </c>
      <c r="J355" s="14" t="str">
        <f aca="true">IF($A355="","",IF(AND($G355&gt;0,TODAY()&gt;$H355),TODAY()-$H355,""))</f>
        <v/>
      </c>
      <c r="K355" s="2" t="str">
        <f aca="false">IFERROR(MATCH(ROWS($K$5:$K355),Jobs!$Q$5:$Q$504,0),"")</f>
        <v/>
      </c>
      <c r="M355" s="16"/>
      <c r="N355" s="12"/>
      <c r="O355" s="12"/>
      <c r="P355" s="13"/>
      <c r="Q355" s="19" t="str">
        <f aca="false">IF($N355="","",IFERROR(INDEX($C$5:$C$504,MATCH($N355,$A$5:$A$504,0)),"Invoice not found"))</f>
        <v/>
      </c>
    </row>
    <row r="356" customFormat="false" ht="15" hidden="false" customHeight="false" outlineLevel="0" collapsed="false">
      <c r="A356" s="19" t="str">
        <f aca="false">IF($K356="","",INDEX(Jobs!$O$5:$O$504,$K356))</f>
        <v/>
      </c>
      <c r="B356" s="22" t="str">
        <f aca="false">IF($K356="","",INDEX(Jobs!$A$5:$A$504,$K356))</f>
        <v/>
      </c>
      <c r="C356" s="19" t="str">
        <f aca="false">IF($K356="","",INDEX(Jobs!$B$5:$B$504,$K356))</f>
        <v/>
      </c>
      <c r="D356" s="19" t="str">
        <f aca="false">IF($K356="","",INDEX(Jobs!$J$5:$J$504,$K356))</f>
        <v/>
      </c>
      <c r="E356" s="15" t="str">
        <f aca="false">IF($K356="","",INDEX(Jobs!$N$5:$N$504,$K356))</f>
        <v/>
      </c>
      <c r="F356" s="15" t="str">
        <f aca="false">IF($A356="","",SUMIFS($P$5:$P$1004,$N$5:$N$1004,$A356))</f>
        <v/>
      </c>
      <c r="G356" s="15" t="str">
        <f aca="false">IF($A356="","",$E356-$F356)</f>
        <v/>
      </c>
      <c r="H356" s="22" t="str">
        <f aca="false">IF($A356="","",$B356+Settings!$B$11)</f>
        <v/>
      </c>
      <c r="I356" s="19" t="str">
        <f aca="true">IF($A356="","",IF($G356&lt;=0,"Paid",IF(TODAY()&gt;$H356,"Overdue",IF($F356&gt;0,"Partial","Unpaid"))))</f>
        <v/>
      </c>
      <c r="J356" s="14" t="str">
        <f aca="true">IF($A356="","",IF(AND($G356&gt;0,TODAY()&gt;$H356),TODAY()-$H356,""))</f>
        <v/>
      </c>
      <c r="K356" s="2" t="str">
        <f aca="false">IFERROR(MATCH(ROWS($K$5:$K356),Jobs!$Q$5:$Q$504,0),"")</f>
        <v/>
      </c>
      <c r="M356" s="16"/>
      <c r="N356" s="12"/>
      <c r="O356" s="12"/>
      <c r="P356" s="13"/>
      <c r="Q356" s="19" t="str">
        <f aca="false">IF($N356="","",IFERROR(INDEX($C$5:$C$504,MATCH($N356,$A$5:$A$504,0)),"Invoice not found"))</f>
        <v/>
      </c>
    </row>
    <row r="357" customFormat="false" ht="15" hidden="false" customHeight="false" outlineLevel="0" collapsed="false">
      <c r="A357" s="19" t="str">
        <f aca="false">IF($K357="","",INDEX(Jobs!$O$5:$O$504,$K357))</f>
        <v/>
      </c>
      <c r="B357" s="22" t="str">
        <f aca="false">IF($K357="","",INDEX(Jobs!$A$5:$A$504,$K357))</f>
        <v/>
      </c>
      <c r="C357" s="19" t="str">
        <f aca="false">IF($K357="","",INDEX(Jobs!$B$5:$B$504,$K357))</f>
        <v/>
      </c>
      <c r="D357" s="19" t="str">
        <f aca="false">IF($K357="","",INDEX(Jobs!$J$5:$J$504,$K357))</f>
        <v/>
      </c>
      <c r="E357" s="15" t="str">
        <f aca="false">IF($K357="","",INDEX(Jobs!$N$5:$N$504,$K357))</f>
        <v/>
      </c>
      <c r="F357" s="15" t="str">
        <f aca="false">IF($A357="","",SUMIFS($P$5:$P$1004,$N$5:$N$1004,$A357))</f>
        <v/>
      </c>
      <c r="G357" s="15" t="str">
        <f aca="false">IF($A357="","",$E357-$F357)</f>
        <v/>
      </c>
      <c r="H357" s="22" t="str">
        <f aca="false">IF($A357="","",$B357+Settings!$B$11)</f>
        <v/>
      </c>
      <c r="I357" s="19" t="str">
        <f aca="true">IF($A357="","",IF($G357&lt;=0,"Paid",IF(TODAY()&gt;$H357,"Overdue",IF($F357&gt;0,"Partial","Unpaid"))))</f>
        <v/>
      </c>
      <c r="J357" s="14" t="str">
        <f aca="true">IF($A357="","",IF(AND($G357&gt;0,TODAY()&gt;$H357),TODAY()-$H357,""))</f>
        <v/>
      </c>
      <c r="K357" s="2" t="str">
        <f aca="false">IFERROR(MATCH(ROWS($K$5:$K357),Jobs!$Q$5:$Q$504,0),"")</f>
        <v/>
      </c>
      <c r="M357" s="16"/>
      <c r="N357" s="12"/>
      <c r="O357" s="12"/>
      <c r="P357" s="13"/>
      <c r="Q357" s="19" t="str">
        <f aca="false">IF($N357="","",IFERROR(INDEX($C$5:$C$504,MATCH($N357,$A$5:$A$504,0)),"Invoice not found"))</f>
        <v/>
      </c>
    </row>
    <row r="358" customFormat="false" ht="15" hidden="false" customHeight="false" outlineLevel="0" collapsed="false">
      <c r="A358" s="19" t="str">
        <f aca="false">IF($K358="","",INDEX(Jobs!$O$5:$O$504,$K358))</f>
        <v/>
      </c>
      <c r="B358" s="22" t="str">
        <f aca="false">IF($K358="","",INDEX(Jobs!$A$5:$A$504,$K358))</f>
        <v/>
      </c>
      <c r="C358" s="19" t="str">
        <f aca="false">IF($K358="","",INDEX(Jobs!$B$5:$B$504,$K358))</f>
        <v/>
      </c>
      <c r="D358" s="19" t="str">
        <f aca="false">IF($K358="","",INDEX(Jobs!$J$5:$J$504,$K358))</f>
        <v/>
      </c>
      <c r="E358" s="15" t="str">
        <f aca="false">IF($K358="","",INDEX(Jobs!$N$5:$N$504,$K358))</f>
        <v/>
      </c>
      <c r="F358" s="15" t="str">
        <f aca="false">IF($A358="","",SUMIFS($P$5:$P$1004,$N$5:$N$1004,$A358))</f>
        <v/>
      </c>
      <c r="G358" s="15" t="str">
        <f aca="false">IF($A358="","",$E358-$F358)</f>
        <v/>
      </c>
      <c r="H358" s="22" t="str">
        <f aca="false">IF($A358="","",$B358+Settings!$B$11)</f>
        <v/>
      </c>
      <c r="I358" s="19" t="str">
        <f aca="true">IF($A358="","",IF($G358&lt;=0,"Paid",IF(TODAY()&gt;$H358,"Overdue",IF($F358&gt;0,"Partial","Unpaid"))))</f>
        <v/>
      </c>
      <c r="J358" s="14" t="str">
        <f aca="true">IF($A358="","",IF(AND($G358&gt;0,TODAY()&gt;$H358),TODAY()-$H358,""))</f>
        <v/>
      </c>
      <c r="K358" s="2" t="str">
        <f aca="false">IFERROR(MATCH(ROWS($K$5:$K358),Jobs!$Q$5:$Q$504,0),"")</f>
        <v/>
      </c>
      <c r="M358" s="16"/>
      <c r="N358" s="12"/>
      <c r="O358" s="12"/>
      <c r="P358" s="13"/>
      <c r="Q358" s="19" t="str">
        <f aca="false">IF($N358="","",IFERROR(INDEX($C$5:$C$504,MATCH($N358,$A$5:$A$504,0)),"Invoice not found"))</f>
        <v/>
      </c>
    </row>
    <row r="359" customFormat="false" ht="15" hidden="false" customHeight="false" outlineLevel="0" collapsed="false">
      <c r="A359" s="19" t="str">
        <f aca="false">IF($K359="","",INDEX(Jobs!$O$5:$O$504,$K359))</f>
        <v/>
      </c>
      <c r="B359" s="22" t="str">
        <f aca="false">IF($K359="","",INDEX(Jobs!$A$5:$A$504,$K359))</f>
        <v/>
      </c>
      <c r="C359" s="19" t="str">
        <f aca="false">IF($K359="","",INDEX(Jobs!$B$5:$B$504,$K359))</f>
        <v/>
      </c>
      <c r="D359" s="19" t="str">
        <f aca="false">IF($K359="","",INDEX(Jobs!$J$5:$J$504,$K359))</f>
        <v/>
      </c>
      <c r="E359" s="15" t="str">
        <f aca="false">IF($K359="","",INDEX(Jobs!$N$5:$N$504,$K359))</f>
        <v/>
      </c>
      <c r="F359" s="15" t="str">
        <f aca="false">IF($A359="","",SUMIFS($P$5:$P$1004,$N$5:$N$1004,$A359))</f>
        <v/>
      </c>
      <c r="G359" s="15" t="str">
        <f aca="false">IF($A359="","",$E359-$F359)</f>
        <v/>
      </c>
      <c r="H359" s="22" t="str">
        <f aca="false">IF($A359="","",$B359+Settings!$B$11)</f>
        <v/>
      </c>
      <c r="I359" s="19" t="str">
        <f aca="true">IF($A359="","",IF($G359&lt;=0,"Paid",IF(TODAY()&gt;$H359,"Overdue",IF($F359&gt;0,"Partial","Unpaid"))))</f>
        <v/>
      </c>
      <c r="J359" s="14" t="str">
        <f aca="true">IF($A359="","",IF(AND($G359&gt;0,TODAY()&gt;$H359),TODAY()-$H359,""))</f>
        <v/>
      </c>
      <c r="K359" s="2" t="str">
        <f aca="false">IFERROR(MATCH(ROWS($K$5:$K359),Jobs!$Q$5:$Q$504,0),"")</f>
        <v/>
      </c>
      <c r="M359" s="16"/>
      <c r="N359" s="12"/>
      <c r="O359" s="12"/>
      <c r="P359" s="13"/>
      <c r="Q359" s="19" t="str">
        <f aca="false">IF($N359="","",IFERROR(INDEX($C$5:$C$504,MATCH($N359,$A$5:$A$504,0)),"Invoice not found"))</f>
        <v/>
      </c>
    </row>
    <row r="360" customFormat="false" ht="15" hidden="false" customHeight="false" outlineLevel="0" collapsed="false">
      <c r="A360" s="19" t="str">
        <f aca="false">IF($K360="","",INDEX(Jobs!$O$5:$O$504,$K360))</f>
        <v/>
      </c>
      <c r="B360" s="22" t="str">
        <f aca="false">IF($K360="","",INDEX(Jobs!$A$5:$A$504,$K360))</f>
        <v/>
      </c>
      <c r="C360" s="19" t="str">
        <f aca="false">IF($K360="","",INDEX(Jobs!$B$5:$B$504,$K360))</f>
        <v/>
      </c>
      <c r="D360" s="19" t="str">
        <f aca="false">IF($K360="","",INDEX(Jobs!$J$5:$J$504,$K360))</f>
        <v/>
      </c>
      <c r="E360" s="15" t="str">
        <f aca="false">IF($K360="","",INDEX(Jobs!$N$5:$N$504,$K360))</f>
        <v/>
      </c>
      <c r="F360" s="15" t="str">
        <f aca="false">IF($A360="","",SUMIFS($P$5:$P$1004,$N$5:$N$1004,$A360))</f>
        <v/>
      </c>
      <c r="G360" s="15" t="str">
        <f aca="false">IF($A360="","",$E360-$F360)</f>
        <v/>
      </c>
      <c r="H360" s="22" t="str">
        <f aca="false">IF($A360="","",$B360+Settings!$B$11)</f>
        <v/>
      </c>
      <c r="I360" s="19" t="str">
        <f aca="true">IF($A360="","",IF($G360&lt;=0,"Paid",IF(TODAY()&gt;$H360,"Overdue",IF($F360&gt;0,"Partial","Unpaid"))))</f>
        <v/>
      </c>
      <c r="J360" s="14" t="str">
        <f aca="true">IF($A360="","",IF(AND($G360&gt;0,TODAY()&gt;$H360),TODAY()-$H360,""))</f>
        <v/>
      </c>
      <c r="K360" s="2" t="str">
        <f aca="false">IFERROR(MATCH(ROWS($K$5:$K360),Jobs!$Q$5:$Q$504,0),"")</f>
        <v/>
      </c>
      <c r="M360" s="16"/>
      <c r="N360" s="12"/>
      <c r="O360" s="12"/>
      <c r="P360" s="13"/>
      <c r="Q360" s="19" t="str">
        <f aca="false">IF($N360="","",IFERROR(INDEX($C$5:$C$504,MATCH($N360,$A$5:$A$504,0)),"Invoice not found"))</f>
        <v/>
      </c>
    </row>
    <row r="361" customFormat="false" ht="15" hidden="false" customHeight="false" outlineLevel="0" collapsed="false">
      <c r="A361" s="19" t="str">
        <f aca="false">IF($K361="","",INDEX(Jobs!$O$5:$O$504,$K361))</f>
        <v/>
      </c>
      <c r="B361" s="22" t="str">
        <f aca="false">IF($K361="","",INDEX(Jobs!$A$5:$A$504,$K361))</f>
        <v/>
      </c>
      <c r="C361" s="19" t="str">
        <f aca="false">IF($K361="","",INDEX(Jobs!$B$5:$B$504,$K361))</f>
        <v/>
      </c>
      <c r="D361" s="19" t="str">
        <f aca="false">IF($K361="","",INDEX(Jobs!$J$5:$J$504,$K361))</f>
        <v/>
      </c>
      <c r="E361" s="15" t="str">
        <f aca="false">IF($K361="","",INDEX(Jobs!$N$5:$N$504,$K361))</f>
        <v/>
      </c>
      <c r="F361" s="15" t="str">
        <f aca="false">IF($A361="","",SUMIFS($P$5:$P$1004,$N$5:$N$1004,$A361))</f>
        <v/>
      </c>
      <c r="G361" s="15" t="str">
        <f aca="false">IF($A361="","",$E361-$F361)</f>
        <v/>
      </c>
      <c r="H361" s="22" t="str">
        <f aca="false">IF($A361="","",$B361+Settings!$B$11)</f>
        <v/>
      </c>
      <c r="I361" s="19" t="str">
        <f aca="true">IF($A361="","",IF($G361&lt;=0,"Paid",IF(TODAY()&gt;$H361,"Overdue",IF($F361&gt;0,"Partial","Unpaid"))))</f>
        <v/>
      </c>
      <c r="J361" s="14" t="str">
        <f aca="true">IF($A361="","",IF(AND($G361&gt;0,TODAY()&gt;$H361),TODAY()-$H361,""))</f>
        <v/>
      </c>
      <c r="K361" s="2" t="str">
        <f aca="false">IFERROR(MATCH(ROWS($K$5:$K361),Jobs!$Q$5:$Q$504,0),"")</f>
        <v/>
      </c>
      <c r="M361" s="16"/>
      <c r="N361" s="12"/>
      <c r="O361" s="12"/>
      <c r="P361" s="13"/>
      <c r="Q361" s="19" t="str">
        <f aca="false">IF($N361="","",IFERROR(INDEX($C$5:$C$504,MATCH($N361,$A$5:$A$504,0)),"Invoice not found"))</f>
        <v/>
      </c>
    </row>
    <row r="362" customFormat="false" ht="15" hidden="false" customHeight="false" outlineLevel="0" collapsed="false">
      <c r="A362" s="19" t="str">
        <f aca="false">IF($K362="","",INDEX(Jobs!$O$5:$O$504,$K362))</f>
        <v/>
      </c>
      <c r="B362" s="22" t="str">
        <f aca="false">IF($K362="","",INDEX(Jobs!$A$5:$A$504,$K362))</f>
        <v/>
      </c>
      <c r="C362" s="19" t="str">
        <f aca="false">IF($K362="","",INDEX(Jobs!$B$5:$B$504,$K362))</f>
        <v/>
      </c>
      <c r="D362" s="19" t="str">
        <f aca="false">IF($K362="","",INDEX(Jobs!$J$5:$J$504,$K362))</f>
        <v/>
      </c>
      <c r="E362" s="15" t="str">
        <f aca="false">IF($K362="","",INDEX(Jobs!$N$5:$N$504,$K362))</f>
        <v/>
      </c>
      <c r="F362" s="15" t="str">
        <f aca="false">IF($A362="","",SUMIFS($P$5:$P$1004,$N$5:$N$1004,$A362))</f>
        <v/>
      </c>
      <c r="G362" s="15" t="str">
        <f aca="false">IF($A362="","",$E362-$F362)</f>
        <v/>
      </c>
      <c r="H362" s="22" t="str">
        <f aca="false">IF($A362="","",$B362+Settings!$B$11)</f>
        <v/>
      </c>
      <c r="I362" s="19" t="str">
        <f aca="true">IF($A362="","",IF($G362&lt;=0,"Paid",IF(TODAY()&gt;$H362,"Overdue",IF($F362&gt;0,"Partial","Unpaid"))))</f>
        <v/>
      </c>
      <c r="J362" s="14" t="str">
        <f aca="true">IF($A362="","",IF(AND($G362&gt;0,TODAY()&gt;$H362),TODAY()-$H362,""))</f>
        <v/>
      </c>
      <c r="K362" s="2" t="str">
        <f aca="false">IFERROR(MATCH(ROWS($K$5:$K362),Jobs!$Q$5:$Q$504,0),"")</f>
        <v/>
      </c>
      <c r="M362" s="16"/>
      <c r="N362" s="12"/>
      <c r="O362" s="12"/>
      <c r="P362" s="13"/>
      <c r="Q362" s="19" t="str">
        <f aca="false">IF($N362="","",IFERROR(INDEX($C$5:$C$504,MATCH($N362,$A$5:$A$504,0)),"Invoice not found"))</f>
        <v/>
      </c>
    </row>
    <row r="363" customFormat="false" ht="15" hidden="false" customHeight="false" outlineLevel="0" collapsed="false">
      <c r="A363" s="19" t="str">
        <f aca="false">IF($K363="","",INDEX(Jobs!$O$5:$O$504,$K363))</f>
        <v/>
      </c>
      <c r="B363" s="22" t="str">
        <f aca="false">IF($K363="","",INDEX(Jobs!$A$5:$A$504,$K363))</f>
        <v/>
      </c>
      <c r="C363" s="19" t="str">
        <f aca="false">IF($K363="","",INDEX(Jobs!$B$5:$B$504,$K363))</f>
        <v/>
      </c>
      <c r="D363" s="19" t="str">
        <f aca="false">IF($K363="","",INDEX(Jobs!$J$5:$J$504,$K363))</f>
        <v/>
      </c>
      <c r="E363" s="15" t="str">
        <f aca="false">IF($K363="","",INDEX(Jobs!$N$5:$N$504,$K363))</f>
        <v/>
      </c>
      <c r="F363" s="15" t="str">
        <f aca="false">IF($A363="","",SUMIFS($P$5:$P$1004,$N$5:$N$1004,$A363))</f>
        <v/>
      </c>
      <c r="G363" s="15" t="str">
        <f aca="false">IF($A363="","",$E363-$F363)</f>
        <v/>
      </c>
      <c r="H363" s="22" t="str">
        <f aca="false">IF($A363="","",$B363+Settings!$B$11)</f>
        <v/>
      </c>
      <c r="I363" s="19" t="str">
        <f aca="true">IF($A363="","",IF($G363&lt;=0,"Paid",IF(TODAY()&gt;$H363,"Overdue",IF($F363&gt;0,"Partial","Unpaid"))))</f>
        <v/>
      </c>
      <c r="J363" s="14" t="str">
        <f aca="true">IF($A363="","",IF(AND($G363&gt;0,TODAY()&gt;$H363),TODAY()-$H363,""))</f>
        <v/>
      </c>
      <c r="K363" s="2" t="str">
        <f aca="false">IFERROR(MATCH(ROWS($K$5:$K363),Jobs!$Q$5:$Q$504,0),"")</f>
        <v/>
      </c>
      <c r="M363" s="16"/>
      <c r="N363" s="12"/>
      <c r="O363" s="12"/>
      <c r="P363" s="13"/>
      <c r="Q363" s="19" t="str">
        <f aca="false">IF($N363="","",IFERROR(INDEX($C$5:$C$504,MATCH($N363,$A$5:$A$504,0)),"Invoice not found"))</f>
        <v/>
      </c>
    </row>
    <row r="364" customFormat="false" ht="15" hidden="false" customHeight="false" outlineLevel="0" collapsed="false">
      <c r="A364" s="19" t="str">
        <f aca="false">IF($K364="","",INDEX(Jobs!$O$5:$O$504,$K364))</f>
        <v/>
      </c>
      <c r="B364" s="22" t="str">
        <f aca="false">IF($K364="","",INDEX(Jobs!$A$5:$A$504,$K364))</f>
        <v/>
      </c>
      <c r="C364" s="19" t="str">
        <f aca="false">IF($K364="","",INDEX(Jobs!$B$5:$B$504,$K364))</f>
        <v/>
      </c>
      <c r="D364" s="19" t="str">
        <f aca="false">IF($K364="","",INDEX(Jobs!$J$5:$J$504,$K364))</f>
        <v/>
      </c>
      <c r="E364" s="15" t="str">
        <f aca="false">IF($K364="","",INDEX(Jobs!$N$5:$N$504,$K364))</f>
        <v/>
      </c>
      <c r="F364" s="15" t="str">
        <f aca="false">IF($A364="","",SUMIFS($P$5:$P$1004,$N$5:$N$1004,$A364))</f>
        <v/>
      </c>
      <c r="G364" s="15" t="str">
        <f aca="false">IF($A364="","",$E364-$F364)</f>
        <v/>
      </c>
      <c r="H364" s="22" t="str">
        <f aca="false">IF($A364="","",$B364+Settings!$B$11)</f>
        <v/>
      </c>
      <c r="I364" s="19" t="str">
        <f aca="true">IF($A364="","",IF($G364&lt;=0,"Paid",IF(TODAY()&gt;$H364,"Overdue",IF($F364&gt;0,"Partial","Unpaid"))))</f>
        <v/>
      </c>
      <c r="J364" s="14" t="str">
        <f aca="true">IF($A364="","",IF(AND($G364&gt;0,TODAY()&gt;$H364),TODAY()-$H364,""))</f>
        <v/>
      </c>
      <c r="K364" s="2" t="str">
        <f aca="false">IFERROR(MATCH(ROWS($K$5:$K364),Jobs!$Q$5:$Q$504,0),"")</f>
        <v/>
      </c>
      <c r="M364" s="16"/>
      <c r="N364" s="12"/>
      <c r="O364" s="12"/>
      <c r="P364" s="13"/>
      <c r="Q364" s="19" t="str">
        <f aca="false">IF($N364="","",IFERROR(INDEX($C$5:$C$504,MATCH($N364,$A$5:$A$504,0)),"Invoice not found"))</f>
        <v/>
      </c>
    </row>
    <row r="365" customFormat="false" ht="15" hidden="false" customHeight="false" outlineLevel="0" collapsed="false">
      <c r="A365" s="19" t="str">
        <f aca="false">IF($K365="","",INDEX(Jobs!$O$5:$O$504,$K365))</f>
        <v/>
      </c>
      <c r="B365" s="22" t="str">
        <f aca="false">IF($K365="","",INDEX(Jobs!$A$5:$A$504,$K365))</f>
        <v/>
      </c>
      <c r="C365" s="19" t="str">
        <f aca="false">IF($K365="","",INDEX(Jobs!$B$5:$B$504,$K365))</f>
        <v/>
      </c>
      <c r="D365" s="19" t="str">
        <f aca="false">IF($K365="","",INDEX(Jobs!$J$5:$J$504,$K365))</f>
        <v/>
      </c>
      <c r="E365" s="15" t="str">
        <f aca="false">IF($K365="","",INDEX(Jobs!$N$5:$N$504,$K365))</f>
        <v/>
      </c>
      <c r="F365" s="15" t="str">
        <f aca="false">IF($A365="","",SUMIFS($P$5:$P$1004,$N$5:$N$1004,$A365))</f>
        <v/>
      </c>
      <c r="G365" s="15" t="str">
        <f aca="false">IF($A365="","",$E365-$F365)</f>
        <v/>
      </c>
      <c r="H365" s="22" t="str">
        <f aca="false">IF($A365="","",$B365+Settings!$B$11)</f>
        <v/>
      </c>
      <c r="I365" s="19" t="str">
        <f aca="true">IF($A365="","",IF($G365&lt;=0,"Paid",IF(TODAY()&gt;$H365,"Overdue",IF($F365&gt;0,"Partial","Unpaid"))))</f>
        <v/>
      </c>
      <c r="J365" s="14" t="str">
        <f aca="true">IF($A365="","",IF(AND($G365&gt;0,TODAY()&gt;$H365),TODAY()-$H365,""))</f>
        <v/>
      </c>
      <c r="K365" s="2" t="str">
        <f aca="false">IFERROR(MATCH(ROWS($K$5:$K365),Jobs!$Q$5:$Q$504,0),"")</f>
        <v/>
      </c>
      <c r="M365" s="16"/>
      <c r="N365" s="12"/>
      <c r="O365" s="12"/>
      <c r="P365" s="13"/>
      <c r="Q365" s="19" t="str">
        <f aca="false">IF($N365="","",IFERROR(INDEX($C$5:$C$504,MATCH($N365,$A$5:$A$504,0)),"Invoice not found"))</f>
        <v/>
      </c>
    </row>
    <row r="366" customFormat="false" ht="15" hidden="false" customHeight="false" outlineLevel="0" collapsed="false">
      <c r="A366" s="19" t="str">
        <f aca="false">IF($K366="","",INDEX(Jobs!$O$5:$O$504,$K366))</f>
        <v/>
      </c>
      <c r="B366" s="22" t="str">
        <f aca="false">IF($K366="","",INDEX(Jobs!$A$5:$A$504,$K366))</f>
        <v/>
      </c>
      <c r="C366" s="19" t="str">
        <f aca="false">IF($K366="","",INDEX(Jobs!$B$5:$B$504,$K366))</f>
        <v/>
      </c>
      <c r="D366" s="19" t="str">
        <f aca="false">IF($K366="","",INDEX(Jobs!$J$5:$J$504,$K366))</f>
        <v/>
      </c>
      <c r="E366" s="15" t="str">
        <f aca="false">IF($K366="","",INDEX(Jobs!$N$5:$N$504,$K366))</f>
        <v/>
      </c>
      <c r="F366" s="15" t="str">
        <f aca="false">IF($A366="","",SUMIFS($P$5:$P$1004,$N$5:$N$1004,$A366))</f>
        <v/>
      </c>
      <c r="G366" s="15" t="str">
        <f aca="false">IF($A366="","",$E366-$F366)</f>
        <v/>
      </c>
      <c r="H366" s="22" t="str">
        <f aca="false">IF($A366="","",$B366+Settings!$B$11)</f>
        <v/>
      </c>
      <c r="I366" s="19" t="str">
        <f aca="true">IF($A366="","",IF($G366&lt;=0,"Paid",IF(TODAY()&gt;$H366,"Overdue",IF($F366&gt;0,"Partial","Unpaid"))))</f>
        <v/>
      </c>
      <c r="J366" s="14" t="str">
        <f aca="true">IF($A366="","",IF(AND($G366&gt;0,TODAY()&gt;$H366),TODAY()-$H366,""))</f>
        <v/>
      </c>
      <c r="K366" s="2" t="str">
        <f aca="false">IFERROR(MATCH(ROWS($K$5:$K366),Jobs!$Q$5:$Q$504,0),"")</f>
        <v/>
      </c>
      <c r="M366" s="16"/>
      <c r="N366" s="12"/>
      <c r="O366" s="12"/>
      <c r="P366" s="13"/>
      <c r="Q366" s="19" t="str">
        <f aca="false">IF($N366="","",IFERROR(INDEX($C$5:$C$504,MATCH($N366,$A$5:$A$504,0)),"Invoice not found"))</f>
        <v/>
      </c>
    </row>
    <row r="367" customFormat="false" ht="15" hidden="false" customHeight="false" outlineLevel="0" collapsed="false">
      <c r="A367" s="19" t="str">
        <f aca="false">IF($K367="","",INDEX(Jobs!$O$5:$O$504,$K367))</f>
        <v/>
      </c>
      <c r="B367" s="22" t="str">
        <f aca="false">IF($K367="","",INDEX(Jobs!$A$5:$A$504,$K367))</f>
        <v/>
      </c>
      <c r="C367" s="19" t="str">
        <f aca="false">IF($K367="","",INDEX(Jobs!$B$5:$B$504,$K367))</f>
        <v/>
      </c>
      <c r="D367" s="19" t="str">
        <f aca="false">IF($K367="","",INDEX(Jobs!$J$5:$J$504,$K367))</f>
        <v/>
      </c>
      <c r="E367" s="15" t="str">
        <f aca="false">IF($K367="","",INDEX(Jobs!$N$5:$N$504,$K367))</f>
        <v/>
      </c>
      <c r="F367" s="15" t="str">
        <f aca="false">IF($A367="","",SUMIFS($P$5:$P$1004,$N$5:$N$1004,$A367))</f>
        <v/>
      </c>
      <c r="G367" s="15" t="str">
        <f aca="false">IF($A367="","",$E367-$F367)</f>
        <v/>
      </c>
      <c r="H367" s="22" t="str">
        <f aca="false">IF($A367="","",$B367+Settings!$B$11)</f>
        <v/>
      </c>
      <c r="I367" s="19" t="str">
        <f aca="true">IF($A367="","",IF($G367&lt;=0,"Paid",IF(TODAY()&gt;$H367,"Overdue",IF($F367&gt;0,"Partial","Unpaid"))))</f>
        <v/>
      </c>
      <c r="J367" s="14" t="str">
        <f aca="true">IF($A367="","",IF(AND($G367&gt;0,TODAY()&gt;$H367),TODAY()-$H367,""))</f>
        <v/>
      </c>
      <c r="K367" s="2" t="str">
        <f aca="false">IFERROR(MATCH(ROWS($K$5:$K367),Jobs!$Q$5:$Q$504,0),"")</f>
        <v/>
      </c>
      <c r="M367" s="16"/>
      <c r="N367" s="12"/>
      <c r="O367" s="12"/>
      <c r="P367" s="13"/>
      <c r="Q367" s="19" t="str">
        <f aca="false">IF($N367="","",IFERROR(INDEX($C$5:$C$504,MATCH($N367,$A$5:$A$504,0)),"Invoice not found"))</f>
        <v/>
      </c>
    </row>
    <row r="368" customFormat="false" ht="15" hidden="false" customHeight="false" outlineLevel="0" collapsed="false">
      <c r="A368" s="19" t="str">
        <f aca="false">IF($K368="","",INDEX(Jobs!$O$5:$O$504,$K368))</f>
        <v/>
      </c>
      <c r="B368" s="22" t="str">
        <f aca="false">IF($K368="","",INDEX(Jobs!$A$5:$A$504,$K368))</f>
        <v/>
      </c>
      <c r="C368" s="19" t="str">
        <f aca="false">IF($K368="","",INDEX(Jobs!$B$5:$B$504,$K368))</f>
        <v/>
      </c>
      <c r="D368" s="19" t="str">
        <f aca="false">IF($K368="","",INDEX(Jobs!$J$5:$J$504,$K368))</f>
        <v/>
      </c>
      <c r="E368" s="15" t="str">
        <f aca="false">IF($K368="","",INDEX(Jobs!$N$5:$N$504,$K368))</f>
        <v/>
      </c>
      <c r="F368" s="15" t="str">
        <f aca="false">IF($A368="","",SUMIFS($P$5:$P$1004,$N$5:$N$1004,$A368))</f>
        <v/>
      </c>
      <c r="G368" s="15" t="str">
        <f aca="false">IF($A368="","",$E368-$F368)</f>
        <v/>
      </c>
      <c r="H368" s="22" t="str">
        <f aca="false">IF($A368="","",$B368+Settings!$B$11)</f>
        <v/>
      </c>
      <c r="I368" s="19" t="str">
        <f aca="true">IF($A368="","",IF($G368&lt;=0,"Paid",IF(TODAY()&gt;$H368,"Overdue",IF($F368&gt;0,"Partial","Unpaid"))))</f>
        <v/>
      </c>
      <c r="J368" s="14" t="str">
        <f aca="true">IF($A368="","",IF(AND($G368&gt;0,TODAY()&gt;$H368),TODAY()-$H368,""))</f>
        <v/>
      </c>
      <c r="K368" s="2" t="str">
        <f aca="false">IFERROR(MATCH(ROWS($K$5:$K368),Jobs!$Q$5:$Q$504,0),"")</f>
        <v/>
      </c>
      <c r="M368" s="16"/>
      <c r="N368" s="12"/>
      <c r="O368" s="12"/>
      <c r="P368" s="13"/>
      <c r="Q368" s="19" t="str">
        <f aca="false">IF($N368="","",IFERROR(INDEX($C$5:$C$504,MATCH($N368,$A$5:$A$504,0)),"Invoice not found"))</f>
        <v/>
      </c>
    </row>
    <row r="369" customFormat="false" ht="15" hidden="false" customHeight="false" outlineLevel="0" collapsed="false">
      <c r="A369" s="19" t="str">
        <f aca="false">IF($K369="","",INDEX(Jobs!$O$5:$O$504,$K369))</f>
        <v/>
      </c>
      <c r="B369" s="22" t="str">
        <f aca="false">IF($K369="","",INDEX(Jobs!$A$5:$A$504,$K369))</f>
        <v/>
      </c>
      <c r="C369" s="19" t="str">
        <f aca="false">IF($K369="","",INDEX(Jobs!$B$5:$B$504,$K369))</f>
        <v/>
      </c>
      <c r="D369" s="19" t="str">
        <f aca="false">IF($K369="","",INDEX(Jobs!$J$5:$J$504,$K369))</f>
        <v/>
      </c>
      <c r="E369" s="15" t="str">
        <f aca="false">IF($K369="","",INDEX(Jobs!$N$5:$N$504,$K369))</f>
        <v/>
      </c>
      <c r="F369" s="15" t="str">
        <f aca="false">IF($A369="","",SUMIFS($P$5:$P$1004,$N$5:$N$1004,$A369))</f>
        <v/>
      </c>
      <c r="G369" s="15" t="str">
        <f aca="false">IF($A369="","",$E369-$F369)</f>
        <v/>
      </c>
      <c r="H369" s="22" t="str">
        <f aca="false">IF($A369="","",$B369+Settings!$B$11)</f>
        <v/>
      </c>
      <c r="I369" s="19" t="str">
        <f aca="true">IF($A369="","",IF($G369&lt;=0,"Paid",IF(TODAY()&gt;$H369,"Overdue",IF($F369&gt;0,"Partial","Unpaid"))))</f>
        <v/>
      </c>
      <c r="J369" s="14" t="str">
        <f aca="true">IF($A369="","",IF(AND($G369&gt;0,TODAY()&gt;$H369),TODAY()-$H369,""))</f>
        <v/>
      </c>
      <c r="K369" s="2" t="str">
        <f aca="false">IFERROR(MATCH(ROWS($K$5:$K369),Jobs!$Q$5:$Q$504,0),"")</f>
        <v/>
      </c>
      <c r="M369" s="16"/>
      <c r="N369" s="12"/>
      <c r="O369" s="12"/>
      <c r="P369" s="13"/>
      <c r="Q369" s="19" t="str">
        <f aca="false">IF($N369="","",IFERROR(INDEX($C$5:$C$504,MATCH($N369,$A$5:$A$504,0)),"Invoice not found"))</f>
        <v/>
      </c>
    </row>
    <row r="370" customFormat="false" ht="15" hidden="false" customHeight="false" outlineLevel="0" collapsed="false">
      <c r="A370" s="19" t="str">
        <f aca="false">IF($K370="","",INDEX(Jobs!$O$5:$O$504,$K370))</f>
        <v/>
      </c>
      <c r="B370" s="22" t="str">
        <f aca="false">IF($K370="","",INDEX(Jobs!$A$5:$A$504,$K370))</f>
        <v/>
      </c>
      <c r="C370" s="19" t="str">
        <f aca="false">IF($K370="","",INDEX(Jobs!$B$5:$B$504,$K370))</f>
        <v/>
      </c>
      <c r="D370" s="19" t="str">
        <f aca="false">IF($K370="","",INDEX(Jobs!$J$5:$J$504,$K370))</f>
        <v/>
      </c>
      <c r="E370" s="15" t="str">
        <f aca="false">IF($K370="","",INDEX(Jobs!$N$5:$N$504,$K370))</f>
        <v/>
      </c>
      <c r="F370" s="15" t="str">
        <f aca="false">IF($A370="","",SUMIFS($P$5:$P$1004,$N$5:$N$1004,$A370))</f>
        <v/>
      </c>
      <c r="G370" s="15" t="str">
        <f aca="false">IF($A370="","",$E370-$F370)</f>
        <v/>
      </c>
      <c r="H370" s="22" t="str">
        <f aca="false">IF($A370="","",$B370+Settings!$B$11)</f>
        <v/>
      </c>
      <c r="I370" s="19" t="str">
        <f aca="true">IF($A370="","",IF($G370&lt;=0,"Paid",IF(TODAY()&gt;$H370,"Overdue",IF($F370&gt;0,"Partial","Unpaid"))))</f>
        <v/>
      </c>
      <c r="J370" s="14" t="str">
        <f aca="true">IF($A370="","",IF(AND($G370&gt;0,TODAY()&gt;$H370),TODAY()-$H370,""))</f>
        <v/>
      </c>
      <c r="K370" s="2" t="str">
        <f aca="false">IFERROR(MATCH(ROWS($K$5:$K370),Jobs!$Q$5:$Q$504,0),"")</f>
        <v/>
      </c>
      <c r="M370" s="16"/>
      <c r="N370" s="12"/>
      <c r="O370" s="12"/>
      <c r="P370" s="13"/>
      <c r="Q370" s="19" t="str">
        <f aca="false">IF($N370="","",IFERROR(INDEX($C$5:$C$504,MATCH($N370,$A$5:$A$504,0)),"Invoice not found"))</f>
        <v/>
      </c>
    </row>
    <row r="371" customFormat="false" ht="15" hidden="false" customHeight="false" outlineLevel="0" collapsed="false">
      <c r="A371" s="19" t="str">
        <f aca="false">IF($K371="","",INDEX(Jobs!$O$5:$O$504,$K371))</f>
        <v/>
      </c>
      <c r="B371" s="22" t="str">
        <f aca="false">IF($K371="","",INDEX(Jobs!$A$5:$A$504,$K371))</f>
        <v/>
      </c>
      <c r="C371" s="19" t="str">
        <f aca="false">IF($K371="","",INDEX(Jobs!$B$5:$B$504,$K371))</f>
        <v/>
      </c>
      <c r="D371" s="19" t="str">
        <f aca="false">IF($K371="","",INDEX(Jobs!$J$5:$J$504,$K371))</f>
        <v/>
      </c>
      <c r="E371" s="15" t="str">
        <f aca="false">IF($K371="","",INDEX(Jobs!$N$5:$N$504,$K371))</f>
        <v/>
      </c>
      <c r="F371" s="15" t="str">
        <f aca="false">IF($A371="","",SUMIFS($P$5:$P$1004,$N$5:$N$1004,$A371))</f>
        <v/>
      </c>
      <c r="G371" s="15" t="str">
        <f aca="false">IF($A371="","",$E371-$F371)</f>
        <v/>
      </c>
      <c r="H371" s="22" t="str">
        <f aca="false">IF($A371="","",$B371+Settings!$B$11)</f>
        <v/>
      </c>
      <c r="I371" s="19" t="str">
        <f aca="true">IF($A371="","",IF($G371&lt;=0,"Paid",IF(TODAY()&gt;$H371,"Overdue",IF($F371&gt;0,"Partial","Unpaid"))))</f>
        <v/>
      </c>
      <c r="J371" s="14" t="str">
        <f aca="true">IF($A371="","",IF(AND($G371&gt;0,TODAY()&gt;$H371),TODAY()-$H371,""))</f>
        <v/>
      </c>
      <c r="K371" s="2" t="str">
        <f aca="false">IFERROR(MATCH(ROWS($K$5:$K371),Jobs!$Q$5:$Q$504,0),"")</f>
        <v/>
      </c>
      <c r="M371" s="16"/>
      <c r="N371" s="12"/>
      <c r="O371" s="12"/>
      <c r="P371" s="13"/>
      <c r="Q371" s="19" t="str">
        <f aca="false">IF($N371="","",IFERROR(INDEX($C$5:$C$504,MATCH($N371,$A$5:$A$504,0)),"Invoice not found"))</f>
        <v/>
      </c>
    </row>
    <row r="372" customFormat="false" ht="15" hidden="false" customHeight="false" outlineLevel="0" collapsed="false">
      <c r="A372" s="19" t="str">
        <f aca="false">IF($K372="","",INDEX(Jobs!$O$5:$O$504,$K372))</f>
        <v/>
      </c>
      <c r="B372" s="22" t="str">
        <f aca="false">IF($K372="","",INDEX(Jobs!$A$5:$A$504,$K372))</f>
        <v/>
      </c>
      <c r="C372" s="19" t="str">
        <f aca="false">IF($K372="","",INDEX(Jobs!$B$5:$B$504,$K372))</f>
        <v/>
      </c>
      <c r="D372" s="19" t="str">
        <f aca="false">IF($K372="","",INDEX(Jobs!$J$5:$J$504,$K372))</f>
        <v/>
      </c>
      <c r="E372" s="15" t="str">
        <f aca="false">IF($K372="","",INDEX(Jobs!$N$5:$N$504,$K372))</f>
        <v/>
      </c>
      <c r="F372" s="15" t="str">
        <f aca="false">IF($A372="","",SUMIFS($P$5:$P$1004,$N$5:$N$1004,$A372))</f>
        <v/>
      </c>
      <c r="G372" s="15" t="str">
        <f aca="false">IF($A372="","",$E372-$F372)</f>
        <v/>
      </c>
      <c r="H372" s="22" t="str">
        <f aca="false">IF($A372="","",$B372+Settings!$B$11)</f>
        <v/>
      </c>
      <c r="I372" s="19" t="str">
        <f aca="true">IF($A372="","",IF($G372&lt;=0,"Paid",IF(TODAY()&gt;$H372,"Overdue",IF($F372&gt;0,"Partial","Unpaid"))))</f>
        <v/>
      </c>
      <c r="J372" s="14" t="str">
        <f aca="true">IF($A372="","",IF(AND($G372&gt;0,TODAY()&gt;$H372),TODAY()-$H372,""))</f>
        <v/>
      </c>
      <c r="K372" s="2" t="str">
        <f aca="false">IFERROR(MATCH(ROWS($K$5:$K372),Jobs!$Q$5:$Q$504,0),"")</f>
        <v/>
      </c>
      <c r="M372" s="16"/>
      <c r="N372" s="12"/>
      <c r="O372" s="12"/>
      <c r="P372" s="13"/>
      <c r="Q372" s="19" t="str">
        <f aca="false">IF($N372="","",IFERROR(INDEX($C$5:$C$504,MATCH($N372,$A$5:$A$504,0)),"Invoice not found"))</f>
        <v/>
      </c>
    </row>
    <row r="373" customFormat="false" ht="15" hidden="false" customHeight="false" outlineLevel="0" collapsed="false">
      <c r="A373" s="19" t="str">
        <f aca="false">IF($K373="","",INDEX(Jobs!$O$5:$O$504,$K373))</f>
        <v/>
      </c>
      <c r="B373" s="22" t="str">
        <f aca="false">IF($K373="","",INDEX(Jobs!$A$5:$A$504,$K373))</f>
        <v/>
      </c>
      <c r="C373" s="19" t="str">
        <f aca="false">IF($K373="","",INDEX(Jobs!$B$5:$B$504,$K373))</f>
        <v/>
      </c>
      <c r="D373" s="19" t="str">
        <f aca="false">IF($K373="","",INDEX(Jobs!$J$5:$J$504,$K373))</f>
        <v/>
      </c>
      <c r="E373" s="15" t="str">
        <f aca="false">IF($K373="","",INDEX(Jobs!$N$5:$N$504,$K373))</f>
        <v/>
      </c>
      <c r="F373" s="15" t="str">
        <f aca="false">IF($A373="","",SUMIFS($P$5:$P$1004,$N$5:$N$1004,$A373))</f>
        <v/>
      </c>
      <c r="G373" s="15" t="str">
        <f aca="false">IF($A373="","",$E373-$F373)</f>
        <v/>
      </c>
      <c r="H373" s="22" t="str">
        <f aca="false">IF($A373="","",$B373+Settings!$B$11)</f>
        <v/>
      </c>
      <c r="I373" s="19" t="str">
        <f aca="true">IF($A373="","",IF($G373&lt;=0,"Paid",IF(TODAY()&gt;$H373,"Overdue",IF($F373&gt;0,"Partial","Unpaid"))))</f>
        <v/>
      </c>
      <c r="J373" s="14" t="str">
        <f aca="true">IF($A373="","",IF(AND($G373&gt;0,TODAY()&gt;$H373),TODAY()-$H373,""))</f>
        <v/>
      </c>
      <c r="K373" s="2" t="str">
        <f aca="false">IFERROR(MATCH(ROWS($K$5:$K373),Jobs!$Q$5:$Q$504,0),"")</f>
        <v/>
      </c>
      <c r="M373" s="16"/>
      <c r="N373" s="12"/>
      <c r="O373" s="12"/>
      <c r="P373" s="13"/>
      <c r="Q373" s="19" t="str">
        <f aca="false">IF($N373="","",IFERROR(INDEX($C$5:$C$504,MATCH($N373,$A$5:$A$504,0)),"Invoice not found"))</f>
        <v/>
      </c>
    </row>
    <row r="374" customFormat="false" ht="15" hidden="false" customHeight="false" outlineLevel="0" collapsed="false">
      <c r="A374" s="19" t="str">
        <f aca="false">IF($K374="","",INDEX(Jobs!$O$5:$O$504,$K374))</f>
        <v/>
      </c>
      <c r="B374" s="22" t="str">
        <f aca="false">IF($K374="","",INDEX(Jobs!$A$5:$A$504,$K374))</f>
        <v/>
      </c>
      <c r="C374" s="19" t="str">
        <f aca="false">IF($K374="","",INDEX(Jobs!$B$5:$B$504,$K374))</f>
        <v/>
      </c>
      <c r="D374" s="19" t="str">
        <f aca="false">IF($K374="","",INDEX(Jobs!$J$5:$J$504,$K374))</f>
        <v/>
      </c>
      <c r="E374" s="15" t="str">
        <f aca="false">IF($K374="","",INDEX(Jobs!$N$5:$N$504,$K374))</f>
        <v/>
      </c>
      <c r="F374" s="15" t="str">
        <f aca="false">IF($A374="","",SUMIFS($P$5:$P$1004,$N$5:$N$1004,$A374))</f>
        <v/>
      </c>
      <c r="G374" s="15" t="str">
        <f aca="false">IF($A374="","",$E374-$F374)</f>
        <v/>
      </c>
      <c r="H374" s="22" t="str">
        <f aca="false">IF($A374="","",$B374+Settings!$B$11)</f>
        <v/>
      </c>
      <c r="I374" s="19" t="str">
        <f aca="true">IF($A374="","",IF($G374&lt;=0,"Paid",IF(TODAY()&gt;$H374,"Overdue",IF($F374&gt;0,"Partial","Unpaid"))))</f>
        <v/>
      </c>
      <c r="J374" s="14" t="str">
        <f aca="true">IF($A374="","",IF(AND($G374&gt;0,TODAY()&gt;$H374),TODAY()-$H374,""))</f>
        <v/>
      </c>
      <c r="K374" s="2" t="str">
        <f aca="false">IFERROR(MATCH(ROWS($K$5:$K374),Jobs!$Q$5:$Q$504,0),"")</f>
        <v/>
      </c>
      <c r="M374" s="16"/>
      <c r="N374" s="12"/>
      <c r="O374" s="12"/>
      <c r="P374" s="13"/>
      <c r="Q374" s="19" t="str">
        <f aca="false">IF($N374="","",IFERROR(INDEX($C$5:$C$504,MATCH($N374,$A$5:$A$504,0)),"Invoice not found"))</f>
        <v/>
      </c>
    </row>
    <row r="375" customFormat="false" ht="15" hidden="false" customHeight="false" outlineLevel="0" collapsed="false">
      <c r="A375" s="19" t="str">
        <f aca="false">IF($K375="","",INDEX(Jobs!$O$5:$O$504,$K375))</f>
        <v/>
      </c>
      <c r="B375" s="22" t="str">
        <f aca="false">IF($K375="","",INDEX(Jobs!$A$5:$A$504,$K375))</f>
        <v/>
      </c>
      <c r="C375" s="19" t="str">
        <f aca="false">IF($K375="","",INDEX(Jobs!$B$5:$B$504,$K375))</f>
        <v/>
      </c>
      <c r="D375" s="19" t="str">
        <f aca="false">IF($K375="","",INDEX(Jobs!$J$5:$J$504,$K375))</f>
        <v/>
      </c>
      <c r="E375" s="15" t="str">
        <f aca="false">IF($K375="","",INDEX(Jobs!$N$5:$N$504,$K375))</f>
        <v/>
      </c>
      <c r="F375" s="15" t="str">
        <f aca="false">IF($A375="","",SUMIFS($P$5:$P$1004,$N$5:$N$1004,$A375))</f>
        <v/>
      </c>
      <c r="G375" s="15" t="str">
        <f aca="false">IF($A375="","",$E375-$F375)</f>
        <v/>
      </c>
      <c r="H375" s="22" t="str">
        <f aca="false">IF($A375="","",$B375+Settings!$B$11)</f>
        <v/>
      </c>
      <c r="I375" s="19" t="str">
        <f aca="true">IF($A375="","",IF($G375&lt;=0,"Paid",IF(TODAY()&gt;$H375,"Overdue",IF($F375&gt;0,"Partial","Unpaid"))))</f>
        <v/>
      </c>
      <c r="J375" s="14" t="str">
        <f aca="true">IF($A375="","",IF(AND($G375&gt;0,TODAY()&gt;$H375),TODAY()-$H375,""))</f>
        <v/>
      </c>
      <c r="K375" s="2" t="str">
        <f aca="false">IFERROR(MATCH(ROWS($K$5:$K375),Jobs!$Q$5:$Q$504,0),"")</f>
        <v/>
      </c>
      <c r="M375" s="16"/>
      <c r="N375" s="12"/>
      <c r="O375" s="12"/>
      <c r="P375" s="13"/>
      <c r="Q375" s="19" t="str">
        <f aca="false">IF($N375="","",IFERROR(INDEX($C$5:$C$504,MATCH($N375,$A$5:$A$504,0)),"Invoice not found"))</f>
        <v/>
      </c>
    </row>
    <row r="376" customFormat="false" ht="15" hidden="false" customHeight="false" outlineLevel="0" collapsed="false">
      <c r="A376" s="19" t="str">
        <f aca="false">IF($K376="","",INDEX(Jobs!$O$5:$O$504,$K376))</f>
        <v/>
      </c>
      <c r="B376" s="22" t="str">
        <f aca="false">IF($K376="","",INDEX(Jobs!$A$5:$A$504,$K376))</f>
        <v/>
      </c>
      <c r="C376" s="19" t="str">
        <f aca="false">IF($K376="","",INDEX(Jobs!$B$5:$B$504,$K376))</f>
        <v/>
      </c>
      <c r="D376" s="19" t="str">
        <f aca="false">IF($K376="","",INDEX(Jobs!$J$5:$J$504,$K376))</f>
        <v/>
      </c>
      <c r="E376" s="15" t="str">
        <f aca="false">IF($K376="","",INDEX(Jobs!$N$5:$N$504,$K376))</f>
        <v/>
      </c>
      <c r="F376" s="15" t="str">
        <f aca="false">IF($A376="","",SUMIFS($P$5:$P$1004,$N$5:$N$1004,$A376))</f>
        <v/>
      </c>
      <c r="G376" s="15" t="str">
        <f aca="false">IF($A376="","",$E376-$F376)</f>
        <v/>
      </c>
      <c r="H376" s="22" t="str">
        <f aca="false">IF($A376="","",$B376+Settings!$B$11)</f>
        <v/>
      </c>
      <c r="I376" s="19" t="str">
        <f aca="true">IF($A376="","",IF($G376&lt;=0,"Paid",IF(TODAY()&gt;$H376,"Overdue",IF($F376&gt;0,"Partial","Unpaid"))))</f>
        <v/>
      </c>
      <c r="J376" s="14" t="str">
        <f aca="true">IF($A376="","",IF(AND($G376&gt;0,TODAY()&gt;$H376),TODAY()-$H376,""))</f>
        <v/>
      </c>
      <c r="K376" s="2" t="str">
        <f aca="false">IFERROR(MATCH(ROWS($K$5:$K376),Jobs!$Q$5:$Q$504,0),"")</f>
        <v/>
      </c>
      <c r="M376" s="16"/>
      <c r="N376" s="12"/>
      <c r="O376" s="12"/>
      <c r="P376" s="13"/>
      <c r="Q376" s="19" t="str">
        <f aca="false">IF($N376="","",IFERROR(INDEX($C$5:$C$504,MATCH($N376,$A$5:$A$504,0)),"Invoice not found"))</f>
        <v/>
      </c>
    </row>
    <row r="377" customFormat="false" ht="15" hidden="false" customHeight="false" outlineLevel="0" collapsed="false">
      <c r="A377" s="19" t="str">
        <f aca="false">IF($K377="","",INDEX(Jobs!$O$5:$O$504,$K377))</f>
        <v/>
      </c>
      <c r="B377" s="22" t="str">
        <f aca="false">IF($K377="","",INDEX(Jobs!$A$5:$A$504,$K377))</f>
        <v/>
      </c>
      <c r="C377" s="19" t="str">
        <f aca="false">IF($K377="","",INDEX(Jobs!$B$5:$B$504,$K377))</f>
        <v/>
      </c>
      <c r="D377" s="19" t="str">
        <f aca="false">IF($K377="","",INDEX(Jobs!$J$5:$J$504,$K377))</f>
        <v/>
      </c>
      <c r="E377" s="15" t="str">
        <f aca="false">IF($K377="","",INDEX(Jobs!$N$5:$N$504,$K377))</f>
        <v/>
      </c>
      <c r="F377" s="15" t="str">
        <f aca="false">IF($A377="","",SUMIFS($P$5:$P$1004,$N$5:$N$1004,$A377))</f>
        <v/>
      </c>
      <c r="G377" s="15" t="str">
        <f aca="false">IF($A377="","",$E377-$F377)</f>
        <v/>
      </c>
      <c r="H377" s="22" t="str">
        <f aca="false">IF($A377="","",$B377+Settings!$B$11)</f>
        <v/>
      </c>
      <c r="I377" s="19" t="str">
        <f aca="true">IF($A377="","",IF($G377&lt;=0,"Paid",IF(TODAY()&gt;$H377,"Overdue",IF($F377&gt;0,"Partial","Unpaid"))))</f>
        <v/>
      </c>
      <c r="J377" s="14" t="str">
        <f aca="true">IF($A377="","",IF(AND($G377&gt;0,TODAY()&gt;$H377),TODAY()-$H377,""))</f>
        <v/>
      </c>
      <c r="K377" s="2" t="str">
        <f aca="false">IFERROR(MATCH(ROWS($K$5:$K377),Jobs!$Q$5:$Q$504,0),"")</f>
        <v/>
      </c>
      <c r="M377" s="16"/>
      <c r="N377" s="12"/>
      <c r="O377" s="12"/>
      <c r="P377" s="13"/>
      <c r="Q377" s="19" t="str">
        <f aca="false">IF($N377="","",IFERROR(INDEX($C$5:$C$504,MATCH($N377,$A$5:$A$504,0)),"Invoice not found"))</f>
        <v/>
      </c>
    </row>
    <row r="378" customFormat="false" ht="15" hidden="false" customHeight="false" outlineLevel="0" collapsed="false">
      <c r="A378" s="19" t="str">
        <f aca="false">IF($K378="","",INDEX(Jobs!$O$5:$O$504,$K378))</f>
        <v/>
      </c>
      <c r="B378" s="22" t="str">
        <f aca="false">IF($K378="","",INDEX(Jobs!$A$5:$A$504,$K378))</f>
        <v/>
      </c>
      <c r="C378" s="19" t="str">
        <f aca="false">IF($K378="","",INDEX(Jobs!$B$5:$B$504,$K378))</f>
        <v/>
      </c>
      <c r="D378" s="19" t="str">
        <f aca="false">IF($K378="","",INDEX(Jobs!$J$5:$J$504,$K378))</f>
        <v/>
      </c>
      <c r="E378" s="15" t="str">
        <f aca="false">IF($K378="","",INDEX(Jobs!$N$5:$N$504,$K378))</f>
        <v/>
      </c>
      <c r="F378" s="15" t="str">
        <f aca="false">IF($A378="","",SUMIFS($P$5:$P$1004,$N$5:$N$1004,$A378))</f>
        <v/>
      </c>
      <c r="G378" s="15" t="str">
        <f aca="false">IF($A378="","",$E378-$F378)</f>
        <v/>
      </c>
      <c r="H378" s="22" t="str">
        <f aca="false">IF($A378="","",$B378+Settings!$B$11)</f>
        <v/>
      </c>
      <c r="I378" s="19" t="str">
        <f aca="true">IF($A378="","",IF($G378&lt;=0,"Paid",IF(TODAY()&gt;$H378,"Overdue",IF($F378&gt;0,"Partial","Unpaid"))))</f>
        <v/>
      </c>
      <c r="J378" s="14" t="str">
        <f aca="true">IF($A378="","",IF(AND($G378&gt;0,TODAY()&gt;$H378),TODAY()-$H378,""))</f>
        <v/>
      </c>
      <c r="K378" s="2" t="str">
        <f aca="false">IFERROR(MATCH(ROWS($K$5:$K378),Jobs!$Q$5:$Q$504,0),"")</f>
        <v/>
      </c>
      <c r="M378" s="16"/>
      <c r="N378" s="12"/>
      <c r="O378" s="12"/>
      <c r="P378" s="13"/>
      <c r="Q378" s="19" t="str">
        <f aca="false">IF($N378="","",IFERROR(INDEX($C$5:$C$504,MATCH($N378,$A$5:$A$504,0)),"Invoice not found"))</f>
        <v/>
      </c>
    </row>
    <row r="379" customFormat="false" ht="15" hidden="false" customHeight="false" outlineLevel="0" collapsed="false">
      <c r="A379" s="19" t="str">
        <f aca="false">IF($K379="","",INDEX(Jobs!$O$5:$O$504,$K379))</f>
        <v/>
      </c>
      <c r="B379" s="22" t="str">
        <f aca="false">IF($K379="","",INDEX(Jobs!$A$5:$A$504,$K379))</f>
        <v/>
      </c>
      <c r="C379" s="19" t="str">
        <f aca="false">IF($K379="","",INDEX(Jobs!$B$5:$B$504,$K379))</f>
        <v/>
      </c>
      <c r="D379" s="19" t="str">
        <f aca="false">IF($K379="","",INDEX(Jobs!$J$5:$J$504,$K379))</f>
        <v/>
      </c>
      <c r="E379" s="15" t="str">
        <f aca="false">IF($K379="","",INDEX(Jobs!$N$5:$N$504,$K379))</f>
        <v/>
      </c>
      <c r="F379" s="15" t="str">
        <f aca="false">IF($A379="","",SUMIFS($P$5:$P$1004,$N$5:$N$1004,$A379))</f>
        <v/>
      </c>
      <c r="G379" s="15" t="str">
        <f aca="false">IF($A379="","",$E379-$F379)</f>
        <v/>
      </c>
      <c r="H379" s="22" t="str">
        <f aca="false">IF($A379="","",$B379+Settings!$B$11)</f>
        <v/>
      </c>
      <c r="I379" s="19" t="str">
        <f aca="true">IF($A379="","",IF($G379&lt;=0,"Paid",IF(TODAY()&gt;$H379,"Overdue",IF($F379&gt;0,"Partial","Unpaid"))))</f>
        <v/>
      </c>
      <c r="J379" s="14" t="str">
        <f aca="true">IF($A379="","",IF(AND($G379&gt;0,TODAY()&gt;$H379),TODAY()-$H379,""))</f>
        <v/>
      </c>
      <c r="K379" s="2" t="str">
        <f aca="false">IFERROR(MATCH(ROWS($K$5:$K379),Jobs!$Q$5:$Q$504,0),"")</f>
        <v/>
      </c>
      <c r="M379" s="16"/>
      <c r="N379" s="12"/>
      <c r="O379" s="12"/>
      <c r="P379" s="13"/>
      <c r="Q379" s="19" t="str">
        <f aca="false">IF($N379="","",IFERROR(INDEX($C$5:$C$504,MATCH($N379,$A$5:$A$504,0)),"Invoice not found"))</f>
        <v/>
      </c>
    </row>
    <row r="380" customFormat="false" ht="15" hidden="false" customHeight="false" outlineLevel="0" collapsed="false">
      <c r="A380" s="19" t="str">
        <f aca="false">IF($K380="","",INDEX(Jobs!$O$5:$O$504,$K380))</f>
        <v/>
      </c>
      <c r="B380" s="22" t="str">
        <f aca="false">IF($K380="","",INDEX(Jobs!$A$5:$A$504,$K380))</f>
        <v/>
      </c>
      <c r="C380" s="19" t="str">
        <f aca="false">IF($K380="","",INDEX(Jobs!$B$5:$B$504,$K380))</f>
        <v/>
      </c>
      <c r="D380" s="19" t="str">
        <f aca="false">IF($K380="","",INDEX(Jobs!$J$5:$J$504,$K380))</f>
        <v/>
      </c>
      <c r="E380" s="15" t="str">
        <f aca="false">IF($K380="","",INDEX(Jobs!$N$5:$N$504,$K380))</f>
        <v/>
      </c>
      <c r="F380" s="15" t="str">
        <f aca="false">IF($A380="","",SUMIFS($P$5:$P$1004,$N$5:$N$1004,$A380))</f>
        <v/>
      </c>
      <c r="G380" s="15" t="str">
        <f aca="false">IF($A380="","",$E380-$F380)</f>
        <v/>
      </c>
      <c r="H380" s="22" t="str">
        <f aca="false">IF($A380="","",$B380+Settings!$B$11)</f>
        <v/>
      </c>
      <c r="I380" s="19" t="str">
        <f aca="true">IF($A380="","",IF($G380&lt;=0,"Paid",IF(TODAY()&gt;$H380,"Overdue",IF($F380&gt;0,"Partial","Unpaid"))))</f>
        <v/>
      </c>
      <c r="J380" s="14" t="str">
        <f aca="true">IF($A380="","",IF(AND($G380&gt;0,TODAY()&gt;$H380),TODAY()-$H380,""))</f>
        <v/>
      </c>
      <c r="K380" s="2" t="str">
        <f aca="false">IFERROR(MATCH(ROWS($K$5:$K380),Jobs!$Q$5:$Q$504,0),"")</f>
        <v/>
      </c>
      <c r="M380" s="16"/>
      <c r="N380" s="12"/>
      <c r="O380" s="12"/>
      <c r="P380" s="13"/>
      <c r="Q380" s="19" t="str">
        <f aca="false">IF($N380="","",IFERROR(INDEX($C$5:$C$504,MATCH($N380,$A$5:$A$504,0)),"Invoice not found"))</f>
        <v/>
      </c>
    </row>
    <row r="381" customFormat="false" ht="15" hidden="false" customHeight="false" outlineLevel="0" collapsed="false">
      <c r="A381" s="19" t="str">
        <f aca="false">IF($K381="","",INDEX(Jobs!$O$5:$O$504,$K381))</f>
        <v/>
      </c>
      <c r="B381" s="22" t="str">
        <f aca="false">IF($K381="","",INDEX(Jobs!$A$5:$A$504,$K381))</f>
        <v/>
      </c>
      <c r="C381" s="19" t="str">
        <f aca="false">IF($K381="","",INDEX(Jobs!$B$5:$B$504,$K381))</f>
        <v/>
      </c>
      <c r="D381" s="19" t="str">
        <f aca="false">IF($K381="","",INDEX(Jobs!$J$5:$J$504,$K381))</f>
        <v/>
      </c>
      <c r="E381" s="15" t="str">
        <f aca="false">IF($K381="","",INDEX(Jobs!$N$5:$N$504,$K381))</f>
        <v/>
      </c>
      <c r="F381" s="15" t="str">
        <f aca="false">IF($A381="","",SUMIFS($P$5:$P$1004,$N$5:$N$1004,$A381))</f>
        <v/>
      </c>
      <c r="G381" s="15" t="str">
        <f aca="false">IF($A381="","",$E381-$F381)</f>
        <v/>
      </c>
      <c r="H381" s="22" t="str">
        <f aca="false">IF($A381="","",$B381+Settings!$B$11)</f>
        <v/>
      </c>
      <c r="I381" s="19" t="str">
        <f aca="true">IF($A381="","",IF($G381&lt;=0,"Paid",IF(TODAY()&gt;$H381,"Overdue",IF($F381&gt;0,"Partial","Unpaid"))))</f>
        <v/>
      </c>
      <c r="J381" s="14" t="str">
        <f aca="true">IF($A381="","",IF(AND($G381&gt;0,TODAY()&gt;$H381),TODAY()-$H381,""))</f>
        <v/>
      </c>
      <c r="K381" s="2" t="str">
        <f aca="false">IFERROR(MATCH(ROWS($K$5:$K381),Jobs!$Q$5:$Q$504,0),"")</f>
        <v/>
      </c>
      <c r="M381" s="16"/>
      <c r="N381" s="12"/>
      <c r="O381" s="12"/>
      <c r="P381" s="13"/>
      <c r="Q381" s="19" t="str">
        <f aca="false">IF($N381="","",IFERROR(INDEX($C$5:$C$504,MATCH($N381,$A$5:$A$504,0)),"Invoice not found"))</f>
        <v/>
      </c>
    </row>
    <row r="382" customFormat="false" ht="15" hidden="false" customHeight="false" outlineLevel="0" collapsed="false">
      <c r="A382" s="19" t="str">
        <f aca="false">IF($K382="","",INDEX(Jobs!$O$5:$O$504,$K382))</f>
        <v/>
      </c>
      <c r="B382" s="22" t="str">
        <f aca="false">IF($K382="","",INDEX(Jobs!$A$5:$A$504,$K382))</f>
        <v/>
      </c>
      <c r="C382" s="19" t="str">
        <f aca="false">IF($K382="","",INDEX(Jobs!$B$5:$B$504,$K382))</f>
        <v/>
      </c>
      <c r="D382" s="19" t="str">
        <f aca="false">IF($K382="","",INDEX(Jobs!$J$5:$J$504,$K382))</f>
        <v/>
      </c>
      <c r="E382" s="15" t="str">
        <f aca="false">IF($K382="","",INDEX(Jobs!$N$5:$N$504,$K382))</f>
        <v/>
      </c>
      <c r="F382" s="15" t="str">
        <f aca="false">IF($A382="","",SUMIFS($P$5:$P$1004,$N$5:$N$1004,$A382))</f>
        <v/>
      </c>
      <c r="G382" s="15" t="str">
        <f aca="false">IF($A382="","",$E382-$F382)</f>
        <v/>
      </c>
      <c r="H382" s="22" t="str">
        <f aca="false">IF($A382="","",$B382+Settings!$B$11)</f>
        <v/>
      </c>
      <c r="I382" s="19" t="str">
        <f aca="true">IF($A382="","",IF($G382&lt;=0,"Paid",IF(TODAY()&gt;$H382,"Overdue",IF($F382&gt;0,"Partial","Unpaid"))))</f>
        <v/>
      </c>
      <c r="J382" s="14" t="str">
        <f aca="true">IF($A382="","",IF(AND($G382&gt;0,TODAY()&gt;$H382),TODAY()-$H382,""))</f>
        <v/>
      </c>
      <c r="K382" s="2" t="str">
        <f aca="false">IFERROR(MATCH(ROWS($K$5:$K382),Jobs!$Q$5:$Q$504,0),"")</f>
        <v/>
      </c>
      <c r="M382" s="16"/>
      <c r="N382" s="12"/>
      <c r="O382" s="12"/>
      <c r="P382" s="13"/>
      <c r="Q382" s="19" t="str">
        <f aca="false">IF($N382="","",IFERROR(INDEX($C$5:$C$504,MATCH($N382,$A$5:$A$504,0)),"Invoice not found"))</f>
        <v/>
      </c>
    </row>
    <row r="383" customFormat="false" ht="15" hidden="false" customHeight="false" outlineLevel="0" collapsed="false">
      <c r="A383" s="19" t="str">
        <f aca="false">IF($K383="","",INDEX(Jobs!$O$5:$O$504,$K383))</f>
        <v/>
      </c>
      <c r="B383" s="22" t="str">
        <f aca="false">IF($K383="","",INDEX(Jobs!$A$5:$A$504,$K383))</f>
        <v/>
      </c>
      <c r="C383" s="19" t="str">
        <f aca="false">IF($K383="","",INDEX(Jobs!$B$5:$B$504,$K383))</f>
        <v/>
      </c>
      <c r="D383" s="19" t="str">
        <f aca="false">IF($K383="","",INDEX(Jobs!$J$5:$J$504,$K383))</f>
        <v/>
      </c>
      <c r="E383" s="15" t="str">
        <f aca="false">IF($K383="","",INDEX(Jobs!$N$5:$N$504,$K383))</f>
        <v/>
      </c>
      <c r="F383" s="15" t="str">
        <f aca="false">IF($A383="","",SUMIFS($P$5:$P$1004,$N$5:$N$1004,$A383))</f>
        <v/>
      </c>
      <c r="G383" s="15" t="str">
        <f aca="false">IF($A383="","",$E383-$F383)</f>
        <v/>
      </c>
      <c r="H383" s="22" t="str">
        <f aca="false">IF($A383="","",$B383+Settings!$B$11)</f>
        <v/>
      </c>
      <c r="I383" s="19" t="str">
        <f aca="true">IF($A383="","",IF($G383&lt;=0,"Paid",IF(TODAY()&gt;$H383,"Overdue",IF($F383&gt;0,"Partial","Unpaid"))))</f>
        <v/>
      </c>
      <c r="J383" s="14" t="str">
        <f aca="true">IF($A383="","",IF(AND($G383&gt;0,TODAY()&gt;$H383),TODAY()-$H383,""))</f>
        <v/>
      </c>
      <c r="K383" s="2" t="str">
        <f aca="false">IFERROR(MATCH(ROWS($K$5:$K383),Jobs!$Q$5:$Q$504,0),"")</f>
        <v/>
      </c>
      <c r="M383" s="16"/>
      <c r="N383" s="12"/>
      <c r="O383" s="12"/>
      <c r="P383" s="13"/>
      <c r="Q383" s="19" t="str">
        <f aca="false">IF($N383="","",IFERROR(INDEX($C$5:$C$504,MATCH($N383,$A$5:$A$504,0)),"Invoice not found"))</f>
        <v/>
      </c>
    </row>
    <row r="384" customFormat="false" ht="15" hidden="false" customHeight="false" outlineLevel="0" collapsed="false">
      <c r="A384" s="19" t="str">
        <f aca="false">IF($K384="","",INDEX(Jobs!$O$5:$O$504,$K384))</f>
        <v/>
      </c>
      <c r="B384" s="22" t="str">
        <f aca="false">IF($K384="","",INDEX(Jobs!$A$5:$A$504,$K384))</f>
        <v/>
      </c>
      <c r="C384" s="19" t="str">
        <f aca="false">IF($K384="","",INDEX(Jobs!$B$5:$B$504,$K384))</f>
        <v/>
      </c>
      <c r="D384" s="19" t="str">
        <f aca="false">IF($K384="","",INDEX(Jobs!$J$5:$J$504,$K384))</f>
        <v/>
      </c>
      <c r="E384" s="15" t="str">
        <f aca="false">IF($K384="","",INDEX(Jobs!$N$5:$N$504,$K384))</f>
        <v/>
      </c>
      <c r="F384" s="15" t="str">
        <f aca="false">IF($A384="","",SUMIFS($P$5:$P$1004,$N$5:$N$1004,$A384))</f>
        <v/>
      </c>
      <c r="G384" s="15" t="str">
        <f aca="false">IF($A384="","",$E384-$F384)</f>
        <v/>
      </c>
      <c r="H384" s="22" t="str">
        <f aca="false">IF($A384="","",$B384+Settings!$B$11)</f>
        <v/>
      </c>
      <c r="I384" s="19" t="str">
        <f aca="true">IF($A384="","",IF($G384&lt;=0,"Paid",IF(TODAY()&gt;$H384,"Overdue",IF($F384&gt;0,"Partial","Unpaid"))))</f>
        <v/>
      </c>
      <c r="J384" s="14" t="str">
        <f aca="true">IF($A384="","",IF(AND($G384&gt;0,TODAY()&gt;$H384),TODAY()-$H384,""))</f>
        <v/>
      </c>
      <c r="K384" s="2" t="str">
        <f aca="false">IFERROR(MATCH(ROWS($K$5:$K384),Jobs!$Q$5:$Q$504,0),"")</f>
        <v/>
      </c>
      <c r="M384" s="16"/>
      <c r="N384" s="12"/>
      <c r="O384" s="12"/>
      <c r="P384" s="13"/>
      <c r="Q384" s="19" t="str">
        <f aca="false">IF($N384="","",IFERROR(INDEX($C$5:$C$504,MATCH($N384,$A$5:$A$504,0)),"Invoice not found"))</f>
        <v/>
      </c>
    </row>
    <row r="385" customFormat="false" ht="15" hidden="false" customHeight="false" outlineLevel="0" collapsed="false">
      <c r="A385" s="19" t="str">
        <f aca="false">IF($K385="","",INDEX(Jobs!$O$5:$O$504,$K385))</f>
        <v/>
      </c>
      <c r="B385" s="22" t="str">
        <f aca="false">IF($K385="","",INDEX(Jobs!$A$5:$A$504,$K385))</f>
        <v/>
      </c>
      <c r="C385" s="19" t="str">
        <f aca="false">IF($K385="","",INDEX(Jobs!$B$5:$B$504,$K385))</f>
        <v/>
      </c>
      <c r="D385" s="19" t="str">
        <f aca="false">IF($K385="","",INDEX(Jobs!$J$5:$J$504,$K385))</f>
        <v/>
      </c>
      <c r="E385" s="15" t="str">
        <f aca="false">IF($K385="","",INDEX(Jobs!$N$5:$N$504,$K385))</f>
        <v/>
      </c>
      <c r="F385" s="15" t="str">
        <f aca="false">IF($A385="","",SUMIFS($P$5:$P$1004,$N$5:$N$1004,$A385))</f>
        <v/>
      </c>
      <c r="G385" s="15" t="str">
        <f aca="false">IF($A385="","",$E385-$F385)</f>
        <v/>
      </c>
      <c r="H385" s="22" t="str">
        <f aca="false">IF($A385="","",$B385+Settings!$B$11)</f>
        <v/>
      </c>
      <c r="I385" s="19" t="str">
        <f aca="true">IF($A385="","",IF($G385&lt;=0,"Paid",IF(TODAY()&gt;$H385,"Overdue",IF($F385&gt;0,"Partial","Unpaid"))))</f>
        <v/>
      </c>
      <c r="J385" s="14" t="str">
        <f aca="true">IF($A385="","",IF(AND($G385&gt;0,TODAY()&gt;$H385),TODAY()-$H385,""))</f>
        <v/>
      </c>
      <c r="K385" s="2" t="str">
        <f aca="false">IFERROR(MATCH(ROWS($K$5:$K385),Jobs!$Q$5:$Q$504,0),"")</f>
        <v/>
      </c>
      <c r="M385" s="16"/>
      <c r="N385" s="12"/>
      <c r="O385" s="12"/>
      <c r="P385" s="13"/>
      <c r="Q385" s="19" t="str">
        <f aca="false">IF($N385="","",IFERROR(INDEX($C$5:$C$504,MATCH($N385,$A$5:$A$504,0)),"Invoice not found"))</f>
        <v/>
      </c>
    </row>
    <row r="386" customFormat="false" ht="15" hidden="false" customHeight="false" outlineLevel="0" collapsed="false">
      <c r="A386" s="19" t="str">
        <f aca="false">IF($K386="","",INDEX(Jobs!$O$5:$O$504,$K386))</f>
        <v/>
      </c>
      <c r="B386" s="22" t="str">
        <f aca="false">IF($K386="","",INDEX(Jobs!$A$5:$A$504,$K386))</f>
        <v/>
      </c>
      <c r="C386" s="19" t="str">
        <f aca="false">IF($K386="","",INDEX(Jobs!$B$5:$B$504,$K386))</f>
        <v/>
      </c>
      <c r="D386" s="19" t="str">
        <f aca="false">IF($K386="","",INDEX(Jobs!$J$5:$J$504,$K386))</f>
        <v/>
      </c>
      <c r="E386" s="15" t="str">
        <f aca="false">IF($K386="","",INDEX(Jobs!$N$5:$N$504,$K386))</f>
        <v/>
      </c>
      <c r="F386" s="15" t="str">
        <f aca="false">IF($A386="","",SUMIFS($P$5:$P$1004,$N$5:$N$1004,$A386))</f>
        <v/>
      </c>
      <c r="G386" s="15" t="str">
        <f aca="false">IF($A386="","",$E386-$F386)</f>
        <v/>
      </c>
      <c r="H386" s="22" t="str">
        <f aca="false">IF($A386="","",$B386+Settings!$B$11)</f>
        <v/>
      </c>
      <c r="I386" s="19" t="str">
        <f aca="true">IF($A386="","",IF($G386&lt;=0,"Paid",IF(TODAY()&gt;$H386,"Overdue",IF($F386&gt;0,"Partial","Unpaid"))))</f>
        <v/>
      </c>
      <c r="J386" s="14" t="str">
        <f aca="true">IF($A386="","",IF(AND($G386&gt;0,TODAY()&gt;$H386),TODAY()-$H386,""))</f>
        <v/>
      </c>
      <c r="K386" s="2" t="str">
        <f aca="false">IFERROR(MATCH(ROWS($K$5:$K386),Jobs!$Q$5:$Q$504,0),"")</f>
        <v/>
      </c>
      <c r="M386" s="16"/>
      <c r="N386" s="12"/>
      <c r="O386" s="12"/>
      <c r="P386" s="13"/>
      <c r="Q386" s="19" t="str">
        <f aca="false">IF($N386="","",IFERROR(INDEX($C$5:$C$504,MATCH($N386,$A$5:$A$504,0)),"Invoice not found"))</f>
        <v/>
      </c>
    </row>
    <row r="387" customFormat="false" ht="15" hidden="false" customHeight="false" outlineLevel="0" collapsed="false">
      <c r="A387" s="19" t="str">
        <f aca="false">IF($K387="","",INDEX(Jobs!$O$5:$O$504,$K387))</f>
        <v/>
      </c>
      <c r="B387" s="22" t="str">
        <f aca="false">IF($K387="","",INDEX(Jobs!$A$5:$A$504,$K387))</f>
        <v/>
      </c>
      <c r="C387" s="19" t="str">
        <f aca="false">IF($K387="","",INDEX(Jobs!$B$5:$B$504,$K387))</f>
        <v/>
      </c>
      <c r="D387" s="19" t="str">
        <f aca="false">IF($K387="","",INDEX(Jobs!$J$5:$J$504,$K387))</f>
        <v/>
      </c>
      <c r="E387" s="15" t="str">
        <f aca="false">IF($K387="","",INDEX(Jobs!$N$5:$N$504,$K387))</f>
        <v/>
      </c>
      <c r="F387" s="15" t="str">
        <f aca="false">IF($A387="","",SUMIFS($P$5:$P$1004,$N$5:$N$1004,$A387))</f>
        <v/>
      </c>
      <c r="G387" s="15" t="str">
        <f aca="false">IF($A387="","",$E387-$F387)</f>
        <v/>
      </c>
      <c r="H387" s="22" t="str">
        <f aca="false">IF($A387="","",$B387+Settings!$B$11)</f>
        <v/>
      </c>
      <c r="I387" s="19" t="str">
        <f aca="true">IF($A387="","",IF($G387&lt;=0,"Paid",IF(TODAY()&gt;$H387,"Overdue",IF($F387&gt;0,"Partial","Unpaid"))))</f>
        <v/>
      </c>
      <c r="J387" s="14" t="str">
        <f aca="true">IF($A387="","",IF(AND($G387&gt;0,TODAY()&gt;$H387),TODAY()-$H387,""))</f>
        <v/>
      </c>
      <c r="K387" s="2" t="str">
        <f aca="false">IFERROR(MATCH(ROWS($K$5:$K387),Jobs!$Q$5:$Q$504,0),"")</f>
        <v/>
      </c>
      <c r="M387" s="16"/>
      <c r="N387" s="12"/>
      <c r="O387" s="12"/>
      <c r="P387" s="13"/>
      <c r="Q387" s="19" t="str">
        <f aca="false">IF($N387="","",IFERROR(INDEX($C$5:$C$504,MATCH($N387,$A$5:$A$504,0)),"Invoice not found"))</f>
        <v/>
      </c>
    </row>
    <row r="388" customFormat="false" ht="15" hidden="false" customHeight="false" outlineLevel="0" collapsed="false">
      <c r="A388" s="19" t="str">
        <f aca="false">IF($K388="","",INDEX(Jobs!$O$5:$O$504,$K388))</f>
        <v/>
      </c>
      <c r="B388" s="22" t="str">
        <f aca="false">IF($K388="","",INDEX(Jobs!$A$5:$A$504,$K388))</f>
        <v/>
      </c>
      <c r="C388" s="19" t="str">
        <f aca="false">IF($K388="","",INDEX(Jobs!$B$5:$B$504,$K388))</f>
        <v/>
      </c>
      <c r="D388" s="19" t="str">
        <f aca="false">IF($K388="","",INDEX(Jobs!$J$5:$J$504,$K388))</f>
        <v/>
      </c>
      <c r="E388" s="15" t="str">
        <f aca="false">IF($K388="","",INDEX(Jobs!$N$5:$N$504,$K388))</f>
        <v/>
      </c>
      <c r="F388" s="15" t="str">
        <f aca="false">IF($A388="","",SUMIFS($P$5:$P$1004,$N$5:$N$1004,$A388))</f>
        <v/>
      </c>
      <c r="G388" s="15" t="str">
        <f aca="false">IF($A388="","",$E388-$F388)</f>
        <v/>
      </c>
      <c r="H388" s="22" t="str">
        <f aca="false">IF($A388="","",$B388+Settings!$B$11)</f>
        <v/>
      </c>
      <c r="I388" s="19" t="str">
        <f aca="true">IF($A388="","",IF($G388&lt;=0,"Paid",IF(TODAY()&gt;$H388,"Overdue",IF($F388&gt;0,"Partial","Unpaid"))))</f>
        <v/>
      </c>
      <c r="J388" s="14" t="str">
        <f aca="true">IF($A388="","",IF(AND($G388&gt;0,TODAY()&gt;$H388),TODAY()-$H388,""))</f>
        <v/>
      </c>
      <c r="K388" s="2" t="str">
        <f aca="false">IFERROR(MATCH(ROWS($K$5:$K388),Jobs!$Q$5:$Q$504,0),"")</f>
        <v/>
      </c>
      <c r="M388" s="16"/>
      <c r="N388" s="12"/>
      <c r="O388" s="12"/>
      <c r="P388" s="13"/>
      <c r="Q388" s="19" t="str">
        <f aca="false">IF($N388="","",IFERROR(INDEX($C$5:$C$504,MATCH($N388,$A$5:$A$504,0)),"Invoice not found"))</f>
        <v/>
      </c>
    </row>
    <row r="389" customFormat="false" ht="15" hidden="false" customHeight="false" outlineLevel="0" collapsed="false">
      <c r="A389" s="19" t="str">
        <f aca="false">IF($K389="","",INDEX(Jobs!$O$5:$O$504,$K389))</f>
        <v/>
      </c>
      <c r="B389" s="22" t="str">
        <f aca="false">IF($K389="","",INDEX(Jobs!$A$5:$A$504,$K389))</f>
        <v/>
      </c>
      <c r="C389" s="19" t="str">
        <f aca="false">IF($K389="","",INDEX(Jobs!$B$5:$B$504,$K389))</f>
        <v/>
      </c>
      <c r="D389" s="19" t="str">
        <f aca="false">IF($K389="","",INDEX(Jobs!$J$5:$J$504,$K389))</f>
        <v/>
      </c>
      <c r="E389" s="15" t="str">
        <f aca="false">IF($K389="","",INDEX(Jobs!$N$5:$N$504,$K389))</f>
        <v/>
      </c>
      <c r="F389" s="15" t="str">
        <f aca="false">IF($A389="","",SUMIFS($P$5:$P$1004,$N$5:$N$1004,$A389))</f>
        <v/>
      </c>
      <c r="G389" s="15" t="str">
        <f aca="false">IF($A389="","",$E389-$F389)</f>
        <v/>
      </c>
      <c r="H389" s="22" t="str">
        <f aca="false">IF($A389="","",$B389+Settings!$B$11)</f>
        <v/>
      </c>
      <c r="I389" s="19" t="str">
        <f aca="true">IF($A389="","",IF($G389&lt;=0,"Paid",IF(TODAY()&gt;$H389,"Overdue",IF($F389&gt;0,"Partial","Unpaid"))))</f>
        <v/>
      </c>
      <c r="J389" s="14" t="str">
        <f aca="true">IF($A389="","",IF(AND($G389&gt;0,TODAY()&gt;$H389),TODAY()-$H389,""))</f>
        <v/>
      </c>
      <c r="K389" s="2" t="str">
        <f aca="false">IFERROR(MATCH(ROWS($K$5:$K389),Jobs!$Q$5:$Q$504,0),"")</f>
        <v/>
      </c>
      <c r="M389" s="16"/>
      <c r="N389" s="12"/>
      <c r="O389" s="12"/>
      <c r="P389" s="13"/>
      <c r="Q389" s="19" t="str">
        <f aca="false">IF($N389="","",IFERROR(INDEX($C$5:$C$504,MATCH($N389,$A$5:$A$504,0)),"Invoice not found"))</f>
        <v/>
      </c>
    </row>
    <row r="390" customFormat="false" ht="15" hidden="false" customHeight="false" outlineLevel="0" collapsed="false">
      <c r="A390" s="19" t="str">
        <f aca="false">IF($K390="","",INDEX(Jobs!$O$5:$O$504,$K390))</f>
        <v/>
      </c>
      <c r="B390" s="22" t="str">
        <f aca="false">IF($K390="","",INDEX(Jobs!$A$5:$A$504,$K390))</f>
        <v/>
      </c>
      <c r="C390" s="19" t="str">
        <f aca="false">IF($K390="","",INDEX(Jobs!$B$5:$B$504,$K390))</f>
        <v/>
      </c>
      <c r="D390" s="19" t="str">
        <f aca="false">IF($K390="","",INDEX(Jobs!$J$5:$J$504,$K390))</f>
        <v/>
      </c>
      <c r="E390" s="15" t="str">
        <f aca="false">IF($K390="","",INDEX(Jobs!$N$5:$N$504,$K390))</f>
        <v/>
      </c>
      <c r="F390" s="15" t="str">
        <f aca="false">IF($A390="","",SUMIFS($P$5:$P$1004,$N$5:$N$1004,$A390))</f>
        <v/>
      </c>
      <c r="G390" s="15" t="str">
        <f aca="false">IF($A390="","",$E390-$F390)</f>
        <v/>
      </c>
      <c r="H390" s="22" t="str">
        <f aca="false">IF($A390="","",$B390+Settings!$B$11)</f>
        <v/>
      </c>
      <c r="I390" s="19" t="str">
        <f aca="true">IF($A390="","",IF($G390&lt;=0,"Paid",IF(TODAY()&gt;$H390,"Overdue",IF($F390&gt;0,"Partial","Unpaid"))))</f>
        <v/>
      </c>
      <c r="J390" s="14" t="str">
        <f aca="true">IF($A390="","",IF(AND($G390&gt;0,TODAY()&gt;$H390),TODAY()-$H390,""))</f>
        <v/>
      </c>
      <c r="K390" s="2" t="str">
        <f aca="false">IFERROR(MATCH(ROWS($K$5:$K390),Jobs!$Q$5:$Q$504,0),"")</f>
        <v/>
      </c>
      <c r="M390" s="16"/>
      <c r="N390" s="12"/>
      <c r="O390" s="12"/>
      <c r="P390" s="13"/>
      <c r="Q390" s="19" t="str">
        <f aca="false">IF($N390="","",IFERROR(INDEX($C$5:$C$504,MATCH($N390,$A$5:$A$504,0)),"Invoice not found"))</f>
        <v/>
      </c>
    </row>
    <row r="391" customFormat="false" ht="15" hidden="false" customHeight="false" outlineLevel="0" collapsed="false">
      <c r="A391" s="19" t="str">
        <f aca="false">IF($K391="","",INDEX(Jobs!$O$5:$O$504,$K391))</f>
        <v/>
      </c>
      <c r="B391" s="22" t="str">
        <f aca="false">IF($K391="","",INDEX(Jobs!$A$5:$A$504,$K391))</f>
        <v/>
      </c>
      <c r="C391" s="19" t="str">
        <f aca="false">IF($K391="","",INDEX(Jobs!$B$5:$B$504,$K391))</f>
        <v/>
      </c>
      <c r="D391" s="19" t="str">
        <f aca="false">IF($K391="","",INDEX(Jobs!$J$5:$J$504,$K391))</f>
        <v/>
      </c>
      <c r="E391" s="15" t="str">
        <f aca="false">IF($K391="","",INDEX(Jobs!$N$5:$N$504,$K391))</f>
        <v/>
      </c>
      <c r="F391" s="15" t="str">
        <f aca="false">IF($A391="","",SUMIFS($P$5:$P$1004,$N$5:$N$1004,$A391))</f>
        <v/>
      </c>
      <c r="G391" s="15" t="str">
        <f aca="false">IF($A391="","",$E391-$F391)</f>
        <v/>
      </c>
      <c r="H391" s="22" t="str">
        <f aca="false">IF($A391="","",$B391+Settings!$B$11)</f>
        <v/>
      </c>
      <c r="I391" s="19" t="str">
        <f aca="true">IF($A391="","",IF($G391&lt;=0,"Paid",IF(TODAY()&gt;$H391,"Overdue",IF($F391&gt;0,"Partial","Unpaid"))))</f>
        <v/>
      </c>
      <c r="J391" s="14" t="str">
        <f aca="true">IF($A391="","",IF(AND($G391&gt;0,TODAY()&gt;$H391),TODAY()-$H391,""))</f>
        <v/>
      </c>
      <c r="K391" s="2" t="str">
        <f aca="false">IFERROR(MATCH(ROWS($K$5:$K391),Jobs!$Q$5:$Q$504,0),"")</f>
        <v/>
      </c>
      <c r="M391" s="16"/>
      <c r="N391" s="12"/>
      <c r="O391" s="12"/>
      <c r="P391" s="13"/>
      <c r="Q391" s="19" t="str">
        <f aca="false">IF($N391="","",IFERROR(INDEX($C$5:$C$504,MATCH($N391,$A$5:$A$504,0)),"Invoice not found"))</f>
        <v/>
      </c>
    </row>
    <row r="392" customFormat="false" ht="15" hidden="false" customHeight="false" outlineLevel="0" collapsed="false">
      <c r="A392" s="19" t="str">
        <f aca="false">IF($K392="","",INDEX(Jobs!$O$5:$O$504,$K392))</f>
        <v/>
      </c>
      <c r="B392" s="22" t="str">
        <f aca="false">IF($K392="","",INDEX(Jobs!$A$5:$A$504,$K392))</f>
        <v/>
      </c>
      <c r="C392" s="19" t="str">
        <f aca="false">IF($K392="","",INDEX(Jobs!$B$5:$B$504,$K392))</f>
        <v/>
      </c>
      <c r="D392" s="19" t="str">
        <f aca="false">IF($K392="","",INDEX(Jobs!$J$5:$J$504,$K392))</f>
        <v/>
      </c>
      <c r="E392" s="15" t="str">
        <f aca="false">IF($K392="","",INDEX(Jobs!$N$5:$N$504,$K392))</f>
        <v/>
      </c>
      <c r="F392" s="15" t="str">
        <f aca="false">IF($A392="","",SUMIFS($P$5:$P$1004,$N$5:$N$1004,$A392))</f>
        <v/>
      </c>
      <c r="G392" s="15" t="str">
        <f aca="false">IF($A392="","",$E392-$F392)</f>
        <v/>
      </c>
      <c r="H392" s="22" t="str">
        <f aca="false">IF($A392="","",$B392+Settings!$B$11)</f>
        <v/>
      </c>
      <c r="I392" s="19" t="str">
        <f aca="true">IF($A392="","",IF($G392&lt;=0,"Paid",IF(TODAY()&gt;$H392,"Overdue",IF($F392&gt;0,"Partial","Unpaid"))))</f>
        <v/>
      </c>
      <c r="J392" s="14" t="str">
        <f aca="true">IF($A392="","",IF(AND($G392&gt;0,TODAY()&gt;$H392),TODAY()-$H392,""))</f>
        <v/>
      </c>
      <c r="K392" s="2" t="str">
        <f aca="false">IFERROR(MATCH(ROWS($K$5:$K392),Jobs!$Q$5:$Q$504,0),"")</f>
        <v/>
      </c>
      <c r="M392" s="16"/>
      <c r="N392" s="12"/>
      <c r="O392" s="12"/>
      <c r="P392" s="13"/>
      <c r="Q392" s="19" t="str">
        <f aca="false">IF($N392="","",IFERROR(INDEX($C$5:$C$504,MATCH($N392,$A$5:$A$504,0)),"Invoice not found"))</f>
        <v/>
      </c>
    </row>
    <row r="393" customFormat="false" ht="15" hidden="false" customHeight="false" outlineLevel="0" collapsed="false">
      <c r="A393" s="19" t="str">
        <f aca="false">IF($K393="","",INDEX(Jobs!$O$5:$O$504,$K393))</f>
        <v/>
      </c>
      <c r="B393" s="22" t="str">
        <f aca="false">IF($K393="","",INDEX(Jobs!$A$5:$A$504,$K393))</f>
        <v/>
      </c>
      <c r="C393" s="19" t="str">
        <f aca="false">IF($K393="","",INDEX(Jobs!$B$5:$B$504,$K393))</f>
        <v/>
      </c>
      <c r="D393" s="19" t="str">
        <f aca="false">IF($K393="","",INDEX(Jobs!$J$5:$J$504,$K393))</f>
        <v/>
      </c>
      <c r="E393" s="15" t="str">
        <f aca="false">IF($K393="","",INDEX(Jobs!$N$5:$N$504,$K393))</f>
        <v/>
      </c>
      <c r="F393" s="15" t="str">
        <f aca="false">IF($A393="","",SUMIFS($P$5:$P$1004,$N$5:$N$1004,$A393))</f>
        <v/>
      </c>
      <c r="G393" s="15" t="str">
        <f aca="false">IF($A393="","",$E393-$F393)</f>
        <v/>
      </c>
      <c r="H393" s="22" t="str">
        <f aca="false">IF($A393="","",$B393+Settings!$B$11)</f>
        <v/>
      </c>
      <c r="I393" s="19" t="str">
        <f aca="true">IF($A393="","",IF($G393&lt;=0,"Paid",IF(TODAY()&gt;$H393,"Overdue",IF($F393&gt;0,"Partial","Unpaid"))))</f>
        <v/>
      </c>
      <c r="J393" s="14" t="str">
        <f aca="true">IF($A393="","",IF(AND($G393&gt;0,TODAY()&gt;$H393),TODAY()-$H393,""))</f>
        <v/>
      </c>
      <c r="K393" s="2" t="str">
        <f aca="false">IFERROR(MATCH(ROWS($K$5:$K393),Jobs!$Q$5:$Q$504,0),"")</f>
        <v/>
      </c>
      <c r="M393" s="16"/>
      <c r="N393" s="12"/>
      <c r="O393" s="12"/>
      <c r="P393" s="13"/>
      <c r="Q393" s="19" t="str">
        <f aca="false">IF($N393="","",IFERROR(INDEX($C$5:$C$504,MATCH($N393,$A$5:$A$504,0)),"Invoice not found"))</f>
        <v/>
      </c>
    </row>
    <row r="394" customFormat="false" ht="15" hidden="false" customHeight="false" outlineLevel="0" collapsed="false">
      <c r="A394" s="19" t="str">
        <f aca="false">IF($K394="","",INDEX(Jobs!$O$5:$O$504,$K394))</f>
        <v/>
      </c>
      <c r="B394" s="22" t="str">
        <f aca="false">IF($K394="","",INDEX(Jobs!$A$5:$A$504,$K394))</f>
        <v/>
      </c>
      <c r="C394" s="19" t="str">
        <f aca="false">IF($K394="","",INDEX(Jobs!$B$5:$B$504,$K394))</f>
        <v/>
      </c>
      <c r="D394" s="19" t="str">
        <f aca="false">IF($K394="","",INDEX(Jobs!$J$5:$J$504,$K394))</f>
        <v/>
      </c>
      <c r="E394" s="15" t="str">
        <f aca="false">IF($K394="","",INDEX(Jobs!$N$5:$N$504,$K394))</f>
        <v/>
      </c>
      <c r="F394" s="15" t="str">
        <f aca="false">IF($A394="","",SUMIFS($P$5:$P$1004,$N$5:$N$1004,$A394))</f>
        <v/>
      </c>
      <c r="G394" s="15" t="str">
        <f aca="false">IF($A394="","",$E394-$F394)</f>
        <v/>
      </c>
      <c r="H394" s="22" t="str">
        <f aca="false">IF($A394="","",$B394+Settings!$B$11)</f>
        <v/>
      </c>
      <c r="I394" s="19" t="str">
        <f aca="true">IF($A394="","",IF($G394&lt;=0,"Paid",IF(TODAY()&gt;$H394,"Overdue",IF($F394&gt;0,"Partial","Unpaid"))))</f>
        <v/>
      </c>
      <c r="J394" s="14" t="str">
        <f aca="true">IF($A394="","",IF(AND($G394&gt;0,TODAY()&gt;$H394),TODAY()-$H394,""))</f>
        <v/>
      </c>
      <c r="K394" s="2" t="str">
        <f aca="false">IFERROR(MATCH(ROWS($K$5:$K394),Jobs!$Q$5:$Q$504,0),"")</f>
        <v/>
      </c>
      <c r="M394" s="16"/>
      <c r="N394" s="12"/>
      <c r="O394" s="12"/>
      <c r="P394" s="13"/>
      <c r="Q394" s="19" t="str">
        <f aca="false">IF($N394="","",IFERROR(INDEX($C$5:$C$504,MATCH($N394,$A$5:$A$504,0)),"Invoice not found"))</f>
        <v/>
      </c>
    </row>
    <row r="395" customFormat="false" ht="15" hidden="false" customHeight="false" outlineLevel="0" collapsed="false">
      <c r="A395" s="19" t="str">
        <f aca="false">IF($K395="","",INDEX(Jobs!$O$5:$O$504,$K395))</f>
        <v/>
      </c>
      <c r="B395" s="22" t="str">
        <f aca="false">IF($K395="","",INDEX(Jobs!$A$5:$A$504,$K395))</f>
        <v/>
      </c>
      <c r="C395" s="19" t="str">
        <f aca="false">IF($K395="","",INDEX(Jobs!$B$5:$B$504,$K395))</f>
        <v/>
      </c>
      <c r="D395" s="19" t="str">
        <f aca="false">IF($K395="","",INDEX(Jobs!$J$5:$J$504,$K395))</f>
        <v/>
      </c>
      <c r="E395" s="15" t="str">
        <f aca="false">IF($K395="","",INDEX(Jobs!$N$5:$N$504,$K395))</f>
        <v/>
      </c>
      <c r="F395" s="15" t="str">
        <f aca="false">IF($A395="","",SUMIFS($P$5:$P$1004,$N$5:$N$1004,$A395))</f>
        <v/>
      </c>
      <c r="G395" s="15" t="str">
        <f aca="false">IF($A395="","",$E395-$F395)</f>
        <v/>
      </c>
      <c r="H395" s="22" t="str">
        <f aca="false">IF($A395="","",$B395+Settings!$B$11)</f>
        <v/>
      </c>
      <c r="I395" s="19" t="str">
        <f aca="true">IF($A395="","",IF($G395&lt;=0,"Paid",IF(TODAY()&gt;$H395,"Overdue",IF($F395&gt;0,"Partial","Unpaid"))))</f>
        <v/>
      </c>
      <c r="J395" s="14" t="str">
        <f aca="true">IF($A395="","",IF(AND($G395&gt;0,TODAY()&gt;$H395),TODAY()-$H395,""))</f>
        <v/>
      </c>
      <c r="K395" s="2" t="str">
        <f aca="false">IFERROR(MATCH(ROWS($K$5:$K395),Jobs!$Q$5:$Q$504,0),"")</f>
        <v/>
      </c>
      <c r="M395" s="16"/>
      <c r="N395" s="12"/>
      <c r="O395" s="12"/>
      <c r="P395" s="13"/>
      <c r="Q395" s="19" t="str">
        <f aca="false">IF($N395="","",IFERROR(INDEX($C$5:$C$504,MATCH($N395,$A$5:$A$504,0)),"Invoice not found"))</f>
        <v/>
      </c>
    </row>
    <row r="396" customFormat="false" ht="15" hidden="false" customHeight="false" outlineLevel="0" collapsed="false">
      <c r="A396" s="19" t="str">
        <f aca="false">IF($K396="","",INDEX(Jobs!$O$5:$O$504,$K396))</f>
        <v/>
      </c>
      <c r="B396" s="22" t="str">
        <f aca="false">IF($K396="","",INDEX(Jobs!$A$5:$A$504,$K396))</f>
        <v/>
      </c>
      <c r="C396" s="19" t="str">
        <f aca="false">IF($K396="","",INDEX(Jobs!$B$5:$B$504,$K396))</f>
        <v/>
      </c>
      <c r="D396" s="19" t="str">
        <f aca="false">IF($K396="","",INDEX(Jobs!$J$5:$J$504,$K396))</f>
        <v/>
      </c>
      <c r="E396" s="15" t="str">
        <f aca="false">IF($K396="","",INDEX(Jobs!$N$5:$N$504,$K396))</f>
        <v/>
      </c>
      <c r="F396" s="15" t="str">
        <f aca="false">IF($A396="","",SUMIFS($P$5:$P$1004,$N$5:$N$1004,$A396))</f>
        <v/>
      </c>
      <c r="G396" s="15" t="str">
        <f aca="false">IF($A396="","",$E396-$F396)</f>
        <v/>
      </c>
      <c r="H396" s="22" t="str">
        <f aca="false">IF($A396="","",$B396+Settings!$B$11)</f>
        <v/>
      </c>
      <c r="I396" s="19" t="str">
        <f aca="true">IF($A396="","",IF($G396&lt;=0,"Paid",IF(TODAY()&gt;$H396,"Overdue",IF($F396&gt;0,"Partial","Unpaid"))))</f>
        <v/>
      </c>
      <c r="J396" s="14" t="str">
        <f aca="true">IF($A396="","",IF(AND($G396&gt;0,TODAY()&gt;$H396),TODAY()-$H396,""))</f>
        <v/>
      </c>
      <c r="K396" s="2" t="str">
        <f aca="false">IFERROR(MATCH(ROWS($K$5:$K396),Jobs!$Q$5:$Q$504,0),"")</f>
        <v/>
      </c>
      <c r="M396" s="16"/>
      <c r="N396" s="12"/>
      <c r="O396" s="12"/>
      <c r="P396" s="13"/>
      <c r="Q396" s="19" t="str">
        <f aca="false">IF($N396="","",IFERROR(INDEX($C$5:$C$504,MATCH($N396,$A$5:$A$504,0)),"Invoice not found"))</f>
        <v/>
      </c>
    </row>
    <row r="397" customFormat="false" ht="15" hidden="false" customHeight="false" outlineLevel="0" collapsed="false">
      <c r="A397" s="19" t="str">
        <f aca="false">IF($K397="","",INDEX(Jobs!$O$5:$O$504,$K397))</f>
        <v/>
      </c>
      <c r="B397" s="22" t="str">
        <f aca="false">IF($K397="","",INDEX(Jobs!$A$5:$A$504,$K397))</f>
        <v/>
      </c>
      <c r="C397" s="19" t="str">
        <f aca="false">IF($K397="","",INDEX(Jobs!$B$5:$B$504,$K397))</f>
        <v/>
      </c>
      <c r="D397" s="19" t="str">
        <f aca="false">IF($K397="","",INDEX(Jobs!$J$5:$J$504,$K397))</f>
        <v/>
      </c>
      <c r="E397" s="15" t="str">
        <f aca="false">IF($K397="","",INDEX(Jobs!$N$5:$N$504,$K397))</f>
        <v/>
      </c>
      <c r="F397" s="15" t="str">
        <f aca="false">IF($A397="","",SUMIFS($P$5:$P$1004,$N$5:$N$1004,$A397))</f>
        <v/>
      </c>
      <c r="G397" s="15" t="str">
        <f aca="false">IF($A397="","",$E397-$F397)</f>
        <v/>
      </c>
      <c r="H397" s="22" t="str">
        <f aca="false">IF($A397="","",$B397+Settings!$B$11)</f>
        <v/>
      </c>
      <c r="I397" s="19" t="str">
        <f aca="true">IF($A397="","",IF($G397&lt;=0,"Paid",IF(TODAY()&gt;$H397,"Overdue",IF($F397&gt;0,"Partial","Unpaid"))))</f>
        <v/>
      </c>
      <c r="J397" s="14" t="str">
        <f aca="true">IF($A397="","",IF(AND($G397&gt;0,TODAY()&gt;$H397),TODAY()-$H397,""))</f>
        <v/>
      </c>
      <c r="K397" s="2" t="str">
        <f aca="false">IFERROR(MATCH(ROWS($K$5:$K397),Jobs!$Q$5:$Q$504,0),"")</f>
        <v/>
      </c>
      <c r="M397" s="16"/>
      <c r="N397" s="12"/>
      <c r="O397" s="12"/>
      <c r="P397" s="13"/>
      <c r="Q397" s="19" t="str">
        <f aca="false">IF($N397="","",IFERROR(INDEX($C$5:$C$504,MATCH($N397,$A$5:$A$504,0)),"Invoice not found"))</f>
        <v/>
      </c>
    </row>
    <row r="398" customFormat="false" ht="15" hidden="false" customHeight="false" outlineLevel="0" collapsed="false">
      <c r="A398" s="19" t="str">
        <f aca="false">IF($K398="","",INDEX(Jobs!$O$5:$O$504,$K398))</f>
        <v/>
      </c>
      <c r="B398" s="22" t="str">
        <f aca="false">IF($K398="","",INDEX(Jobs!$A$5:$A$504,$K398))</f>
        <v/>
      </c>
      <c r="C398" s="19" t="str">
        <f aca="false">IF($K398="","",INDEX(Jobs!$B$5:$B$504,$K398))</f>
        <v/>
      </c>
      <c r="D398" s="19" t="str">
        <f aca="false">IF($K398="","",INDEX(Jobs!$J$5:$J$504,$K398))</f>
        <v/>
      </c>
      <c r="E398" s="15" t="str">
        <f aca="false">IF($K398="","",INDEX(Jobs!$N$5:$N$504,$K398))</f>
        <v/>
      </c>
      <c r="F398" s="15" t="str">
        <f aca="false">IF($A398="","",SUMIFS($P$5:$P$1004,$N$5:$N$1004,$A398))</f>
        <v/>
      </c>
      <c r="G398" s="15" t="str">
        <f aca="false">IF($A398="","",$E398-$F398)</f>
        <v/>
      </c>
      <c r="H398" s="22" t="str">
        <f aca="false">IF($A398="","",$B398+Settings!$B$11)</f>
        <v/>
      </c>
      <c r="I398" s="19" t="str">
        <f aca="true">IF($A398="","",IF($G398&lt;=0,"Paid",IF(TODAY()&gt;$H398,"Overdue",IF($F398&gt;0,"Partial","Unpaid"))))</f>
        <v/>
      </c>
      <c r="J398" s="14" t="str">
        <f aca="true">IF($A398="","",IF(AND($G398&gt;0,TODAY()&gt;$H398),TODAY()-$H398,""))</f>
        <v/>
      </c>
      <c r="K398" s="2" t="str">
        <f aca="false">IFERROR(MATCH(ROWS($K$5:$K398),Jobs!$Q$5:$Q$504,0),"")</f>
        <v/>
      </c>
      <c r="M398" s="16"/>
      <c r="N398" s="12"/>
      <c r="O398" s="12"/>
      <c r="P398" s="13"/>
      <c r="Q398" s="19" t="str">
        <f aca="false">IF($N398="","",IFERROR(INDEX($C$5:$C$504,MATCH($N398,$A$5:$A$504,0)),"Invoice not found"))</f>
        <v/>
      </c>
    </row>
    <row r="399" customFormat="false" ht="15" hidden="false" customHeight="false" outlineLevel="0" collapsed="false">
      <c r="A399" s="19" t="str">
        <f aca="false">IF($K399="","",INDEX(Jobs!$O$5:$O$504,$K399))</f>
        <v/>
      </c>
      <c r="B399" s="22" t="str">
        <f aca="false">IF($K399="","",INDEX(Jobs!$A$5:$A$504,$K399))</f>
        <v/>
      </c>
      <c r="C399" s="19" t="str">
        <f aca="false">IF($K399="","",INDEX(Jobs!$B$5:$B$504,$K399))</f>
        <v/>
      </c>
      <c r="D399" s="19" t="str">
        <f aca="false">IF($K399="","",INDEX(Jobs!$J$5:$J$504,$K399))</f>
        <v/>
      </c>
      <c r="E399" s="15" t="str">
        <f aca="false">IF($K399="","",INDEX(Jobs!$N$5:$N$504,$K399))</f>
        <v/>
      </c>
      <c r="F399" s="15" t="str">
        <f aca="false">IF($A399="","",SUMIFS($P$5:$P$1004,$N$5:$N$1004,$A399))</f>
        <v/>
      </c>
      <c r="G399" s="15" t="str">
        <f aca="false">IF($A399="","",$E399-$F399)</f>
        <v/>
      </c>
      <c r="H399" s="22" t="str">
        <f aca="false">IF($A399="","",$B399+Settings!$B$11)</f>
        <v/>
      </c>
      <c r="I399" s="19" t="str">
        <f aca="true">IF($A399="","",IF($G399&lt;=0,"Paid",IF(TODAY()&gt;$H399,"Overdue",IF($F399&gt;0,"Partial","Unpaid"))))</f>
        <v/>
      </c>
      <c r="J399" s="14" t="str">
        <f aca="true">IF($A399="","",IF(AND($G399&gt;0,TODAY()&gt;$H399),TODAY()-$H399,""))</f>
        <v/>
      </c>
      <c r="K399" s="2" t="str">
        <f aca="false">IFERROR(MATCH(ROWS($K$5:$K399),Jobs!$Q$5:$Q$504,0),"")</f>
        <v/>
      </c>
      <c r="M399" s="16"/>
      <c r="N399" s="12"/>
      <c r="O399" s="12"/>
      <c r="P399" s="13"/>
      <c r="Q399" s="19" t="str">
        <f aca="false">IF($N399="","",IFERROR(INDEX($C$5:$C$504,MATCH($N399,$A$5:$A$504,0)),"Invoice not found"))</f>
        <v/>
      </c>
    </row>
    <row r="400" customFormat="false" ht="15" hidden="false" customHeight="false" outlineLevel="0" collapsed="false">
      <c r="A400" s="19" t="str">
        <f aca="false">IF($K400="","",INDEX(Jobs!$O$5:$O$504,$K400))</f>
        <v/>
      </c>
      <c r="B400" s="22" t="str">
        <f aca="false">IF($K400="","",INDEX(Jobs!$A$5:$A$504,$K400))</f>
        <v/>
      </c>
      <c r="C400" s="19" t="str">
        <f aca="false">IF($K400="","",INDEX(Jobs!$B$5:$B$504,$K400))</f>
        <v/>
      </c>
      <c r="D400" s="19" t="str">
        <f aca="false">IF($K400="","",INDEX(Jobs!$J$5:$J$504,$K400))</f>
        <v/>
      </c>
      <c r="E400" s="15" t="str">
        <f aca="false">IF($K400="","",INDEX(Jobs!$N$5:$N$504,$K400))</f>
        <v/>
      </c>
      <c r="F400" s="15" t="str">
        <f aca="false">IF($A400="","",SUMIFS($P$5:$P$1004,$N$5:$N$1004,$A400))</f>
        <v/>
      </c>
      <c r="G400" s="15" t="str">
        <f aca="false">IF($A400="","",$E400-$F400)</f>
        <v/>
      </c>
      <c r="H400" s="22" t="str">
        <f aca="false">IF($A400="","",$B400+Settings!$B$11)</f>
        <v/>
      </c>
      <c r="I400" s="19" t="str">
        <f aca="true">IF($A400="","",IF($G400&lt;=0,"Paid",IF(TODAY()&gt;$H400,"Overdue",IF($F400&gt;0,"Partial","Unpaid"))))</f>
        <v/>
      </c>
      <c r="J400" s="14" t="str">
        <f aca="true">IF($A400="","",IF(AND($G400&gt;0,TODAY()&gt;$H400),TODAY()-$H400,""))</f>
        <v/>
      </c>
      <c r="K400" s="2" t="str">
        <f aca="false">IFERROR(MATCH(ROWS($K$5:$K400),Jobs!$Q$5:$Q$504,0),"")</f>
        <v/>
      </c>
      <c r="M400" s="16"/>
      <c r="N400" s="12"/>
      <c r="O400" s="12"/>
      <c r="P400" s="13"/>
      <c r="Q400" s="19" t="str">
        <f aca="false">IF($N400="","",IFERROR(INDEX($C$5:$C$504,MATCH($N400,$A$5:$A$504,0)),"Invoice not found"))</f>
        <v/>
      </c>
    </row>
    <row r="401" customFormat="false" ht="15" hidden="false" customHeight="false" outlineLevel="0" collapsed="false">
      <c r="A401" s="19" t="str">
        <f aca="false">IF($K401="","",INDEX(Jobs!$O$5:$O$504,$K401))</f>
        <v/>
      </c>
      <c r="B401" s="22" t="str">
        <f aca="false">IF($K401="","",INDEX(Jobs!$A$5:$A$504,$K401))</f>
        <v/>
      </c>
      <c r="C401" s="19" t="str">
        <f aca="false">IF($K401="","",INDEX(Jobs!$B$5:$B$504,$K401))</f>
        <v/>
      </c>
      <c r="D401" s="19" t="str">
        <f aca="false">IF($K401="","",INDEX(Jobs!$J$5:$J$504,$K401))</f>
        <v/>
      </c>
      <c r="E401" s="15" t="str">
        <f aca="false">IF($K401="","",INDEX(Jobs!$N$5:$N$504,$K401))</f>
        <v/>
      </c>
      <c r="F401" s="15" t="str">
        <f aca="false">IF($A401="","",SUMIFS($P$5:$P$1004,$N$5:$N$1004,$A401))</f>
        <v/>
      </c>
      <c r="G401" s="15" t="str">
        <f aca="false">IF($A401="","",$E401-$F401)</f>
        <v/>
      </c>
      <c r="H401" s="22" t="str">
        <f aca="false">IF($A401="","",$B401+Settings!$B$11)</f>
        <v/>
      </c>
      <c r="I401" s="19" t="str">
        <f aca="true">IF($A401="","",IF($G401&lt;=0,"Paid",IF(TODAY()&gt;$H401,"Overdue",IF($F401&gt;0,"Partial","Unpaid"))))</f>
        <v/>
      </c>
      <c r="J401" s="14" t="str">
        <f aca="true">IF($A401="","",IF(AND($G401&gt;0,TODAY()&gt;$H401),TODAY()-$H401,""))</f>
        <v/>
      </c>
      <c r="K401" s="2" t="str">
        <f aca="false">IFERROR(MATCH(ROWS($K$5:$K401),Jobs!$Q$5:$Q$504,0),"")</f>
        <v/>
      </c>
      <c r="M401" s="16"/>
      <c r="N401" s="12"/>
      <c r="O401" s="12"/>
      <c r="P401" s="13"/>
      <c r="Q401" s="19" t="str">
        <f aca="false">IF($N401="","",IFERROR(INDEX($C$5:$C$504,MATCH($N401,$A$5:$A$504,0)),"Invoice not found"))</f>
        <v/>
      </c>
    </row>
    <row r="402" customFormat="false" ht="15" hidden="false" customHeight="false" outlineLevel="0" collapsed="false">
      <c r="A402" s="19" t="str">
        <f aca="false">IF($K402="","",INDEX(Jobs!$O$5:$O$504,$K402))</f>
        <v/>
      </c>
      <c r="B402" s="22" t="str">
        <f aca="false">IF($K402="","",INDEX(Jobs!$A$5:$A$504,$K402))</f>
        <v/>
      </c>
      <c r="C402" s="19" t="str">
        <f aca="false">IF($K402="","",INDEX(Jobs!$B$5:$B$504,$K402))</f>
        <v/>
      </c>
      <c r="D402" s="19" t="str">
        <f aca="false">IF($K402="","",INDEX(Jobs!$J$5:$J$504,$K402))</f>
        <v/>
      </c>
      <c r="E402" s="15" t="str">
        <f aca="false">IF($K402="","",INDEX(Jobs!$N$5:$N$504,$K402))</f>
        <v/>
      </c>
      <c r="F402" s="15" t="str">
        <f aca="false">IF($A402="","",SUMIFS($P$5:$P$1004,$N$5:$N$1004,$A402))</f>
        <v/>
      </c>
      <c r="G402" s="15" t="str">
        <f aca="false">IF($A402="","",$E402-$F402)</f>
        <v/>
      </c>
      <c r="H402" s="22" t="str">
        <f aca="false">IF($A402="","",$B402+Settings!$B$11)</f>
        <v/>
      </c>
      <c r="I402" s="19" t="str">
        <f aca="true">IF($A402="","",IF($G402&lt;=0,"Paid",IF(TODAY()&gt;$H402,"Overdue",IF($F402&gt;0,"Partial","Unpaid"))))</f>
        <v/>
      </c>
      <c r="J402" s="14" t="str">
        <f aca="true">IF($A402="","",IF(AND($G402&gt;0,TODAY()&gt;$H402),TODAY()-$H402,""))</f>
        <v/>
      </c>
      <c r="K402" s="2" t="str">
        <f aca="false">IFERROR(MATCH(ROWS($K$5:$K402),Jobs!$Q$5:$Q$504,0),"")</f>
        <v/>
      </c>
      <c r="M402" s="16"/>
      <c r="N402" s="12"/>
      <c r="O402" s="12"/>
      <c r="P402" s="13"/>
      <c r="Q402" s="19" t="str">
        <f aca="false">IF($N402="","",IFERROR(INDEX($C$5:$C$504,MATCH($N402,$A$5:$A$504,0)),"Invoice not found"))</f>
        <v/>
      </c>
    </row>
    <row r="403" customFormat="false" ht="15" hidden="false" customHeight="false" outlineLevel="0" collapsed="false">
      <c r="A403" s="19" t="str">
        <f aca="false">IF($K403="","",INDEX(Jobs!$O$5:$O$504,$K403))</f>
        <v/>
      </c>
      <c r="B403" s="22" t="str">
        <f aca="false">IF($K403="","",INDEX(Jobs!$A$5:$A$504,$K403))</f>
        <v/>
      </c>
      <c r="C403" s="19" t="str">
        <f aca="false">IF($K403="","",INDEX(Jobs!$B$5:$B$504,$K403))</f>
        <v/>
      </c>
      <c r="D403" s="19" t="str">
        <f aca="false">IF($K403="","",INDEX(Jobs!$J$5:$J$504,$K403))</f>
        <v/>
      </c>
      <c r="E403" s="15" t="str">
        <f aca="false">IF($K403="","",INDEX(Jobs!$N$5:$N$504,$K403))</f>
        <v/>
      </c>
      <c r="F403" s="15" t="str">
        <f aca="false">IF($A403="","",SUMIFS($P$5:$P$1004,$N$5:$N$1004,$A403))</f>
        <v/>
      </c>
      <c r="G403" s="15" t="str">
        <f aca="false">IF($A403="","",$E403-$F403)</f>
        <v/>
      </c>
      <c r="H403" s="22" t="str">
        <f aca="false">IF($A403="","",$B403+Settings!$B$11)</f>
        <v/>
      </c>
      <c r="I403" s="19" t="str">
        <f aca="true">IF($A403="","",IF($G403&lt;=0,"Paid",IF(TODAY()&gt;$H403,"Overdue",IF($F403&gt;0,"Partial","Unpaid"))))</f>
        <v/>
      </c>
      <c r="J403" s="14" t="str">
        <f aca="true">IF($A403="","",IF(AND($G403&gt;0,TODAY()&gt;$H403),TODAY()-$H403,""))</f>
        <v/>
      </c>
      <c r="K403" s="2" t="str">
        <f aca="false">IFERROR(MATCH(ROWS($K$5:$K403),Jobs!$Q$5:$Q$504,0),"")</f>
        <v/>
      </c>
      <c r="M403" s="16"/>
      <c r="N403" s="12"/>
      <c r="O403" s="12"/>
      <c r="P403" s="13"/>
      <c r="Q403" s="19" t="str">
        <f aca="false">IF($N403="","",IFERROR(INDEX($C$5:$C$504,MATCH($N403,$A$5:$A$504,0)),"Invoice not found"))</f>
        <v/>
      </c>
    </row>
    <row r="404" customFormat="false" ht="15" hidden="false" customHeight="false" outlineLevel="0" collapsed="false">
      <c r="A404" s="19" t="str">
        <f aca="false">IF($K404="","",INDEX(Jobs!$O$5:$O$504,$K404))</f>
        <v/>
      </c>
      <c r="B404" s="22" t="str">
        <f aca="false">IF($K404="","",INDEX(Jobs!$A$5:$A$504,$K404))</f>
        <v/>
      </c>
      <c r="C404" s="19" t="str">
        <f aca="false">IF($K404="","",INDEX(Jobs!$B$5:$B$504,$K404))</f>
        <v/>
      </c>
      <c r="D404" s="19" t="str">
        <f aca="false">IF($K404="","",INDEX(Jobs!$J$5:$J$504,$K404))</f>
        <v/>
      </c>
      <c r="E404" s="15" t="str">
        <f aca="false">IF($K404="","",INDEX(Jobs!$N$5:$N$504,$K404))</f>
        <v/>
      </c>
      <c r="F404" s="15" t="str">
        <f aca="false">IF($A404="","",SUMIFS($P$5:$P$1004,$N$5:$N$1004,$A404))</f>
        <v/>
      </c>
      <c r="G404" s="15" t="str">
        <f aca="false">IF($A404="","",$E404-$F404)</f>
        <v/>
      </c>
      <c r="H404" s="22" t="str">
        <f aca="false">IF($A404="","",$B404+Settings!$B$11)</f>
        <v/>
      </c>
      <c r="I404" s="19" t="str">
        <f aca="true">IF($A404="","",IF($G404&lt;=0,"Paid",IF(TODAY()&gt;$H404,"Overdue",IF($F404&gt;0,"Partial","Unpaid"))))</f>
        <v/>
      </c>
      <c r="J404" s="14" t="str">
        <f aca="true">IF($A404="","",IF(AND($G404&gt;0,TODAY()&gt;$H404),TODAY()-$H404,""))</f>
        <v/>
      </c>
      <c r="K404" s="2" t="str">
        <f aca="false">IFERROR(MATCH(ROWS($K$5:$K404),Jobs!$Q$5:$Q$504,0),"")</f>
        <v/>
      </c>
      <c r="M404" s="16"/>
      <c r="N404" s="12"/>
      <c r="O404" s="12"/>
      <c r="P404" s="13"/>
      <c r="Q404" s="19" t="str">
        <f aca="false">IF($N404="","",IFERROR(INDEX($C$5:$C$504,MATCH($N404,$A$5:$A$504,0)),"Invoice not found"))</f>
        <v/>
      </c>
    </row>
    <row r="405" customFormat="false" ht="15" hidden="false" customHeight="false" outlineLevel="0" collapsed="false">
      <c r="A405" s="19" t="str">
        <f aca="false">IF($K405="","",INDEX(Jobs!$O$5:$O$504,$K405))</f>
        <v/>
      </c>
      <c r="B405" s="22" t="str">
        <f aca="false">IF($K405="","",INDEX(Jobs!$A$5:$A$504,$K405))</f>
        <v/>
      </c>
      <c r="C405" s="19" t="str">
        <f aca="false">IF($K405="","",INDEX(Jobs!$B$5:$B$504,$K405))</f>
        <v/>
      </c>
      <c r="D405" s="19" t="str">
        <f aca="false">IF($K405="","",INDEX(Jobs!$J$5:$J$504,$K405))</f>
        <v/>
      </c>
      <c r="E405" s="15" t="str">
        <f aca="false">IF($K405="","",INDEX(Jobs!$N$5:$N$504,$K405))</f>
        <v/>
      </c>
      <c r="F405" s="15" t="str">
        <f aca="false">IF($A405="","",SUMIFS($P$5:$P$1004,$N$5:$N$1004,$A405))</f>
        <v/>
      </c>
      <c r="G405" s="15" t="str">
        <f aca="false">IF($A405="","",$E405-$F405)</f>
        <v/>
      </c>
      <c r="H405" s="22" t="str">
        <f aca="false">IF($A405="","",$B405+Settings!$B$11)</f>
        <v/>
      </c>
      <c r="I405" s="19" t="str">
        <f aca="true">IF($A405="","",IF($G405&lt;=0,"Paid",IF(TODAY()&gt;$H405,"Overdue",IF($F405&gt;0,"Partial","Unpaid"))))</f>
        <v/>
      </c>
      <c r="J405" s="14" t="str">
        <f aca="true">IF($A405="","",IF(AND($G405&gt;0,TODAY()&gt;$H405),TODAY()-$H405,""))</f>
        <v/>
      </c>
      <c r="K405" s="2" t="str">
        <f aca="false">IFERROR(MATCH(ROWS($K$5:$K405),Jobs!$Q$5:$Q$504,0),"")</f>
        <v/>
      </c>
      <c r="M405" s="16"/>
      <c r="N405" s="12"/>
      <c r="O405" s="12"/>
      <c r="P405" s="13"/>
      <c r="Q405" s="19" t="str">
        <f aca="false">IF($N405="","",IFERROR(INDEX($C$5:$C$504,MATCH($N405,$A$5:$A$504,0)),"Invoice not found"))</f>
        <v/>
      </c>
    </row>
    <row r="406" customFormat="false" ht="15" hidden="false" customHeight="false" outlineLevel="0" collapsed="false">
      <c r="A406" s="19" t="str">
        <f aca="false">IF($K406="","",INDEX(Jobs!$O$5:$O$504,$K406))</f>
        <v/>
      </c>
      <c r="B406" s="22" t="str">
        <f aca="false">IF($K406="","",INDEX(Jobs!$A$5:$A$504,$K406))</f>
        <v/>
      </c>
      <c r="C406" s="19" t="str">
        <f aca="false">IF($K406="","",INDEX(Jobs!$B$5:$B$504,$K406))</f>
        <v/>
      </c>
      <c r="D406" s="19" t="str">
        <f aca="false">IF($K406="","",INDEX(Jobs!$J$5:$J$504,$K406))</f>
        <v/>
      </c>
      <c r="E406" s="15" t="str">
        <f aca="false">IF($K406="","",INDEX(Jobs!$N$5:$N$504,$K406))</f>
        <v/>
      </c>
      <c r="F406" s="15" t="str">
        <f aca="false">IF($A406="","",SUMIFS($P$5:$P$1004,$N$5:$N$1004,$A406))</f>
        <v/>
      </c>
      <c r="G406" s="15" t="str">
        <f aca="false">IF($A406="","",$E406-$F406)</f>
        <v/>
      </c>
      <c r="H406" s="22" t="str">
        <f aca="false">IF($A406="","",$B406+Settings!$B$11)</f>
        <v/>
      </c>
      <c r="I406" s="19" t="str">
        <f aca="true">IF($A406="","",IF($G406&lt;=0,"Paid",IF(TODAY()&gt;$H406,"Overdue",IF($F406&gt;0,"Partial","Unpaid"))))</f>
        <v/>
      </c>
      <c r="J406" s="14" t="str">
        <f aca="true">IF($A406="","",IF(AND($G406&gt;0,TODAY()&gt;$H406),TODAY()-$H406,""))</f>
        <v/>
      </c>
      <c r="K406" s="2" t="str">
        <f aca="false">IFERROR(MATCH(ROWS($K$5:$K406),Jobs!$Q$5:$Q$504,0),"")</f>
        <v/>
      </c>
      <c r="M406" s="16"/>
      <c r="N406" s="12"/>
      <c r="O406" s="12"/>
      <c r="P406" s="13"/>
      <c r="Q406" s="19" t="str">
        <f aca="false">IF($N406="","",IFERROR(INDEX($C$5:$C$504,MATCH($N406,$A$5:$A$504,0)),"Invoice not found"))</f>
        <v/>
      </c>
    </row>
    <row r="407" customFormat="false" ht="15" hidden="false" customHeight="false" outlineLevel="0" collapsed="false">
      <c r="A407" s="19" t="str">
        <f aca="false">IF($K407="","",INDEX(Jobs!$O$5:$O$504,$K407))</f>
        <v/>
      </c>
      <c r="B407" s="22" t="str">
        <f aca="false">IF($K407="","",INDEX(Jobs!$A$5:$A$504,$K407))</f>
        <v/>
      </c>
      <c r="C407" s="19" t="str">
        <f aca="false">IF($K407="","",INDEX(Jobs!$B$5:$B$504,$K407))</f>
        <v/>
      </c>
      <c r="D407" s="19" t="str">
        <f aca="false">IF($K407="","",INDEX(Jobs!$J$5:$J$504,$K407))</f>
        <v/>
      </c>
      <c r="E407" s="15" t="str">
        <f aca="false">IF($K407="","",INDEX(Jobs!$N$5:$N$504,$K407))</f>
        <v/>
      </c>
      <c r="F407" s="15" t="str">
        <f aca="false">IF($A407="","",SUMIFS($P$5:$P$1004,$N$5:$N$1004,$A407))</f>
        <v/>
      </c>
      <c r="G407" s="15" t="str">
        <f aca="false">IF($A407="","",$E407-$F407)</f>
        <v/>
      </c>
      <c r="H407" s="22" t="str">
        <f aca="false">IF($A407="","",$B407+Settings!$B$11)</f>
        <v/>
      </c>
      <c r="I407" s="19" t="str">
        <f aca="true">IF($A407="","",IF($G407&lt;=0,"Paid",IF(TODAY()&gt;$H407,"Overdue",IF($F407&gt;0,"Partial","Unpaid"))))</f>
        <v/>
      </c>
      <c r="J407" s="14" t="str">
        <f aca="true">IF($A407="","",IF(AND($G407&gt;0,TODAY()&gt;$H407),TODAY()-$H407,""))</f>
        <v/>
      </c>
      <c r="K407" s="2" t="str">
        <f aca="false">IFERROR(MATCH(ROWS($K$5:$K407),Jobs!$Q$5:$Q$504,0),"")</f>
        <v/>
      </c>
      <c r="M407" s="16"/>
      <c r="N407" s="12"/>
      <c r="O407" s="12"/>
      <c r="P407" s="13"/>
      <c r="Q407" s="19" t="str">
        <f aca="false">IF($N407="","",IFERROR(INDEX($C$5:$C$504,MATCH($N407,$A$5:$A$504,0)),"Invoice not found"))</f>
        <v/>
      </c>
    </row>
    <row r="408" customFormat="false" ht="15" hidden="false" customHeight="false" outlineLevel="0" collapsed="false">
      <c r="A408" s="19" t="str">
        <f aca="false">IF($K408="","",INDEX(Jobs!$O$5:$O$504,$K408))</f>
        <v/>
      </c>
      <c r="B408" s="22" t="str">
        <f aca="false">IF($K408="","",INDEX(Jobs!$A$5:$A$504,$K408))</f>
        <v/>
      </c>
      <c r="C408" s="19" t="str">
        <f aca="false">IF($K408="","",INDEX(Jobs!$B$5:$B$504,$K408))</f>
        <v/>
      </c>
      <c r="D408" s="19" t="str">
        <f aca="false">IF($K408="","",INDEX(Jobs!$J$5:$J$504,$K408))</f>
        <v/>
      </c>
      <c r="E408" s="15" t="str">
        <f aca="false">IF($K408="","",INDEX(Jobs!$N$5:$N$504,$K408))</f>
        <v/>
      </c>
      <c r="F408" s="15" t="str">
        <f aca="false">IF($A408="","",SUMIFS($P$5:$P$1004,$N$5:$N$1004,$A408))</f>
        <v/>
      </c>
      <c r="G408" s="15" t="str">
        <f aca="false">IF($A408="","",$E408-$F408)</f>
        <v/>
      </c>
      <c r="H408" s="22" t="str">
        <f aca="false">IF($A408="","",$B408+Settings!$B$11)</f>
        <v/>
      </c>
      <c r="I408" s="19" t="str">
        <f aca="true">IF($A408="","",IF($G408&lt;=0,"Paid",IF(TODAY()&gt;$H408,"Overdue",IF($F408&gt;0,"Partial","Unpaid"))))</f>
        <v/>
      </c>
      <c r="J408" s="14" t="str">
        <f aca="true">IF($A408="","",IF(AND($G408&gt;0,TODAY()&gt;$H408),TODAY()-$H408,""))</f>
        <v/>
      </c>
      <c r="K408" s="2" t="str">
        <f aca="false">IFERROR(MATCH(ROWS($K$5:$K408),Jobs!$Q$5:$Q$504,0),"")</f>
        <v/>
      </c>
      <c r="M408" s="16"/>
      <c r="N408" s="12"/>
      <c r="O408" s="12"/>
      <c r="P408" s="13"/>
      <c r="Q408" s="19" t="str">
        <f aca="false">IF($N408="","",IFERROR(INDEX($C$5:$C$504,MATCH($N408,$A$5:$A$504,0)),"Invoice not found"))</f>
        <v/>
      </c>
    </row>
    <row r="409" customFormat="false" ht="15" hidden="false" customHeight="false" outlineLevel="0" collapsed="false">
      <c r="A409" s="19" t="str">
        <f aca="false">IF($K409="","",INDEX(Jobs!$O$5:$O$504,$K409))</f>
        <v/>
      </c>
      <c r="B409" s="22" t="str">
        <f aca="false">IF($K409="","",INDEX(Jobs!$A$5:$A$504,$K409))</f>
        <v/>
      </c>
      <c r="C409" s="19" t="str">
        <f aca="false">IF($K409="","",INDEX(Jobs!$B$5:$B$504,$K409))</f>
        <v/>
      </c>
      <c r="D409" s="19" t="str">
        <f aca="false">IF($K409="","",INDEX(Jobs!$J$5:$J$504,$K409))</f>
        <v/>
      </c>
      <c r="E409" s="15" t="str">
        <f aca="false">IF($K409="","",INDEX(Jobs!$N$5:$N$504,$K409))</f>
        <v/>
      </c>
      <c r="F409" s="15" t="str">
        <f aca="false">IF($A409="","",SUMIFS($P$5:$P$1004,$N$5:$N$1004,$A409))</f>
        <v/>
      </c>
      <c r="G409" s="15" t="str">
        <f aca="false">IF($A409="","",$E409-$F409)</f>
        <v/>
      </c>
      <c r="H409" s="22" t="str">
        <f aca="false">IF($A409="","",$B409+Settings!$B$11)</f>
        <v/>
      </c>
      <c r="I409" s="19" t="str">
        <f aca="true">IF($A409="","",IF($G409&lt;=0,"Paid",IF(TODAY()&gt;$H409,"Overdue",IF($F409&gt;0,"Partial","Unpaid"))))</f>
        <v/>
      </c>
      <c r="J409" s="14" t="str">
        <f aca="true">IF($A409="","",IF(AND($G409&gt;0,TODAY()&gt;$H409),TODAY()-$H409,""))</f>
        <v/>
      </c>
      <c r="K409" s="2" t="str">
        <f aca="false">IFERROR(MATCH(ROWS($K$5:$K409),Jobs!$Q$5:$Q$504,0),"")</f>
        <v/>
      </c>
      <c r="M409" s="16"/>
      <c r="N409" s="12"/>
      <c r="O409" s="12"/>
      <c r="P409" s="13"/>
      <c r="Q409" s="19" t="str">
        <f aca="false">IF($N409="","",IFERROR(INDEX($C$5:$C$504,MATCH($N409,$A$5:$A$504,0)),"Invoice not found"))</f>
        <v/>
      </c>
    </row>
    <row r="410" customFormat="false" ht="15" hidden="false" customHeight="false" outlineLevel="0" collapsed="false">
      <c r="A410" s="19" t="str">
        <f aca="false">IF($K410="","",INDEX(Jobs!$O$5:$O$504,$K410))</f>
        <v/>
      </c>
      <c r="B410" s="22" t="str">
        <f aca="false">IF($K410="","",INDEX(Jobs!$A$5:$A$504,$K410))</f>
        <v/>
      </c>
      <c r="C410" s="19" t="str">
        <f aca="false">IF($K410="","",INDEX(Jobs!$B$5:$B$504,$K410))</f>
        <v/>
      </c>
      <c r="D410" s="19" t="str">
        <f aca="false">IF($K410="","",INDEX(Jobs!$J$5:$J$504,$K410))</f>
        <v/>
      </c>
      <c r="E410" s="15" t="str">
        <f aca="false">IF($K410="","",INDEX(Jobs!$N$5:$N$504,$K410))</f>
        <v/>
      </c>
      <c r="F410" s="15" t="str">
        <f aca="false">IF($A410="","",SUMIFS($P$5:$P$1004,$N$5:$N$1004,$A410))</f>
        <v/>
      </c>
      <c r="G410" s="15" t="str">
        <f aca="false">IF($A410="","",$E410-$F410)</f>
        <v/>
      </c>
      <c r="H410" s="22" t="str">
        <f aca="false">IF($A410="","",$B410+Settings!$B$11)</f>
        <v/>
      </c>
      <c r="I410" s="19" t="str">
        <f aca="true">IF($A410="","",IF($G410&lt;=0,"Paid",IF(TODAY()&gt;$H410,"Overdue",IF($F410&gt;0,"Partial","Unpaid"))))</f>
        <v/>
      </c>
      <c r="J410" s="14" t="str">
        <f aca="true">IF($A410="","",IF(AND($G410&gt;0,TODAY()&gt;$H410),TODAY()-$H410,""))</f>
        <v/>
      </c>
      <c r="K410" s="2" t="str">
        <f aca="false">IFERROR(MATCH(ROWS($K$5:$K410),Jobs!$Q$5:$Q$504,0),"")</f>
        <v/>
      </c>
      <c r="M410" s="16"/>
      <c r="N410" s="12"/>
      <c r="O410" s="12"/>
      <c r="P410" s="13"/>
      <c r="Q410" s="19" t="str">
        <f aca="false">IF($N410="","",IFERROR(INDEX($C$5:$C$504,MATCH($N410,$A$5:$A$504,0)),"Invoice not found"))</f>
        <v/>
      </c>
    </row>
    <row r="411" customFormat="false" ht="15" hidden="false" customHeight="false" outlineLevel="0" collapsed="false">
      <c r="A411" s="19" t="str">
        <f aca="false">IF($K411="","",INDEX(Jobs!$O$5:$O$504,$K411))</f>
        <v/>
      </c>
      <c r="B411" s="22" t="str">
        <f aca="false">IF($K411="","",INDEX(Jobs!$A$5:$A$504,$K411))</f>
        <v/>
      </c>
      <c r="C411" s="19" t="str">
        <f aca="false">IF($K411="","",INDEX(Jobs!$B$5:$B$504,$K411))</f>
        <v/>
      </c>
      <c r="D411" s="19" t="str">
        <f aca="false">IF($K411="","",INDEX(Jobs!$J$5:$J$504,$K411))</f>
        <v/>
      </c>
      <c r="E411" s="15" t="str">
        <f aca="false">IF($K411="","",INDEX(Jobs!$N$5:$N$504,$K411))</f>
        <v/>
      </c>
      <c r="F411" s="15" t="str">
        <f aca="false">IF($A411="","",SUMIFS($P$5:$P$1004,$N$5:$N$1004,$A411))</f>
        <v/>
      </c>
      <c r="G411" s="15" t="str">
        <f aca="false">IF($A411="","",$E411-$F411)</f>
        <v/>
      </c>
      <c r="H411" s="22" t="str">
        <f aca="false">IF($A411="","",$B411+Settings!$B$11)</f>
        <v/>
      </c>
      <c r="I411" s="19" t="str">
        <f aca="true">IF($A411="","",IF($G411&lt;=0,"Paid",IF(TODAY()&gt;$H411,"Overdue",IF($F411&gt;0,"Partial","Unpaid"))))</f>
        <v/>
      </c>
      <c r="J411" s="14" t="str">
        <f aca="true">IF($A411="","",IF(AND($G411&gt;0,TODAY()&gt;$H411),TODAY()-$H411,""))</f>
        <v/>
      </c>
      <c r="K411" s="2" t="str">
        <f aca="false">IFERROR(MATCH(ROWS($K$5:$K411),Jobs!$Q$5:$Q$504,0),"")</f>
        <v/>
      </c>
      <c r="M411" s="16"/>
      <c r="N411" s="12"/>
      <c r="O411" s="12"/>
      <c r="P411" s="13"/>
      <c r="Q411" s="19" t="str">
        <f aca="false">IF($N411="","",IFERROR(INDEX($C$5:$C$504,MATCH($N411,$A$5:$A$504,0)),"Invoice not found"))</f>
        <v/>
      </c>
    </row>
    <row r="412" customFormat="false" ht="15" hidden="false" customHeight="false" outlineLevel="0" collapsed="false">
      <c r="A412" s="19" t="str">
        <f aca="false">IF($K412="","",INDEX(Jobs!$O$5:$O$504,$K412))</f>
        <v/>
      </c>
      <c r="B412" s="22" t="str">
        <f aca="false">IF($K412="","",INDEX(Jobs!$A$5:$A$504,$K412))</f>
        <v/>
      </c>
      <c r="C412" s="19" t="str">
        <f aca="false">IF($K412="","",INDEX(Jobs!$B$5:$B$504,$K412))</f>
        <v/>
      </c>
      <c r="D412" s="19" t="str">
        <f aca="false">IF($K412="","",INDEX(Jobs!$J$5:$J$504,$K412))</f>
        <v/>
      </c>
      <c r="E412" s="15" t="str">
        <f aca="false">IF($K412="","",INDEX(Jobs!$N$5:$N$504,$K412))</f>
        <v/>
      </c>
      <c r="F412" s="15" t="str">
        <f aca="false">IF($A412="","",SUMIFS($P$5:$P$1004,$N$5:$N$1004,$A412))</f>
        <v/>
      </c>
      <c r="G412" s="15" t="str">
        <f aca="false">IF($A412="","",$E412-$F412)</f>
        <v/>
      </c>
      <c r="H412" s="22" t="str">
        <f aca="false">IF($A412="","",$B412+Settings!$B$11)</f>
        <v/>
      </c>
      <c r="I412" s="19" t="str">
        <f aca="true">IF($A412="","",IF($G412&lt;=0,"Paid",IF(TODAY()&gt;$H412,"Overdue",IF($F412&gt;0,"Partial","Unpaid"))))</f>
        <v/>
      </c>
      <c r="J412" s="14" t="str">
        <f aca="true">IF($A412="","",IF(AND($G412&gt;0,TODAY()&gt;$H412),TODAY()-$H412,""))</f>
        <v/>
      </c>
      <c r="K412" s="2" t="str">
        <f aca="false">IFERROR(MATCH(ROWS($K$5:$K412),Jobs!$Q$5:$Q$504,0),"")</f>
        <v/>
      </c>
      <c r="M412" s="16"/>
      <c r="N412" s="12"/>
      <c r="O412" s="12"/>
      <c r="P412" s="13"/>
      <c r="Q412" s="19" t="str">
        <f aca="false">IF($N412="","",IFERROR(INDEX($C$5:$C$504,MATCH($N412,$A$5:$A$504,0)),"Invoice not found"))</f>
        <v/>
      </c>
    </row>
    <row r="413" customFormat="false" ht="15" hidden="false" customHeight="false" outlineLevel="0" collapsed="false">
      <c r="A413" s="19" t="str">
        <f aca="false">IF($K413="","",INDEX(Jobs!$O$5:$O$504,$K413))</f>
        <v/>
      </c>
      <c r="B413" s="22" t="str">
        <f aca="false">IF($K413="","",INDEX(Jobs!$A$5:$A$504,$K413))</f>
        <v/>
      </c>
      <c r="C413" s="19" t="str">
        <f aca="false">IF($K413="","",INDEX(Jobs!$B$5:$B$504,$K413))</f>
        <v/>
      </c>
      <c r="D413" s="19" t="str">
        <f aca="false">IF($K413="","",INDEX(Jobs!$J$5:$J$504,$K413))</f>
        <v/>
      </c>
      <c r="E413" s="15" t="str">
        <f aca="false">IF($K413="","",INDEX(Jobs!$N$5:$N$504,$K413))</f>
        <v/>
      </c>
      <c r="F413" s="15" t="str">
        <f aca="false">IF($A413="","",SUMIFS($P$5:$P$1004,$N$5:$N$1004,$A413))</f>
        <v/>
      </c>
      <c r="G413" s="15" t="str">
        <f aca="false">IF($A413="","",$E413-$F413)</f>
        <v/>
      </c>
      <c r="H413" s="22" t="str">
        <f aca="false">IF($A413="","",$B413+Settings!$B$11)</f>
        <v/>
      </c>
      <c r="I413" s="19" t="str">
        <f aca="true">IF($A413="","",IF($G413&lt;=0,"Paid",IF(TODAY()&gt;$H413,"Overdue",IF($F413&gt;0,"Partial","Unpaid"))))</f>
        <v/>
      </c>
      <c r="J413" s="14" t="str">
        <f aca="true">IF($A413="","",IF(AND($G413&gt;0,TODAY()&gt;$H413),TODAY()-$H413,""))</f>
        <v/>
      </c>
      <c r="K413" s="2" t="str">
        <f aca="false">IFERROR(MATCH(ROWS($K$5:$K413),Jobs!$Q$5:$Q$504,0),"")</f>
        <v/>
      </c>
      <c r="M413" s="16"/>
      <c r="N413" s="12"/>
      <c r="O413" s="12"/>
      <c r="P413" s="13"/>
      <c r="Q413" s="19" t="str">
        <f aca="false">IF($N413="","",IFERROR(INDEX($C$5:$C$504,MATCH($N413,$A$5:$A$504,0)),"Invoice not found"))</f>
        <v/>
      </c>
    </row>
    <row r="414" customFormat="false" ht="15" hidden="false" customHeight="false" outlineLevel="0" collapsed="false">
      <c r="A414" s="19" t="str">
        <f aca="false">IF($K414="","",INDEX(Jobs!$O$5:$O$504,$K414))</f>
        <v/>
      </c>
      <c r="B414" s="22" t="str">
        <f aca="false">IF($K414="","",INDEX(Jobs!$A$5:$A$504,$K414))</f>
        <v/>
      </c>
      <c r="C414" s="19" t="str">
        <f aca="false">IF($K414="","",INDEX(Jobs!$B$5:$B$504,$K414))</f>
        <v/>
      </c>
      <c r="D414" s="19" t="str">
        <f aca="false">IF($K414="","",INDEX(Jobs!$J$5:$J$504,$K414))</f>
        <v/>
      </c>
      <c r="E414" s="15" t="str">
        <f aca="false">IF($K414="","",INDEX(Jobs!$N$5:$N$504,$K414))</f>
        <v/>
      </c>
      <c r="F414" s="15" t="str">
        <f aca="false">IF($A414="","",SUMIFS($P$5:$P$1004,$N$5:$N$1004,$A414))</f>
        <v/>
      </c>
      <c r="G414" s="15" t="str">
        <f aca="false">IF($A414="","",$E414-$F414)</f>
        <v/>
      </c>
      <c r="H414" s="22" t="str">
        <f aca="false">IF($A414="","",$B414+Settings!$B$11)</f>
        <v/>
      </c>
      <c r="I414" s="19" t="str">
        <f aca="true">IF($A414="","",IF($G414&lt;=0,"Paid",IF(TODAY()&gt;$H414,"Overdue",IF($F414&gt;0,"Partial","Unpaid"))))</f>
        <v/>
      </c>
      <c r="J414" s="14" t="str">
        <f aca="true">IF($A414="","",IF(AND($G414&gt;0,TODAY()&gt;$H414),TODAY()-$H414,""))</f>
        <v/>
      </c>
      <c r="K414" s="2" t="str">
        <f aca="false">IFERROR(MATCH(ROWS($K$5:$K414),Jobs!$Q$5:$Q$504,0),"")</f>
        <v/>
      </c>
      <c r="M414" s="16"/>
      <c r="N414" s="12"/>
      <c r="O414" s="12"/>
      <c r="P414" s="13"/>
      <c r="Q414" s="19" t="str">
        <f aca="false">IF($N414="","",IFERROR(INDEX($C$5:$C$504,MATCH($N414,$A$5:$A$504,0)),"Invoice not found"))</f>
        <v/>
      </c>
    </row>
    <row r="415" customFormat="false" ht="15" hidden="false" customHeight="false" outlineLevel="0" collapsed="false">
      <c r="A415" s="19" t="str">
        <f aca="false">IF($K415="","",INDEX(Jobs!$O$5:$O$504,$K415))</f>
        <v/>
      </c>
      <c r="B415" s="22" t="str">
        <f aca="false">IF($K415="","",INDEX(Jobs!$A$5:$A$504,$K415))</f>
        <v/>
      </c>
      <c r="C415" s="19" t="str">
        <f aca="false">IF($K415="","",INDEX(Jobs!$B$5:$B$504,$K415))</f>
        <v/>
      </c>
      <c r="D415" s="19" t="str">
        <f aca="false">IF($K415="","",INDEX(Jobs!$J$5:$J$504,$K415))</f>
        <v/>
      </c>
      <c r="E415" s="15" t="str">
        <f aca="false">IF($K415="","",INDEX(Jobs!$N$5:$N$504,$K415))</f>
        <v/>
      </c>
      <c r="F415" s="15" t="str">
        <f aca="false">IF($A415="","",SUMIFS($P$5:$P$1004,$N$5:$N$1004,$A415))</f>
        <v/>
      </c>
      <c r="G415" s="15" t="str">
        <f aca="false">IF($A415="","",$E415-$F415)</f>
        <v/>
      </c>
      <c r="H415" s="22" t="str">
        <f aca="false">IF($A415="","",$B415+Settings!$B$11)</f>
        <v/>
      </c>
      <c r="I415" s="19" t="str">
        <f aca="true">IF($A415="","",IF($G415&lt;=0,"Paid",IF(TODAY()&gt;$H415,"Overdue",IF($F415&gt;0,"Partial","Unpaid"))))</f>
        <v/>
      </c>
      <c r="J415" s="14" t="str">
        <f aca="true">IF($A415="","",IF(AND($G415&gt;0,TODAY()&gt;$H415),TODAY()-$H415,""))</f>
        <v/>
      </c>
      <c r="K415" s="2" t="str">
        <f aca="false">IFERROR(MATCH(ROWS($K$5:$K415),Jobs!$Q$5:$Q$504,0),"")</f>
        <v/>
      </c>
      <c r="M415" s="16"/>
      <c r="N415" s="12"/>
      <c r="O415" s="12"/>
      <c r="P415" s="13"/>
      <c r="Q415" s="19" t="str">
        <f aca="false">IF($N415="","",IFERROR(INDEX($C$5:$C$504,MATCH($N415,$A$5:$A$504,0)),"Invoice not found"))</f>
        <v/>
      </c>
    </row>
    <row r="416" customFormat="false" ht="15" hidden="false" customHeight="false" outlineLevel="0" collapsed="false">
      <c r="A416" s="19" t="str">
        <f aca="false">IF($K416="","",INDEX(Jobs!$O$5:$O$504,$K416))</f>
        <v/>
      </c>
      <c r="B416" s="22" t="str">
        <f aca="false">IF($K416="","",INDEX(Jobs!$A$5:$A$504,$K416))</f>
        <v/>
      </c>
      <c r="C416" s="19" t="str">
        <f aca="false">IF($K416="","",INDEX(Jobs!$B$5:$B$504,$K416))</f>
        <v/>
      </c>
      <c r="D416" s="19" t="str">
        <f aca="false">IF($K416="","",INDEX(Jobs!$J$5:$J$504,$K416))</f>
        <v/>
      </c>
      <c r="E416" s="15" t="str">
        <f aca="false">IF($K416="","",INDEX(Jobs!$N$5:$N$504,$K416))</f>
        <v/>
      </c>
      <c r="F416" s="15" t="str">
        <f aca="false">IF($A416="","",SUMIFS($P$5:$P$1004,$N$5:$N$1004,$A416))</f>
        <v/>
      </c>
      <c r="G416" s="15" t="str">
        <f aca="false">IF($A416="","",$E416-$F416)</f>
        <v/>
      </c>
      <c r="H416" s="22" t="str">
        <f aca="false">IF($A416="","",$B416+Settings!$B$11)</f>
        <v/>
      </c>
      <c r="I416" s="19" t="str">
        <f aca="true">IF($A416="","",IF($G416&lt;=0,"Paid",IF(TODAY()&gt;$H416,"Overdue",IF($F416&gt;0,"Partial","Unpaid"))))</f>
        <v/>
      </c>
      <c r="J416" s="14" t="str">
        <f aca="true">IF($A416="","",IF(AND($G416&gt;0,TODAY()&gt;$H416),TODAY()-$H416,""))</f>
        <v/>
      </c>
      <c r="K416" s="2" t="str">
        <f aca="false">IFERROR(MATCH(ROWS($K$5:$K416),Jobs!$Q$5:$Q$504,0),"")</f>
        <v/>
      </c>
      <c r="M416" s="16"/>
      <c r="N416" s="12"/>
      <c r="O416" s="12"/>
      <c r="P416" s="13"/>
      <c r="Q416" s="19" t="str">
        <f aca="false">IF($N416="","",IFERROR(INDEX($C$5:$C$504,MATCH($N416,$A$5:$A$504,0)),"Invoice not found"))</f>
        <v/>
      </c>
    </row>
    <row r="417" customFormat="false" ht="15" hidden="false" customHeight="false" outlineLevel="0" collapsed="false">
      <c r="A417" s="19" t="str">
        <f aca="false">IF($K417="","",INDEX(Jobs!$O$5:$O$504,$K417))</f>
        <v/>
      </c>
      <c r="B417" s="22" t="str">
        <f aca="false">IF($K417="","",INDEX(Jobs!$A$5:$A$504,$K417))</f>
        <v/>
      </c>
      <c r="C417" s="19" t="str">
        <f aca="false">IF($K417="","",INDEX(Jobs!$B$5:$B$504,$K417))</f>
        <v/>
      </c>
      <c r="D417" s="19" t="str">
        <f aca="false">IF($K417="","",INDEX(Jobs!$J$5:$J$504,$K417))</f>
        <v/>
      </c>
      <c r="E417" s="15" t="str">
        <f aca="false">IF($K417="","",INDEX(Jobs!$N$5:$N$504,$K417))</f>
        <v/>
      </c>
      <c r="F417" s="15" t="str">
        <f aca="false">IF($A417="","",SUMIFS($P$5:$P$1004,$N$5:$N$1004,$A417))</f>
        <v/>
      </c>
      <c r="G417" s="15" t="str">
        <f aca="false">IF($A417="","",$E417-$F417)</f>
        <v/>
      </c>
      <c r="H417" s="22" t="str">
        <f aca="false">IF($A417="","",$B417+Settings!$B$11)</f>
        <v/>
      </c>
      <c r="I417" s="19" t="str">
        <f aca="true">IF($A417="","",IF($G417&lt;=0,"Paid",IF(TODAY()&gt;$H417,"Overdue",IF($F417&gt;0,"Partial","Unpaid"))))</f>
        <v/>
      </c>
      <c r="J417" s="14" t="str">
        <f aca="true">IF($A417="","",IF(AND($G417&gt;0,TODAY()&gt;$H417),TODAY()-$H417,""))</f>
        <v/>
      </c>
      <c r="K417" s="2" t="str">
        <f aca="false">IFERROR(MATCH(ROWS($K$5:$K417),Jobs!$Q$5:$Q$504,0),"")</f>
        <v/>
      </c>
      <c r="M417" s="16"/>
      <c r="N417" s="12"/>
      <c r="O417" s="12"/>
      <c r="P417" s="13"/>
      <c r="Q417" s="19" t="str">
        <f aca="false">IF($N417="","",IFERROR(INDEX($C$5:$C$504,MATCH($N417,$A$5:$A$504,0)),"Invoice not found"))</f>
        <v/>
      </c>
    </row>
    <row r="418" customFormat="false" ht="15" hidden="false" customHeight="false" outlineLevel="0" collapsed="false">
      <c r="A418" s="19" t="str">
        <f aca="false">IF($K418="","",INDEX(Jobs!$O$5:$O$504,$K418))</f>
        <v/>
      </c>
      <c r="B418" s="22" t="str">
        <f aca="false">IF($K418="","",INDEX(Jobs!$A$5:$A$504,$K418))</f>
        <v/>
      </c>
      <c r="C418" s="19" t="str">
        <f aca="false">IF($K418="","",INDEX(Jobs!$B$5:$B$504,$K418))</f>
        <v/>
      </c>
      <c r="D418" s="19" t="str">
        <f aca="false">IF($K418="","",INDEX(Jobs!$J$5:$J$504,$K418))</f>
        <v/>
      </c>
      <c r="E418" s="15" t="str">
        <f aca="false">IF($K418="","",INDEX(Jobs!$N$5:$N$504,$K418))</f>
        <v/>
      </c>
      <c r="F418" s="15" t="str">
        <f aca="false">IF($A418="","",SUMIFS($P$5:$P$1004,$N$5:$N$1004,$A418))</f>
        <v/>
      </c>
      <c r="G418" s="15" t="str">
        <f aca="false">IF($A418="","",$E418-$F418)</f>
        <v/>
      </c>
      <c r="H418" s="22" t="str">
        <f aca="false">IF($A418="","",$B418+Settings!$B$11)</f>
        <v/>
      </c>
      <c r="I418" s="19" t="str">
        <f aca="true">IF($A418="","",IF($G418&lt;=0,"Paid",IF(TODAY()&gt;$H418,"Overdue",IF($F418&gt;0,"Partial","Unpaid"))))</f>
        <v/>
      </c>
      <c r="J418" s="14" t="str">
        <f aca="true">IF($A418="","",IF(AND($G418&gt;0,TODAY()&gt;$H418),TODAY()-$H418,""))</f>
        <v/>
      </c>
      <c r="K418" s="2" t="str">
        <f aca="false">IFERROR(MATCH(ROWS($K$5:$K418),Jobs!$Q$5:$Q$504,0),"")</f>
        <v/>
      </c>
      <c r="M418" s="16"/>
      <c r="N418" s="12"/>
      <c r="O418" s="12"/>
      <c r="P418" s="13"/>
      <c r="Q418" s="19" t="str">
        <f aca="false">IF($N418="","",IFERROR(INDEX($C$5:$C$504,MATCH($N418,$A$5:$A$504,0)),"Invoice not found"))</f>
        <v/>
      </c>
    </row>
    <row r="419" customFormat="false" ht="15" hidden="false" customHeight="false" outlineLevel="0" collapsed="false">
      <c r="A419" s="19" t="str">
        <f aca="false">IF($K419="","",INDEX(Jobs!$O$5:$O$504,$K419))</f>
        <v/>
      </c>
      <c r="B419" s="22" t="str">
        <f aca="false">IF($K419="","",INDEX(Jobs!$A$5:$A$504,$K419))</f>
        <v/>
      </c>
      <c r="C419" s="19" t="str">
        <f aca="false">IF($K419="","",INDEX(Jobs!$B$5:$B$504,$K419))</f>
        <v/>
      </c>
      <c r="D419" s="19" t="str">
        <f aca="false">IF($K419="","",INDEX(Jobs!$J$5:$J$504,$K419))</f>
        <v/>
      </c>
      <c r="E419" s="15" t="str">
        <f aca="false">IF($K419="","",INDEX(Jobs!$N$5:$N$504,$K419))</f>
        <v/>
      </c>
      <c r="F419" s="15" t="str">
        <f aca="false">IF($A419="","",SUMIFS($P$5:$P$1004,$N$5:$N$1004,$A419))</f>
        <v/>
      </c>
      <c r="G419" s="15" t="str">
        <f aca="false">IF($A419="","",$E419-$F419)</f>
        <v/>
      </c>
      <c r="H419" s="22" t="str">
        <f aca="false">IF($A419="","",$B419+Settings!$B$11)</f>
        <v/>
      </c>
      <c r="I419" s="19" t="str">
        <f aca="true">IF($A419="","",IF($G419&lt;=0,"Paid",IF(TODAY()&gt;$H419,"Overdue",IF($F419&gt;0,"Partial","Unpaid"))))</f>
        <v/>
      </c>
      <c r="J419" s="14" t="str">
        <f aca="true">IF($A419="","",IF(AND($G419&gt;0,TODAY()&gt;$H419),TODAY()-$H419,""))</f>
        <v/>
      </c>
      <c r="K419" s="2" t="str">
        <f aca="false">IFERROR(MATCH(ROWS($K$5:$K419),Jobs!$Q$5:$Q$504,0),"")</f>
        <v/>
      </c>
      <c r="M419" s="16"/>
      <c r="N419" s="12"/>
      <c r="O419" s="12"/>
      <c r="P419" s="13"/>
      <c r="Q419" s="19" t="str">
        <f aca="false">IF($N419="","",IFERROR(INDEX($C$5:$C$504,MATCH($N419,$A$5:$A$504,0)),"Invoice not found"))</f>
        <v/>
      </c>
    </row>
    <row r="420" customFormat="false" ht="15" hidden="false" customHeight="false" outlineLevel="0" collapsed="false">
      <c r="A420" s="19" t="str">
        <f aca="false">IF($K420="","",INDEX(Jobs!$O$5:$O$504,$K420))</f>
        <v/>
      </c>
      <c r="B420" s="22" t="str">
        <f aca="false">IF($K420="","",INDEX(Jobs!$A$5:$A$504,$K420))</f>
        <v/>
      </c>
      <c r="C420" s="19" t="str">
        <f aca="false">IF($K420="","",INDEX(Jobs!$B$5:$B$504,$K420))</f>
        <v/>
      </c>
      <c r="D420" s="19" t="str">
        <f aca="false">IF($K420="","",INDEX(Jobs!$J$5:$J$504,$K420))</f>
        <v/>
      </c>
      <c r="E420" s="15" t="str">
        <f aca="false">IF($K420="","",INDEX(Jobs!$N$5:$N$504,$K420))</f>
        <v/>
      </c>
      <c r="F420" s="15" t="str">
        <f aca="false">IF($A420="","",SUMIFS($P$5:$P$1004,$N$5:$N$1004,$A420))</f>
        <v/>
      </c>
      <c r="G420" s="15" t="str">
        <f aca="false">IF($A420="","",$E420-$F420)</f>
        <v/>
      </c>
      <c r="H420" s="22" t="str">
        <f aca="false">IF($A420="","",$B420+Settings!$B$11)</f>
        <v/>
      </c>
      <c r="I420" s="19" t="str">
        <f aca="true">IF($A420="","",IF($G420&lt;=0,"Paid",IF(TODAY()&gt;$H420,"Overdue",IF($F420&gt;0,"Partial","Unpaid"))))</f>
        <v/>
      </c>
      <c r="J420" s="14" t="str">
        <f aca="true">IF($A420="","",IF(AND($G420&gt;0,TODAY()&gt;$H420),TODAY()-$H420,""))</f>
        <v/>
      </c>
      <c r="K420" s="2" t="str">
        <f aca="false">IFERROR(MATCH(ROWS($K$5:$K420),Jobs!$Q$5:$Q$504,0),"")</f>
        <v/>
      </c>
      <c r="M420" s="16"/>
      <c r="N420" s="12"/>
      <c r="O420" s="12"/>
      <c r="P420" s="13"/>
      <c r="Q420" s="19" t="str">
        <f aca="false">IF($N420="","",IFERROR(INDEX($C$5:$C$504,MATCH($N420,$A$5:$A$504,0)),"Invoice not found"))</f>
        <v/>
      </c>
    </row>
    <row r="421" customFormat="false" ht="15" hidden="false" customHeight="false" outlineLevel="0" collapsed="false">
      <c r="A421" s="19" t="str">
        <f aca="false">IF($K421="","",INDEX(Jobs!$O$5:$O$504,$K421))</f>
        <v/>
      </c>
      <c r="B421" s="22" t="str">
        <f aca="false">IF($K421="","",INDEX(Jobs!$A$5:$A$504,$K421))</f>
        <v/>
      </c>
      <c r="C421" s="19" t="str">
        <f aca="false">IF($K421="","",INDEX(Jobs!$B$5:$B$504,$K421))</f>
        <v/>
      </c>
      <c r="D421" s="19" t="str">
        <f aca="false">IF($K421="","",INDEX(Jobs!$J$5:$J$504,$K421))</f>
        <v/>
      </c>
      <c r="E421" s="15" t="str">
        <f aca="false">IF($K421="","",INDEX(Jobs!$N$5:$N$504,$K421))</f>
        <v/>
      </c>
      <c r="F421" s="15" t="str">
        <f aca="false">IF($A421="","",SUMIFS($P$5:$P$1004,$N$5:$N$1004,$A421))</f>
        <v/>
      </c>
      <c r="G421" s="15" t="str">
        <f aca="false">IF($A421="","",$E421-$F421)</f>
        <v/>
      </c>
      <c r="H421" s="22" t="str">
        <f aca="false">IF($A421="","",$B421+Settings!$B$11)</f>
        <v/>
      </c>
      <c r="I421" s="19" t="str">
        <f aca="true">IF($A421="","",IF($G421&lt;=0,"Paid",IF(TODAY()&gt;$H421,"Overdue",IF($F421&gt;0,"Partial","Unpaid"))))</f>
        <v/>
      </c>
      <c r="J421" s="14" t="str">
        <f aca="true">IF($A421="","",IF(AND($G421&gt;0,TODAY()&gt;$H421),TODAY()-$H421,""))</f>
        <v/>
      </c>
      <c r="K421" s="2" t="str">
        <f aca="false">IFERROR(MATCH(ROWS($K$5:$K421),Jobs!$Q$5:$Q$504,0),"")</f>
        <v/>
      </c>
      <c r="M421" s="16"/>
      <c r="N421" s="12"/>
      <c r="O421" s="12"/>
      <c r="P421" s="13"/>
      <c r="Q421" s="19" t="str">
        <f aca="false">IF($N421="","",IFERROR(INDEX($C$5:$C$504,MATCH($N421,$A$5:$A$504,0)),"Invoice not found"))</f>
        <v/>
      </c>
    </row>
    <row r="422" customFormat="false" ht="15" hidden="false" customHeight="false" outlineLevel="0" collapsed="false">
      <c r="A422" s="19" t="str">
        <f aca="false">IF($K422="","",INDEX(Jobs!$O$5:$O$504,$K422))</f>
        <v/>
      </c>
      <c r="B422" s="22" t="str">
        <f aca="false">IF($K422="","",INDEX(Jobs!$A$5:$A$504,$K422))</f>
        <v/>
      </c>
      <c r="C422" s="19" t="str">
        <f aca="false">IF($K422="","",INDEX(Jobs!$B$5:$B$504,$K422))</f>
        <v/>
      </c>
      <c r="D422" s="19" t="str">
        <f aca="false">IF($K422="","",INDEX(Jobs!$J$5:$J$504,$K422))</f>
        <v/>
      </c>
      <c r="E422" s="15" t="str">
        <f aca="false">IF($K422="","",INDEX(Jobs!$N$5:$N$504,$K422))</f>
        <v/>
      </c>
      <c r="F422" s="15" t="str">
        <f aca="false">IF($A422="","",SUMIFS($P$5:$P$1004,$N$5:$N$1004,$A422))</f>
        <v/>
      </c>
      <c r="G422" s="15" t="str">
        <f aca="false">IF($A422="","",$E422-$F422)</f>
        <v/>
      </c>
      <c r="H422" s="22" t="str">
        <f aca="false">IF($A422="","",$B422+Settings!$B$11)</f>
        <v/>
      </c>
      <c r="I422" s="19" t="str">
        <f aca="true">IF($A422="","",IF($G422&lt;=0,"Paid",IF(TODAY()&gt;$H422,"Overdue",IF($F422&gt;0,"Partial","Unpaid"))))</f>
        <v/>
      </c>
      <c r="J422" s="14" t="str">
        <f aca="true">IF($A422="","",IF(AND($G422&gt;0,TODAY()&gt;$H422),TODAY()-$H422,""))</f>
        <v/>
      </c>
      <c r="K422" s="2" t="str">
        <f aca="false">IFERROR(MATCH(ROWS($K$5:$K422),Jobs!$Q$5:$Q$504,0),"")</f>
        <v/>
      </c>
      <c r="M422" s="16"/>
      <c r="N422" s="12"/>
      <c r="O422" s="12"/>
      <c r="P422" s="13"/>
      <c r="Q422" s="19" t="str">
        <f aca="false">IF($N422="","",IFERROR(INDEX($C$5:$C$504,MATCH($N422,$A$5:$A$504,0)),"Invoice not found"))</f>
        <v/>
      </c>
    </row>
    <row r="423" customFormat="false" ht="15" hidden="false" customHeight="false" outlineLevel="0" collapsed="false">
      <c r="A423" s="19" t="str">
        <f aca="false">IF($K423="","",INDEX(Jobs!$O$5:$O$504,$K423))</f>
        <v/>
      </c>
      <c r="B423" s="22" t="str">
        <f aca="false">IF($K423="","",INDEX(Jobs!$A$5:$A$504,$K423))</f>
        <v/>
      </c>
      <c r="C423" s="19" t="str">
        <f aca="false">IF($K423="","",INDEX(Jobs!$B$5:$B$504,$K423))</f>
        <v/>
      </c>
      <c r="D423" s="19" t="str">
        <f aca="false">IF($K423="","",INDEX(Jobs!$J$5:$J$504,$K423))</f>
        <v/>
      </c>
      <c r="E423" s="15" t="str">
        <f aca="false">IF($K423="","",INDEX(Jobs!$N$5:$N$504,$K423))</f>
        <v/>
      </c>
      <c r="F423" s="15" t="str">
        <f aca="false">IF($A423="","",SUMIFS($P$5:$P$1004,$N$5:$N$1004,$A423))</f>
        <v/>
      </c>
      <c r="G423" s="15" t="str">
        <f aca="false">IF($A423="","",$E423-$F423)</f>
        <v/>
      </c>
      <c r="H423" s="22" t="str">
        <f aca="false">IF($A423="","",$B423+Settings!$B$11)</f>
        <v/>
      </c>
      <c r="I423" s="19" t="str">
        <f aca="true">IF($A423="","",IF($G423&lt;=0,"Paid",IF(TODAY()&gt;$H423,"Overdue",IF($F423&gt;0,"Partial","Unpaid"))))</f>
        <v/>
      </c>
      <c r="J423" s="14" t="str">
        <f aca="true">IF($A423="","",IF(AND($G423&gt;0,TODAY()&gt;$H423),TODAY()-$H423,""))</f>
        <v/>
      </c>
      <c r="K423" s="2" t="str">
        <f aca="false">IFERROR(MATCH(ROWS($K$5:$K423),Jobs!$Q$5:$Q$504,0),"")</f>
        <v/>
      </c>
      <c r="M423" s="16"/>
      <c r="N423" s="12"/>
      <c r="O423" s="12"/>
      <c r="P423" s="13"/>
      <c r="Q423" s="19" t="str">
        <f aca="false">IF($N423="","",IFERROR(INDEX($C$5:$C$504,MATCH($N423,$A$5:$A$504,0)),"Invoice not found"))</f>
        <v/>
      </c>
    </row>
    <row r="424" customFormat="false" ht="15" hidden="false" customHeight="false" outlineLevel="0" collapsed="false">
      <c r="A424" s="19" t="str">
        <f aca="false">IF($K424="","",INDEX(Jobs!$O$5:$O$504,$K424))</f>
        <v/>
      </c>
      <c r="B424" s="22" t="str">
        <f aca="false">IF($K424="","",INDEX(Jobs!$A$5:$A$504,$K424))</f>
        <v/>
      </c>
      <c r="C424" s="19" t="str">
        <f aca="false">IF($K424="","",INDEX(Jobs!$B$5:$B$504,$K424))</f>
        <v/>
      </c>
      <c r="D424" s="19" t="str">
        <f aca="false">IF($K424="","",INDEX(Jobs!$J$5:$J$504,$K424))</f>
        <v/>
      </c>
      <c r="E424" s="15" t="str">
        <f aca="false">IF($K424="","",INDEX(Jobs!$N$5:$N$504,$K424))</f>
        <v/>
      </c>
      <c r="F424" s="15" t="str">
        <f aca="false">IF($A424="","",SUMIFS($P$5:$P$1004,$N$5:$N$1004,$A424))</f>
        <v/>
      </c>
      <c r="G424" s="15" t="str">
        <f aca="false">IF($A424="","",$E424-$F424)</f>
        <v/>
      </c>
      <c r="H424" s="22" t="str">
        <f aca="false">IF($A424="","",$B424+Settings!$B$11)</f>
        <v/>
      </c>
      <c r="I424" s="19" t="str">
        <f aca="true">IF($A424="","",IF($G424&lt;=0,"Paid",IF(TODAY()&gt;$H424,"Overdue",IF($F424&gt;0,"Partial","Unpaid"))))</f>
        <v/>
      </c>
      <c r="J424" s="14" t="str">
        <f aca="true">IF($A424="","",IF(AND($G424&gt;0,TODAY()&gt;$H424),TODAY()-$H424,""))</f>
        <v/>
      </c>
      <c r="K424" s="2" t="str">
        <f aca="false">IFERROR(MATCH(ROWS($K$5:$K424),Jobs!$Q$5:$Q$504,0),"")</f>
        <v/>
      </c>
      <c r="M424" s="16"/>
      <c r="N424" s="12"/>
      <c r="O424" s="12"/>
      <c r="P424" s="13"/>
      <c r="Q424" s="19" t="str">
        <f aca="false">IF($N424="","",IFERROR(INDEX($C$5:$C$504,MATCH($N424,$A$5:$A$504,0)),"Invoice not found"))</f>
        <v/>
      </c>
    </row>
    <row r="425" customFormat="false" ht="15" hidden="false" customHeight="false" outlineLevel="0" collapsed="false">
      <c r="A425" s="19" t="str">
        <f aca="false">IF($K425="","",INDEX(Jobs!$O$5:$O$504,$K425))</f>
        <v/>
      </c>
      <c r="B425" s="22" t="str">
        <f aca="false">IF($K425="","",INDEX(Jobs!$A$5:$A$504,$K425))</f>
        <v/>
      </c>
      <c r="C425" s="19" t="str">
        <f aca="false">IF($K425="","",INDEX(Jobs!$B$5:$B$504,$K425))</f>
        <v/>
      </c>
      <c r="D425" s="19" t="str">
        <f aca="false">IF($K425="","",INDEX(Jobs!$J$5:$J$504,$K425))</f>
        <v/>
      </c>
      <c r="E425" s="15" t="str">
        <f aca="false">IF($K425="","",INDEX(Jobs!$N$5:$N$504,$K425))</f>
        <v/>
      </c>
      <c r="F425" s="15" t="str">
        <f aca="false">IF($A425="","",SUMIFS($P$5:$P$1004,$N$5:$N$1004,$A425))</f>
        <v/>
      </c>
      <c r="G425" s="15" t="str">
        <f aca="false">IF($A425="","",$E425-$F425)</f>
        <v/>
      </c>
      <c r="H425" s="22" t="str">
        <f aca="false">IF($A425="","",$B425+Settings!$B$11)</f>
        <v/>
      </c>
      <c r="I425" s="19" t="str">
        <f aca="true">IF($A425="","",IF($G425&lt;=0,"Paid",IF(TODAY()&gt;$H425,"Overdue",IF($F425&gt;0,"Partial","Unpaid"))))</f>
        <v/>
      </c>
      <c r="J425" s="14" t="str">
        <f aca="true">IF($A425="","",IF(AND($G425&gt;0,TODAY()&gt;$H425),TODAY()-$H425,""))</f>
        <v/>
      </c>
      <c r="K425" s="2" t="str">
        <f aca="false">IFERROR(MATCH(ROWS($K$5:$K425),Jobs!$Q$5:$Q$504,0),"")</f>
        <v/>
      </c>
      <c r="M425" s="16"/>
      <c r="N425" s="12"/>
      <c r="O425" s="12"/>
      <c r="P425" s="13"/>
      <c r="Q425" s="19" t="str">
        <f aca="false">IF($N425="","",IFERROR(INDEX($C$5:$C$504,MATCH($N425,$A$5:$A$504,0)),"Invoice not found"))</f>
        <v/>
      </c>
    </row>
    <row r="426" customFormat="false" ht="15" hidden="false" customHeight="false" outlineLevel="0" collapsed="false">
      <c r="A426" s="19" t="str">
        <f aca="false">IF($K426="","",INDEX(Jobs!$O$5:$O$504,$K426))</f>
        <v/>
      </c>
      <c r="B426" s="22" t="str">
        <f aca="false">IF($K426="","",INDEX(Jobs!$A$5:$A$504,$K426))</f>
        <v/>
      </c>
      <c r="C426" s="19" t="str">
        <f aca="false">IF($K426="","",INDEX(Jobs!$B$5:$B$504,$K426))</f>
        <v/>
      </c>
      <c r="D426" s="19" t="str">
        <f aca="false">IF($K426="","",INDEX(Jobs!$J$5:$J$504,$K426))</f>
        <v/>
      </c>
      <c r="E426" s="15" t="str">
        <f aca="false">IF($K426="","",INDEX(Jobs!$N$5:$N$504,$K426))</f>
        <v/>
      </c>
      <c r="F426" s="15" t="str">
        <f aca="false">IF($A426="","",SUMIFS($P$5:$P$1004,$N$5:$N$1004,$A426))</f>
        <v/>
      </c>
      <c r="G426" s="15" t="str">
        <f aca="false">IF($A426="","",$E426-$F426)</f>
        <v/>
      </c>
      <c r="H426" s="22" t="str">
        <f aca="false">IF($A426="","",$B426+Settings!$B$11)</f>
        <v/>
      </c>
      <c r="I426" s="19" t="str">
        <f aca="true">IF($A426="","",IF($G426&lt;=0,"Paid",IF(TODAY()&gt;$H426,"Overdue",IF($F426&gt;0,"Partial","Unpaid"))))</f>
        <v/>
      </c>
      <c r="J426" s="14" t="str">
        <f aca="true">IF($A426="","",IF(AND($G426&gt;0,TODAY()&gt;$H426),TODAY()-$H426,""))</f>
        <v/>
      </c>
      <c r="K426" s="2" t="str">
        <f aca="false">IFERROR(MATCH(ROWS($K$5:$K426),Jobs!$Q$5:$Q$504,0),"")</f>
        <v/>
      </c>
      <c r="M426" s="16"/>
      <c r="N426" s="12"/>
      <c r="O426" s="12"/>
      <c r="P426" s="13"/>
      <c r="Q426" s="19" t="str">
        <f aca="false">IF($N426="","",IFERROR(INDEX($C$5:$C$504,MATCH($N426,$A$5:$A$504,0)),"Invoice not found"))</f>
        <v/>
      </c>
    </row>
    <row r="427" customFormat="false" ht="15" hidden="false" customHeight="false" outlineLevel="0" collapsed="false">
      <c r="A427" s="19" t="str">
        <f aca="false">IF($K427="","",INDEX(Jobs!$O$5:$O$504,$K427))</f>
        <v/>
      </c>
      <c r="B427" s="22" t="str">
        <f aca="false">IF($K427="","",INDEX(Jobs!$A$5:$A$504,$K427))</f>
        <v/>
      </c>
      <c r="C427" s="19" t="str">
        <f aca="false">IF($K427="","",INDEX(Jobs!$B$5:$B$504,$K427))</f>
        <v/>
      </c>
      <c r="D427" s="19" t="str">
        <f aca="false">IF($K427="","",INDEX(Jobs!$J$5:$J$504,$K427))</f>
        <v/>
      </c>
      <c r="E427" s="15" t="str">
        <f aca="false">IF($K427="","",INDEX(Jobs!$N$5:$N$504,$K427))</f>
        <v/>
      </c>
      <c r="F427" s="15" t="str">
        <f aca="false">IF($A427="","",SUMIFS($P$5:$P$1004,$N$5:$N$1004,$A427))</f>
        <v/>
      </c>
      <c r="G427" s="15" t="str">
        <f aca="false">IF($A427="","",$E427-$F427)</f>
        <v/>
      </c>
      <c r="H427" s="22" t="str">
        <f aca="false">IF($A427="","",$B427+Settings!$B$11)</f>
        <v/>
      </c>
      <c r="I427" s="19" t="str">
        <f aca="true">IF($A427="","",IF($G427&lt;=0,"Paid",IF(TODAY()&gt;$H427,"Overdue",IF($F427&gt;0,"Partial","Unpaid"))))</f>
        <v/>
      </c>
      <c r="J427" s="14" t="str">
        <f aca="true">IF($A427="","",IF(AND($G427&gt;0,TODAY()&gt;$H427),TODAY()-$H427,""))</f>
        <v/>
      </c>
      <c r="K427" s="2" t="str">
        <f aca="false">IFERROR(MATCH(ROWS($K$5:$K427),Jobs!$Q$5:$Q$504,0),"")</f>
        <v/>
      </c>
      <c r="M427" s="16"/>
      <c r="N427" s="12"/>
      <c r="O427" s="12"/>
      <c r="P427" s="13"/>
      <c r="Q427" s="19" t="str">
        <f aca="false">IF($N427="","",IFERROR(INDEX($C$5:$C$504,MATCH($N427,$A$5:$A$504,0)),"Invoice not found"))</f>
        <v/>
      </c>
    </row>
    <row r="428" customFormat="false" ht="15" hidden="false" customHeight="false" outlineLevel="0" collapsed="false">
      <c r="A428" s="19" t="str">
        <f aca="false">IF($K428="","",INDEX(Jobs!$O$5:$O$504,$K428))</f>
        <v/>
      </c>
      <c r="B428" s="22" t="str">
        <f aca="false">IF($K428="","",INDEX(Jobs!$A$5:$A$504,$K428))</f>
        <v/>
      </c>
      <c r="C428" s="19" t="str">
        <f aca="false">IF($K428="","",INDEX(Jobs!$B$5:$B$504,$K428))</f>
        <v/>
      </c>
      <c r="D428" s="19" t="str">
        <f aca="false">IF($K428="","",INDEX(Jobs!$J$5:$J$504,$K428))</f>
        <v/>
      </c>
      <c r="E428" s="15" t="str">
        <f aca="false">IF($K428="","",INDEX(Jobs!$N$5:$N$504,$K428))</f>
        <v/>
      </c>
      <c r="F428" s="15" t="str">
        <f aca="false">IF($A428="","",SUMIFS($P$5:$P$1004,$N$5:$N$1004,$A428))</f>
        <v/>
      </c>
      <c r="G428" s="15" t="str">
        <f aca="false">IF($A428="","",$E428-$F428)</f>
        <v/>
      </c>
      <c r="H428" s="22" t="str">
        <f aca="false">IF($A428="","",$B428+Settings!$B$11)</f>
        <v/>
      </c>
      <c r="I428" s="19" t="str">
        <f aca="true">IF($A428="","",IF($G428&lt;=0,"Paid",IF(TODAY()&gt;$H428,"Overdue",IF($F428&gt;0,"Partial","Unpaid"))))</f>
        <v/>
      </c>
      <c r="J428" s="14" t="str">
        <f aca="true">IF($A428="","",IF(AND($G428&gt;0,TODAY()&gt;$H428),TODAY()-$H428,""))</f>
        <v/>
      </c>
      <c r="K428" s="2" t="str">
        <f aca="false">IFERROR(MATCH(ROWS($K$5:$K428),Jobs!$Q$5:$Q$504,0),"")</f>
        <v/>
      </c>
      <c r="M428" s="16"/>
      <c r="N428" s="12"/>
      <c r="O428" s="12"/>
      <c r="P428" s="13"/>
      <c r="Q428" s="19" t="str">
        <f aca="false">IF($N428="","",IFERROR(INDEX($C$5:$C$504,MATCH($N428,$A$5:$A$504,0)),"Invoice not found"))</f>
        <v/>
      </c>
    </row>
    <row r="429" customFormat="false" ht="15" hidden="false" customHeight="false" outlineLevel="0" collapsed="false">
      <c r="A429" s="19" t="str">
        <f aca="false">IF($K429="","",INDEX(Jobs!$O$5:$O$504,$K429))</f>
        <v/>
      </c>
      <c r="B429" s="22" t="str">
        <f aca="false">IF($K429="","",INDEX(Jobs!$A$5:$A$504,$K429))</f>
        <v/>
      </c>
      <c r="C429" s="19" t="str">
        <f aca="false">IF($K429="","",INDEX(Jobs!$B$5:$B$504,$K429))</f>
        <v/>
      </c>
      <c r="D429" s="19" t="str">
        <f aca="false">IF($K429="","",INDEX(Jobs!$J$5:$J$504,$K429))</f>
        <v/>
      </c>
      <c r="E429" s="15" t="str">
        <f aca="false">IF($K429="","",INDEX(Jobs!$N$5:$N$504,$K429))</f>
        <v/>
      </c>
      <c r="F429" s="15" t="str">
        <f aca="false">IF($A429="","",SUMIFS($P$5:$P$1004,$N$5:$N$1004,$A429))</f>
        <v/>
      </c>
      <c r="G429" s="15" t="str">
        <f aca="false">IF($A429="","",$E429-$F429)</f>
        <v/>
      </c>
      <c r="H429" s="22" t="str">
        <f aca="false">IF($A429="","",$B429+Settings!$B$11)</f>
        <v/>
      </c>
      <c r="I429" s="19" t="str">
        <f aca="true">IF($A429="","",IF($G429&lt;=0,"Paid",IF(TODAY()&gt;$H429,"Overdue",IF($F429&gt;0,"Partial","Unpaid"))))</f>
        <v/>
      </c>
      <c r="J429" s="14" t="str">
        <f aca="true">IF($A429="","",IF(AND($G429&gt;0,TODAY()&gt;$H429),TODAY()-$H429,""))</f>
        <v/>
      </c>
      <c r="K429" s="2" t="str">
        <f aca="false">IFERROR(MATCH(ROWS($K$5:$K429),Jobs!$Q$5:$Q$504,0),"")</f>
        <v/>
      </c>
      <c r="M429" s="16"/>
      <c r="N429" s="12"/>
      <c r="O429" s="12"/>
      <c r="P429" s="13"/>
      <c r="Q429" s="19" t="str">
        <f aca="false">IF($N429="","",IFERROR(INDEX($C$5:$C$504,MATCH($N429,$A$5:$A$504,0)),"Invoice not found"))</f>
        <v/>
      </c>
    </row>
    <row r="430" customFormat="false" ht="15" hidden="false" customHeight="false" outlineLevel="0" collapsed="false">
      <c r="A430" s="19" t="str">
        <f aca="false">IF($K430="","",INDEX(Jobs!$O$5:$O$504,$K430))</f>
        <v/>
      </c>
      <c r="B430" s="22" t="str">
        <f aca="false">IF($K430="","",INDEX(Jobs!$A$5:$A$504,$K430))</f>
        <v/>
      </c>
      <c r="C430" s="19" t="str">
        <f aca="false">IF($K430="","",INDEX(Jobs!$B$5:$B$504,$K430))</f>
        <v/>
      </c>
      <c r="D430" s="19" t="str">
        <f aca="false">IF($K430="","",INDEX(Jobs!$J$5:$J$504,$K430))</f>
        <v/>
      </c>
      <c r="E430" s="15" t="str">
        <f aca="false">IF($K430="","",INDEX(Jobs!$N$5:$N$504,$K430))</f>
        <v/>
      </c>
      <c r="F430" s="15" t="str">
        <f aca="false">IF($A430="","",SUMIFS($P$5:$P$1004,$N$5:$N$1004,$A430))</f>
        <v/>
      </c>
      <c r="G430" s="15" t="str">
        <f aca="false">IF($A430="","",$E430-$F430)</f>
        <v/>
      </c>
      <c r="H430" s="22" t="str">
        <f aca="false">IF($A430="","",$B430+Settings!$B$11)</f>
        <v/>
      </c>
      <c r="I430" s="19" t="str">
        <f aca="true">IF($A430="","",IF($G430&lt;=0,"Paid",IF(TODAY()&gt;$H430,"Overdue",IF($F430&gt;0,"Partial","Unpaid"))))</f>
        <v/>
      </c>
      <c r="J430" s="14" t="str">
        <f aca="true">IF($A430="","",IF(AND($G430&gt;0,TODAY()&gt;$H430),TODAY()-$H430,""))</f>
        <v/>
      </c>
      <c r="K430" s="2" t="str">
        <f aca="false">IFERROR(MATCH(ROWS($K$5:$K430),Jobs!$Q$5:$Q$504,0),"")</f>
        <v/>
      </c>
      <c r="M430" s="16"/>
      <c r="N430" s="12"/>
      <c r="O430" s="12"/>
      <c r="P430" s="13"/>
      <c r="Q430" s="19" t="str">
        <f aca="false">IF($N430="","",IFERROR(INDEX($C$5:$C$504,MATCH($N430,$A$5:$A$504,0)),"Invoice not found"))</f>
        <v/>
      </c>
    </row>
    <row r="431" customFormat="false" ht="15" hidden="false" customHeight="false" outlineLevel="0" collapsed="false">
      <c r="A431" s="19" t="str">
        <f aca="false">IF($K431="","",INDEX(Jobs!$O$5:$O$504,$K431))</f>
        <v/>
      </c>
      <c r="B431" s="22" t="str">
        <f aca="false">IF($K431="","",INDEX(Jobs!$A$5:$A$504,$K431))</f>
        <v/>
      </c>
      <c r="C431" s="19" t="str">
        <f aca="false">IF($K431="","",INDEX(Jobs!$B$5:$B$504,$K431))</f>
        <v/>
      </c>
      <c r="D431" s="19" t="str">
        <f aca="false">IF($K431="","",INDEX(Jobs!$J$5:$J$504,$K431))</f>
        <v/>
      </c>
      <c r="E431" s="15" t="str">
        <f aca="false">IF($K431="","",INDEX(Jobs!$N$5:$N$504,$K431))</f>
        <v/>
      </c>
      <c r="F431" s="15" t="str">
        <f aca="false">IF($A431="","",SUMIFS($P$5:$P$1004,$N$5:$N$1004,$A431))</f>
        <v/>
      </c>
      <c r="G431" s="15" t="str">
        <f aca="false">IF($A431="","",$E431-$F431)</f>
        <v/>
      </c>
      <c r="H431" s="22" t="str">
        <f aca="false">IF($A431="","",$B431+Settings!$B$11)</f>
        <v/>
      </c>
      <c r="I431" s="19" t="str">
        <f aca="true">IF($A431="","",IF($G431&lt;=0,"Paid",IF(TODAY()&gt;$H431,"Overdue",IF($F431&gt;0,"Partial","Unpaid"))))</f>
        <v/>
      </c>
      <c r="J431" s="14" t="str">
        <f aca="true">IF($A431="","",IF(AND($G431&gt;0,TODAY()&gt;$H431),TODAY()-$H431,""))</f>
        <v/>
      </c>
      <c r="K431" s="2" t="str">
        <f aca="false">IFERROR(MATCH(ROWS($K$5:$K431),Jobs!$Q$5:$Q$504,0),"")</f>
        <v/>
      </c>
      <c r="M431" s="16"/>
      <c r="N431" s="12"/>
      <c r="O431" s="12"/>
      <c r="P431" s="13"/>
      <c r="Q431" s="19" t="str">
        <f aca="false">IF($N431="","",IFERROR(INDEX($C$5:$C$504,MATCH($N431,$A$5:$A$504,0)),"Invoice not found"))</f>
        <v/>
      </c>
    </row>
    <row r="432" customFormat="false" ht="15" hidden="false" customHeight="false" outlineLevel="0" collapsed="false">
      <c r="A432" s="19" t="str">
        <f aca="false">IF($K432="","",INDEX(Jobs!$O$5:$O$504,$K432))</f>
        <v/>
      </c>
      <c r="B432" s="22" t="str">
        <f aca="false">IF($K432="","",INDEX(Jobs!$A$5:$A$504,$K432))</f>
        <v/>
      </c>
      <c r="C432" s="19" t="str">
        <f aca="false">IF($K432="","",INDEX(Jobs!$B$5:$B$504,$K432))</f>
        <v/>
      </c>
      <c r="D432" s="19" t="str">
        <f aca="false">IF($K432="","",INDEX(Jobs!$J$5:$J$504,$K432))</f>
        <v/>
      </c>
      <c r="E432" s="15" t="str">
        <f aca="false">IF($K432="","",INDEX(Jobs!$N$5:$N$504,$K432))</f>
        <v/>
      </c>
      <c r="F432" s="15" t="str">
        <f aca="false">IF($A432="","",SUMIFS($P$5:$P$1004,$N$5:$N$1004,$A432))</f>
        <v/>
      </c>
      <c r="G432" s="15" t="str">
        <f aca="false">IF($A432="","",$E432-$F432)</f>
        <v/>
      </c>
      <c r="H432" s="22" t="str">
        <f aca="false">IF($A432="","",$B432+Settings!$B$11)</f>
        <v/>
      </c>
      <c r="I432" s="19" t="str">
        <f aca="true">IF($A432="","",IF($G432&lt;=0,"Paid",IF(TODAY()&gt;$H432,"Overdue",IF($F432&gt;0,"Partial","Unpaid"))))</f>
        <v/>
      </c>
      <c r="J432" s="14" t="str">
        <f aca="true">IF($A432="","",IF(AND($G432&gt;0,TODAY()&gt;$H432),TODAY()-$H432,""))</f>
        <v/>
      </c>
      <c r="K432" s="2" t="str">
        <f aca="false">IFERROR(MATCH(ROWS($K$5:$K432),Jobs!$Q$5:$Q$504,0),"")</f>
        <v/>
      </c>
      <c r="M432" s="16"/>
      <c r="N432" s="12"/>
      <c r="O432" s="12"/>
      <c r="P432" s="13"/>
      <c r="Q432" s="19" t="str">
        <f aca="false">IF($N432="","",IFERROR(INDEX($C$5:$C$504,MATCH($N432,$A$5:$A$504,0)),"Invoice not found"))</f>
        <v/>
      </c>
    </row>
    <row r="433" customFormat="false" ht="15" hidden="false" customHeight="false" outlineLevel="0" collapsed="false">
      <c r="A433" s="19" t="str">
        <f aca="false">IF($K433="","",INDEX(Jobs!$O$5:$O$504,$K433))</f>
        <v/>
      </c>
      <c r="B433" s="22" t="str">
        <f aca="false">IF($K433="","",INDEX(Jobs!$A$5:$A$504,$K433))</f>
        <v/>
      </c>
      <c r="C433" s="19" t="str">
        <f aca="false">IF($K433="","",INDEX(Jobs!$B$5:$B$504,$K433))</f>
        <v/>
      </c>
      <c r="D433" s="19" t="str">
        <f aca="false">IF($K433="","",INDEX(Jobs!$J$5:$J$504,$K433))</f>
        <v/>
      </c>
      <c r="E433" s="15" t="str">
        <f aca="false">IF($K433="","",INDEX(Jobs!$N$5:$N$504,$K433))</f>
        <v/>
      </c>
      <c r="F433" s="15" t="str">
        <f aca="false">IF($A433="","",SUMIFS($P$5:$P$1004,$N$5:$N$1004,$A433))</f>
        <v/>
      </c>
      <c r="G433" s="15" t="str">
        <f aca="false">IF($A433="","",$E433-$F433)</f>
        <v/>
      </c>
      <c r="H433" s="22" t="str">
        <f aca="false">IF($A433="","",$B433+Settings!$B$11)</f>
        <v/>
      </c>
      <c r="I433" s="19" t="str">
        <f aca="true">IF($A433="","",IF($G433&lt;=0,"Paid",IF(TODAY()&gt;$H433,"Overdue",IF($F433&gt;0,"Partial","Unpaid"))))</f>
        <v/>
      </c>
      <c r="J433" s="14" t="str">
        <f aca="true">IF($A433="","",IF(AND($G433&gt;0,TODAY()&gt;$H433),TODAY()-$H433,""))</f>
        <v/>
      </c>
      <c r="K433" s="2" t="str">
        <f aca="false">IFERROR(MATCH(ROWS($K$5:$K433),Jobs!$Q$5:$Q$504,0),"")</f>
        <v/>
      </c>
      <c r="M433" s="16"/>
      <c r="N433" s="12"/>
      <c r="O433" s="12"/>
      <c r="P433" s="13"/>
      <c r="Q433" s="19" t="str">
        <f aca="false">IF($N433="","",IFERROR(INDEX($C$5:$C$504,MATCH($N433,$A$5:$A$504,0)),"Invoice not found"))</f>
        <v/>
      </c>
    </row>
    <row r="434" customFormat="false" ht="15" hidden="false" customHeight="false" outlineLevel="0" collapsed="false">
      <c r="A434" s="19" t="str">
        <f aca="false">IF($K434="","",INDEX(Jobs!$O$5:$O$504,$K434))</f>
        <v/>
      </c>
      <c r="B434" s="22" t="str">
        <f aca="false">IF($K434="","",INDEX(Jobs!$A$5:$A$504,$K434))</f>
        <v/>
      </c>
      <c r="C434" s="19" t="str">
        <f aca="false">IF($K434="","",INDEX(Jobs!$B$5:$B$504,$K434))</f>
        <v/>
      </c>
      <c r="D434" s="19" t="str">
        <f aca="false">IF($K434="","",INDEX(Jobs!$J$5:$J$504,$K434))</f>
        <v/>
      </c>
      <c r="E434" s="15" t="str">
        <f aca="false">IF($K434="","",INDEX(Jobs!$N$5:$N$504,$K434))</f>
        <v/>
      </c>
      <c r="F434" s="15" t="str">
        <f aca="false">IF($A434="","",SUMIFS($P$5:$P$1004,$N$5:$N$1004,$A434))</f>
        <v/>
      </c>
      <c r="G434" s="15" t="str">
        <f aca="false">IF($A434="","",$E434-$F434)</f>
        <v/>
      </c>
      <c r="H434" s="22" t="str">
        <f aca="false">IF($A434="","",$B434+Settings!$B$11)</f>
        <v/>
      </c>
      <c r="I434" s="19" t="str">
        <f aca="true">IF($A434="","",IF($G434&lt;=0,"Paid",IF(TODAY()&gt;$H434,"Overdue",IF($F434&gt;0,"Partial","Unpaid"))))</f>
        <v/>
      </c>
      <c r="J434" s="14" t="str">
        <f aca="true">IF($A434="","",IF(AND($G434&gt;0,TODAY()&gt;$H434),TODAY()-$H434,""))</f>
        <v/>
      </c>
      <c r="K434" s="2" t="str">
        <f aca="false">IFERROR(MATCH(ROWS($K$5:$K434),Jobs!$Q$5:$Q$504,0),"")</f>
        <v/>
      </c>
      <c r="M434" s="16"/>
      <c r="N434" s="12"/>
      <c r="O434" s="12"/>
      <c r="P434" s="13"/>
      <c r="Q434" s="19" t="str">
        <f aca="false">IF($N434="","",IFERROR(INDEX($C$5:$C$504,MATCH($N434,$A$5:$A$504,0)),"Invoice not found"))</f>
        <v/>
      </c>
    </row>
    <row r="435" customFormat="false" ht="15" hidden="false" customHeight="false" outlineLevel="0" collapsed="false">
      <c r="A435" s="19" t="str">
        <f aca="false">IF($K435="","",INDEX(Jobs!$O$5:$O$504,$K435))</f>
        <v/>
      </c>
      <c r="B435" s="22" t="str">
        <f aca="false">IF($K435="","",INDEX(Jobs!$A$5:$A$504,$K435))</f>
        <v/>
      </c>
      <c r="C435" s="19" t="str">
        <f aca="false">IF($K435="","",INDEX(Jobs!$B$5:$B$504,$K435))</f>
        <v/>
      </c>
      <c r="D435" s="19" t="str">
        <f aca="false">IF($K435="","",INDEX(Jobs!$J$5:$J$504,$K435))</f>
        <v/>
      </c>
      <c r="E435" s="15" t="str">
        <f aca="false">IF($K435="","",INDEX(Jobs!$N$5:$N$504,$K435))</f>
        <v/>
      </c>
      <c r="F435" s="15" t="str">
        <f aca="false">IF($A435="","",SUMIFS($P$5:$P$1004,$N$5:$N$1004,$A435))</f>
        <v/>
      </c>
      <c r="G435" s="15" t="str">
        <f aca="false">IF($A435="","",$E435-$F435)</f>
        <v/>
      </c>
      <c r="H435" s="22" t="str">
        <f aca="false">IF($A435="","",$B435+Settings!$B$11)</f>
        <v/>
      </c>
      <c r="I435" s="19" t="str">
        <f aca="true">IF($A435="","",IF($G435&lt;=0,"Paid",IF(TODAY()&gt;$H435,"Overdue",IF($F435&gt;0,"Partial","Unpaid"))))</f>
        <v/>
      </c>
      <c r="J435" s="14" t="str">
        <f aca="true">IF($A435="","",IF(AND($G435&gt;0,TODAY()&gt;$H435),TODAY()-$H435,""))</f>
        <v/>
      </c>
      <c r="K435" s="2" t="str">
        <f aca="false">IFERROR(MATCH(ROWS($K$5:$K435),Jobs!$Q$5:$Q$504,0),"")</f>
        <v/>
      </c>
      <c r="M435" s="16"/>
      <c r="N435" s="12"/>
      <c r="O435" s="12"/>
      <c r="P435" s="13"/>
      <c r="Q435" s="19" t="str">
        <f aca="false">IF($N435="","",IFERROR(INDEX($C$5:$C$504,MATCH($N435,$A$5:$A$504,0)),"Invoice not found"))</f>
        <v/>
      </c>
    </row>
    <row r="436" customFormat="false" ht="15" hidden="false" customHeight="false" outlineLevel="0" collapsed="false">
      <c r="A436" s="19" t="str">
        <f aca="false">IF($K436="","",INDEX(Jobs!$O$5:$O$504,$K436))</f>
        <v/>
      </c>
      <c r="B436" s="22" t="str">
        <f aca="false">IF($K436="","",INDEX(Jobs!$A$5:$A$504,$K436))</f>
        <v/>
      </c>
      <c r="C436" s="19" t="str">
        <f aca="false">IF($K436="","",INDEX(Jobs!$B$5:$B$504,$K436))</f>
        <v/>
      </c>
      <c r="D436" s="19" t="str">
        <f aca="false">IF($K436="","",INDEX(Jobs!$J$5:$J$504,$K436))</f>
        <v/>
      </c>
      <c r="E436" s="15" t="str">
        <f aca="false">IF($K436="","",INDEX(Jobs!$N$5:$N$504,$K436))</f>
        <v/>
      </c>
      <c r="F436" s="15" t="str">
        <f aca="false">IF($A436="","",SUMIFS($P$5:$P$1004,$N$5:$N$1004,$A436))</f>
        <v/>
      </c>
      <c r="G436" s="15" t="str">
        <f aca="false">IF($A436="","",$E436-$F436)</f>
        <v/>
      </c>
      <c r="H436" s="22" t="str">
        <f aca="false">IF($A436="","",$B436+Settings!$B$11)</f>
        <v/>
      </c>
      <c r="I436" s="19" t="str">
        <f aca="true">IF($A436="","",IF($G436&lt;=0,"Paid",IF(TODAY()&gt;$H436,"Overdue",IF($F436&gt;0,"Partial","Unpaid"))))</f>
        <v/>
      </c>
      <c r="J436" s="14" t="str">
        <f aca="true">IF($A436="","",IF(AND($G436&gt;0,TODAY()&gt;$H436),TODAY()-$H436,""))</f>
        <v/>
      </c>
      <c r="K436" s="2" t="str">
        <f aca="false">IFERROR(MATCH(ROWS($K$5:$K436),Jobs!$Q$5:$Q$504,0),"")</f>
        <v/>
      </c>
      <c r="M436" s="16"/>
      <c r="N436" s="12"/>
      <c r="O436" s="12"/>
      <c r="P436" s="13"/>
      <c r="Q436" s="19" t="str">
        <f aca="false">IF($N436="","",IFERROR(INDEX($C$5:$C$504,MATCH($N436,$A$5:$A$504,0)),"Invoice not found"))</f>
        <v/>
      </c>
    </row>
    <row r="437" customFormat="false" ht="15" hidden="false" customHeight="false" outlineLevel="0" collapsed="false">
      <c r="A437" s="19" t="str">
        <f aca="false">IF($K437="","",INDEX(Jobs!$O$5:$O$504,$K437))</f>
        <v/>
      </c>
      <c r="B437" s="22" t="str">
        <f aca="false">IF($K437="","",INDEX(Jobs!$A$5:$A$504,$K437))</f>
        <v/>
      </c>
      <c r="C437" s="19" t="str">
        <f aca="false">IF($K437="","",INDEX(Jobs!$B$5:$B$504,$K437))</f>
        <v/>
      </c>
      <c r="D437" s="19" t="str">
        <f aca="false">IF($K437="","",INDEX(Jobs!$J$5:$J$504,$K437))</f>
        <v/>
      </c>
      <c r="E437" s="15" t="str">
        <f aca="false">IF($K437="","",INDEX(Jobs!$N$5:$N$504,$K437))</f>
        <v/>
      </c>
      <c r="F437" s="15" t="str">
        <f aca="false">IF($A437="","",SUMIFS($P$5:$P$1004,$N$5:$N$1004,$A437))</f>
        <v/>
      </c>
      <c r="G437" s="15" t="str">
        <f aca="false">IF($A437="","",$E437-$F437)</f>
        <v/>
      </c>
      <c r="H437" s="22" t="str">
        <f aca="false">IF($A437="","",$B437+Settings!$B$11)</f>
        <v/>
      </c>
      <c r="I437" s="19" t="str">
        <f aca="true">IF($A437="","",IF($G437&lt;=0,"Paid",IF(TODAY()&gt;$H437,"Overdue",IF($F437&gt;0,"Partial","Unpaid"))))</f>
        <v/>
      </c>
      <c r="J437" s="14" t="str">
        <f aca="true">IF($A437="","",IF(AND($G437&gt;0,TODAY()&gt;$H437),TODAY()-$H437,""))</f>
        <v/>
      </c>
      <c r="K437" s="2" t="str">
        <f aca="false">IFERROR(MATCH(ROWS($K$5:$K437),Jobs!$Q$5:$Q$504,0),"")</f>
        <v/>
      </c>
      <c r="M437" s="16"/>
      <c r="N437" s="12"/>
      <c r="O437" s="12"/>
      <c r="P437" s="13"/>
      <c r="Q437" s="19" t="str">
        <f aca="false">IF($N437="","",IFERROR(INDEX($C$5:$C$504,MATCH($N437,$A$5:$A$504,0)),"Invoice not found"))</f>
        <v/>
      </c>
    </row>
    <row r="438" customFormat="false" ht="15" hidden="false" customHeight="false" outlineLevel="0" collapsed="false">
      <c r="A438" s="19" t="str">
        <f aca="false">IF($K438="","",INDEX(Jobs!$O$5:$O$504,$K438))</f>
        <v/>
      </c>
      <c r="B438" s="22" t="str">
        <f aca="false">IF($K438="","",INDEX(Jobs!$A$5:$A$504,$K438))</f>
        <v/>
      </c>
      <c r="C438" s="19" t="str">
        <f aca="false">IF($K438="","",INDEX(Jobs!$B$5:$B$504,$K438))</f>
        <v/>
      </c>
      <c r="D438" s="19" t="str">
        <f aca="false">IF($K438="","",INDEX(Jobs!$J$5:$J$504,$K438))</f>
        <v/>
      </c>
      <c r="E438" s="15" t="str">
        <f aca="false">IF($K438="","",INDEX(Jobs!$N$5:$N$504,$K438))</f>
        <v/>
      </c>
      <c r="F438" s="15" t="str">
        <f aca="false">IF($A438="","",SUMIFS($P$5:$P$1004,$N$5:$N$1004,$A438))</f>
        <v/>
      </c>
      <c r="G438" s="15" t="str">
        <f aca="false">IF($A438="","",$E438-$F438)</f>
        <v/>
      </c>
      <c r="H438" s="22" t="str">
        <f aca="false">IF($A438="","",$B438+Settings!$B$11)</f>
        <v/>
      </c>
      <c r="I438" s="19" t="str">
        <f aca="true">IF($A438="","",IF($G438&lt;=0,"Paid",IF(TODAY()&gt;$H438,"Overdue",IF($F438&gt;0,"Partial","Unpaid"))))</f>
        <v/>
      </c>
      <c r="J438" s="14" t="str">
        <f aca="true">IF($A438="","",IF(AND($G438&gt;0,TODAY()&gt;$H438),TODAY()-$H438,""))</f>
        <v/>
      </c>
      <c r="K438" s="2" t="str">
        <f aca="false">IFERROR(MATCH(ROWS($K$5:$K438),Jobs!$Q$5:$Q$504,0),"")</f>
        <v/>
      </c>
      <c r="M438" s="16"/>
      <c r="N438" s="12"/>
      <c r="O438" s="12"/>
      <c r="P438" s="13"/>
      <c r="Q438" s="19" t="str">
        <f aca="false">IF($N438="","",IFERROR(INDEX($C$5:$C$504,MATCH($N438,$A$5:$A$504,0)),"Invoice not found"))</f>
        <v/>
      </c>
    </row>
    <row r="439" customFormat="false" ht="15" hidden="false" customHeight="false" outlineLevel="0" collapsed="false">
      <c r="A439" s="19" t="str">
        <f aca="false">IF($K439="","",INDEX(Jobs!$O$5:$O$504,$K439))</f>
        <v/>
      </c>
      <c r="B439" s="22" t="str">
        <f aca="false">IF($K439="","",INDEX(Jobs!$A$5:$A$504,$K439))</f>
        <v/>
      </c>
      <c r="C439" s="19" t="str">
        <f aca="false">IF($K439="","",INDEX(Jobs!$B$5:$B$504,$K439))</f>
        <v/>
      </c>
      <c r="D439" s="19" t="str">
        <f aca="false">IF($K439="","",INDEX(Jobs!$J$5:$J$504,$K439))</f>
        <v/>
      </c>
      <c r="E439" s="15" t="str">
        <f aca="false">IF($K439="","",INDEX(Jobs!$N$5:$N$504,$K439))</f>
        <v/>
      </c>
      <c r="F439" s="15" t="str">
        <f aca="false">IF($A439="","",SUMIFS($P$5:$P$1004,$N$5:$N$1004,$A439))</f>
        <v/>
      </c>
      <c r="G439" s="15" t="str">
        <f aca="false">IF($A439="","",$E439-$F439)</f>
        <v/>
      </c>
      <c r="H439" s="22" t="str">
        <f aca="false">IF($A439="","",$B439+Settings!$B$11)</f>
        <v/>
      </c>
      <c r="I439" s="19" t="str">
        <f aca="true">IF($A439="","",IF($G439&lt;=0,"Paid",IF(TODAY()&gt;$H439,"Overdue",IF($F439&gt;0,"Partial","Unpaid"))))</f>
        <v/>
      </c>
      <c r="J439" s="14" t="str">
        <f aca="true">IF($A439="","",IF(AND($G439&gt;0,TODAY()&gt;$H439),TODAY()-$H439,""))</f>
        <v/>
      </c>
      <c r="K439" s="2" t="str">
        <f aca="false">IFERROR(MATCH(ROWS($K$5:$K439),Jobs!$Q$5:$Q$504,0),"")</f>
        <v/>
      </c>
      <c r="M439" s="16"/>
      <c r="N439" s="12"/>
      <c r="O439" s="12"/>
      <c r="P439" s="13"/>
      <c r="Q439" s="19" t="str">
        <f aca="false">IF($N439="","",IFERROR(INDEX($C$5:$C$504,MATCH($N439,$A$5:$A$504,0)),"Invoice not found"))</f>
        <v/>
      </c>
    </row>
    <row r="440" customFormat="false" ht="15" hidden="false" customHeight="false" outlineLevel="0" collapsed="false">
      <c r="A440" s="19" t="str">
        <f aca="false">IF($K440="","",INDEX(Jobs!$O$5:$O$504,$K440))</f>
        <v/>
      </c>
      <c r="B440" s="22" t="str">
        <f aca="false">IF($K440="","",INDEX(Jobs!$A$5:$A$504,$K440))</f>
        <v/>
      </c>
      <c r="C440" s="19" t="str">
        <f aca="false">IF($K440="","",INDEX(Jobs!$B$5:$B$504,$K440))</f>
        <v/>
      </c>
      <c r="D440" s="19" t="str">
        <f aca="false">IF($K440="","",INDEX(Jobs!$J$5:$J$504,$K440))</f>
        <v/>
      </c>
      <c r="E440" s="15" t="str">
        <f aca="false">IF($K440="","",INDEX(Jobs!$N$5:$N$504,$K440))</f>
        <v/>
      </c>
      <c r="F440" s="15" t="str">
        <f aca="false">IF($A440="","",SUMIFS($P$5:$P$1004,$N$5:$N$1004,$A440))</f>
        <v/>
      </c>
      <c r="G440" s="15" t="str">
        <f aca="false">IF($A440="","",$E440-$F440)</f>
        <v/>
      </c>
      <c r="H440" s="22" t="str">
        <f aca="false">IF($A440="","",$B440+Settings!$B$11)</f>
        <v/>
      </c>
      <c r="I440" s="19" t="str">
        <f aca="true">IF($A440="","",IF($G440&lt;=0,"Paid",IF(TODAY()&gt;$H440,"Overdue",IF($F440&gt;0,"Partial","Unpaid"))))</f>
        <v/>
      </c>
      <c r="J440" s="14" t="str">
        <f aca="true">IF($A440="","",IF(AND($G440&gt;0,TODAY()&gt;$H440),TODAY()-$H440,""))</f>
        <v/>
      </c>
      <c r="K440" s="2" t="str">
        <f aca="false">IFERROR(MATCH(ROWS($K$5:$K440),Jobs!$Q$5:$Q$504,0),"")</f>
        <v/>
      </c>
      <c r="M440" s="16"/>
      <c r="N440" s="12"/>
      <c r="O440" s="12"/>
      <c r="P440" s="13"/>
      <c r="Q440" s="19" t="str">
        <f aca="false">IF($N440="","",IFERROR(INDEX($C$5:$C$504,MATCH($N440,$A$5:$A$504,0)),"Invoice not found"))</f>
        <v/>
      </c>
    </row>
    <row r="441" customFormat="false" ht="15" hidden="false" customHeight="false" outlineLevel="0" collapsed="false">
      <c r="A441" s="19" t="str">
        <f aca="false">IF($K441="","",INDEX(Jobs!$O$5:$O$504,$K441))</f>
        <v/>
      </c>
      <c r="B441" s="22" t="str">
        <f aca="false">IF($K441="","",INDEX(Jobs!$A$5:$A$504,$K441))</f>
        <v/>
      </c>
      <c r="C441" s="19" t="str">
        <f aca="false">IF($K441="","",INDEX(Jobs!$B$5:$B$504,$K441))</f>
        <v/>
      </c>
      <c r="D441" s="19" t="str">
        <f aca="false">IF($K441="","",INDEX(Jobs!$J$5:$J$504,$K441))</f>
        <v/>
      </c>
      <c r="E441" s="15" t="str">
        <f aca="false">IF($K441="","",INDEX(Jobs!$N$5:$N$504,$K441))</f>
        <v/>
      </c>
      <c r="F441" s="15" t="str">
        <f aca="false">IF($A441="","",SUMIFS($P$5:$P$1004,$N$5:$N$1004,$A441))</f>
        <v/>
      </c>
      <c r="G441" s="15" t="str">
        <f aca="false">IF($A441="","",$E441-$F441)</f>
        <v/>
      </c>
      <c r="H441" s="22" t="str">
        <f aca="false">IF($A441="","",$B441+Settings!$B$11)</f>
        <v/>
      </c>
      <c r="I441" s="19" t="str">
        <f aca="true">IF($A441="","",IF($G441&lt;=0,"Paid",IF(TODAY()&gt;$H441,"Overdue",IF($F441&gt;0,"Partial","Unpaid"))))</f>
        <v/>
      </c>
      <c r="J441" s="14" t="str">
        <f aca="true">IF($A441="","",IF(AND($G441&gt;0,TODAY()&gt;$H441),TODAY()-$H441,""))</f>
        <v/>
      </c>
      <c r="K441" s="2" t="str">
        <f aca="false">IFERROR(MATCH(ROWS($K$5:$K441),Jobs!$Q$5:$Q$504,0),"")</f>
        <v/>
      </c>
      <c r="M441" s="16"/>
      <c r="N441" s="12"/>
      <c r="O441" s="12"/>
      <c r="P441" s="13"/>
      <c r="Q441" s="19" t="str">
        <f aca="false">IF($N441="","",IFERROR(INDEX($C$5:$C$504,MATCH($N441,$A$5:$A$504,0)),"Invoice not found"))</f>
        <v/>
      </c>
    </row>
    <row r="442" customFormat="false" ht="15" hidden="false" customHeight="false" outlineLevel="0" collapsed="false">
      <c r="A442" s="19" t="str">
        <f aca="false">IF($K442="","",INDEX(Jobs!$O$5:$O$504,$K442))</f>
        <v/>
      </c>
      <c r="B442" s="22" t="str">
        <f aca="false">IF($K442="","",INDEX(Jobs!$A$5:$A$504,$K442))</f>
        <v/>
      </c>
      <c r="C442" s="19" t="str">
        <f aca="false">IF($K442="","",INDEX(Jobs!$B$5:$B$504,$K442))</f>
        <v/>
      </c>
      <c r="D442" s="19" t="str">
        <f aca="false">IF($K442="","",INDEX(Jobs!$J$5:$J$504,$K442))</f>
        <v/>
      </c>
      <c r="E442" s="15" t="str">
        <f aca="false">IF($K442="","",INDEX(Jobs!$N$5:$N$504,$K442))</f>
        <v/>
      </c>
      <c r="F442" s="15" t="str">
        <f aca="false">IF($A442="","",SUMIFS($P$5:$P$1004,$N$5:$N$1004,$A442))</f>
        <v/>
      </c>
      <c r="G442" s="15" t="str">
        <f aca="false">IF($A442="","",$E442-$F442)</f>
        <v/>
      </c>
      <c r="H442" s="22" t="str">
        <f aca="false">IF($A442="","",$B442+Settings!$B$11)</f>
        <v/>
      </c>
      <c r="I442" s="19" t="str">
        <f aca="true">IF($A442="","",IF($G442&lt;=0,"Paid",IF(TODAY()&gt;$H442,"Overdue",IF($F442&gt;0,"Partial","Unpaid"))))</f>
        <v/>
      </c>
      <c r="J442" s="14" t="str">
        <f aca="true">IF($A442="","",IF(AND($G442&gt;0,TODAY()&gt;$H442),TODAY()-$H442,""))</f>
        <v/>
      </c>
      <c r="K442" s="2" t="str">
        <f aca="false">IFERROR(MATCH(ROWS($K$5:$K442),Jobs!$Q$5:$Q$504,0),"")</f>
        <v/>
      </c>
      <c r="M442" s="16"/>
      <c r="N442" s="12"/>
      <c r="O442" s="12"/>
      <c r="P442" s="13"/>
      <c r="Q442" s="19" t="str">
        <f aca="false">IF($N442="","",IFERROR(INDEX($C$5:$C$504,MATCH($N442,$A$5:$A$504,0)),"Invoice not found"))</f>
        <v/>
      </c>
    </row>
    <row r="443" customFormat="false" ht="15" hidden="false" customHeight="false" outlineLevel="0" collapsed="false">
      <c r="A443" s="19" t="str">
        <f aca="false">IF($K443="","",INDEX(Jobs!$O$5:$O$504,$K443))</f>
        <v/>
      </c>
      <c r="B443" s="22" t="str">
        <f aca="false">IF($K443="","",INDEX(Jobs!$A$5:$A$504,$K443))</f>
        <v/>
      </c>
      <c r="C443" s="19" t="str">
        <f aca="false">IF($K443="","",INDEX(Jobs!$B$5:$B$504,$K443))</f>
        <v/>
      </c>
      <c r="D443" s="19" t="str">
        <f aca="false">IF($K443="","",INDEX(Jobs!$J$5:$J$504,$K443))</f>
        <v/>
      </c>
      <c r="E443" s="15" t="str">
        <f aca="false">IF($K443="","",INDEX(Jobs!$N$5:$N$504,$K443))</f>
        <v/>
      </c>
      <c r="F443" s="15" t="str">
        <f aca="false">IF($A443="","",SUMIFS($P$5:$P$1004,$N$5:$N$1004,$A443))</f>
        <v/>
      </c>
      <c r="G443" s="15" t="str">
        <f aca="false">IF($A443="","",$E443-$F443)</f>
        <v/>
      </c>
      <c r="H443" s="22" t="str">
        <f aca="false">IF($A443="","",$B443+Settings!$B$11)</f>
        <v/>
      </c>
      <c r="I443" s="19" t="str">
        <f aca="true">IF($A443="","",IF($G443&lt;=0,"Paid",IF(TODAY()&gt;$H443,"Overdue",IF($F443&gt;0,"Partial","Unpaid"))))</f>
        <v/>
      </c>
      <c r="J443" s="14" t="str">
        <f aca="true">IF($A443="","",IF(AND($G443&gt;0,TODAY()&gt;$H443),TODAY()-$H443,""))</f>
        <v/>
      </c>
      <c r="K443" s="2" t="str">
        <f aca="false">IFERROR(MATCH(ROWS($K$5:$K443),Jobs!$Q$5:$Q$504,0),"")</f>
        <v/>
      </c>
      <c r="M443" s="16"/>
      <c r="N443" s="12"/>
      <c r="O443" s="12"/>
      <c r="P443" s="13"/>
      <c r="Q443" s="19" t="str">
        <f aca="false">IF($N443="","",IFERROR(INDEX($C$5:$C$504,MATCH($N443,$A$5:$A$504,0)),"Invoice not found"))</f>
        <v/>
      </c>
    </row>
    <row r="444" customFormat="false" ht="15" hidden="false" customHeight="false" outlineLevel="0" collapsed="false">
      <c r="A444" s="19" t="str">
        <f aca="false">IF($K444="","",INDEX(Jobs!$O$5:$O$504,$K444))</f>
        <v/>
      </c>
      <c r="B444" s="22" t="str">
        <f aca="false">IF($K444="","",INDEX(Jobs!$A$5:$A$504,$K444))</f>
        <v/>
      </c>
      <c r="C444" s="19" t="str">
        <f aca="false">IF($K444="","",INDEX(Jobs!$B$5:$B$504,$K444))</f>
        <v/>
      </c>
      <c r="D444" s="19" t="str">
        <f aca="false">IF($K444="","",INDEX(Jobs!$J$5:$J$504,$K444))</f>
        <v/>
      </c>
      <c r="E444" s="15" t="str">
        <f aca="false">IF($K444="","",INDEX(Jobs!$N$5:$N$504,$K444))</f>
        <v/>
      </c>
      <c r="F444" s="15" t="str">
        <f aca="false">IF($A444="","",SUMIFS($P$5:$P$1004,$N$5:$N$1004,$A444))</f>
        <v/>
      </c>
      <c r="G444" s="15" t="str">
        <f aca="false">IF($A444="","",$E444-$F444)</f>
        <v/>
      </c>
      <c r="H444" s="22" t="str">
        <f aca="false">IF($A444="","",$B444+Settings!$B$11)</f>
        <v/>
      </c>
      <c r="I444" s="19" t="str">
        <f aca="true">IF($A444="","",IF($G444&lt;=0,"Paid",IF(TODAY()&gt;$H444,"Overdue",IF($F444&gt;0,"Partial","Unpaid"))))</f>
        <v/>
      </c>
      <c r="J444" s="14" t="str">
        <f aca="true">IF($A444="","",IF(AND($G444&gt;0,TODAY()&gt;$H444),TODAY()-$H444,""))</f>
        <v/>
      </c>
      <c r="K444" s="2" t="str">
        <f aca="false">IFERROR(MATCH(ROWS($K$5:$K444),Jobs!$Q$5:$Q$504,0),"")</f>
        <v/>
      </c>
      <c r="M444" s="16"/>
      <c r="N444" s="12"/>
      <c r="O444" s="12"/>
      <c r="P444" s="13"/>
      <c r="Q444" s="19" t="str">
        <f aca="false">IF($N444="","",IFERROR(INDEX($C$5:$C$504,MATCH($N444,$A$5:$A$504,0)),"Invoice not found"))</f>
        <v/>
      </c>
    </row>
    <row r="445" customFormat="false" ht="15" hidden="false" customHeight="false" outlineLevel="0" collapsed="false">
      <c r="A445" s="19" t="str">
        <f aca="false">IF($K445="","",INDEX(Jobs!$O$5:$O$504,$K445))</f>
        <v/>
      </c>
      <c r="B445" s="22" t="str">
        <f aca="false">IF($K445="","",INDEX(Jobs!$A$5:$A$504,$K445))</f>
        <v/>
      </c>
      <c r="C445" s="19" t="str">
        <f aca="false">IF($K445="","",INDEX(Jobs!$B$5:$B$504,$K445))</f>
        <v/>
      </c>
      <c r="D445" s="19" t="str">
        <f aca="false">IF($K445="","",INDEX(Jobs!$J$5:$J$504,$K445))</f>
        <v/>
      </c>
      <c r="E445" s="15" t="str">
        <f aca="false">IF($K445="","",INDEX(Jobs!$N$5:$N$504,$K445))</f>
        <v/>
      </c>
      <c r="F445" s="15" t="str">
        <f aca="false">IF($A445="","",SUMIFS($P$5:$P$1004,$N$5:$N$1004,$A445))</f>
        <v/>
      </c>
      <c r="G445" s="15" t="str">
        <f aca="false">IF($A445="","",$E445-$F445)</f>
        <v/>
      </c>
      <c r="H445" s="22" t="str">
        <f aca="false">IF($A445="","",$B445+Settings!$B$11)</f>
        <v/>
      </c>
      <c r="I445" s="19" t="str">
        <f aca="true">IF($A445="","",IF($G445&lt;=0,"Paid",IF(TODAY()&gt;$H445,"Overdue",IF($F445&gt;0,"Partial","Unpaid"))))</f>
        <v/>
      </c>
      <c r="J445" s="14" t="str">
        <f aca="true">IF($A445="","",IF(AND($G445&gt;0,TODAY()&gt;$H445),TODAY()-$H445,""))</f>
        <v/>
      </c>
      <c r="K445" s="2" t="str">
        <f aca="false">IFERROR(MATCH(ROWS($K$5:$K445),Jobs!$Q$5:$Q$504,0),"")</f>
        <v/>
      </c>
      <c r="M445" s="16"/>
      <c r="N445" s="12"/>
      <c r="O445" s="12"/>
      <c r="P445" s="13"/>
      <c r="Q445" s="19" t="str">
        <f aca="false">IF($N445="","",IFERROR(INDEX($C$5:$C$504,MATCH($N445,$A$5:$A$504,0)),"Invoice not found"))</f>
        <v/>
      </c>
    </row>
    <row r="446" customFormat="false" ht="15" hidden="false" customHeight="false" outlineLevel="0" collapsed="false">
      <c r="A446" s="19" t="str">
        <f aca="false">IF($K446="","",INDEX(Jobs!$O$5:$O$504,$K446))</f>
        <v/>
      </c>
      <c r="B446" s="22" t="str">
        <f aca="false">IF($K446="","",INDEX(Jobs!$A$5:$A$504,$K446))</f>
        <v/>
      </c>
      <c r="C446" s="19" t="str">
        <f aca="false">IF($K446="","",INDEX(Jobs!$B$5:$B$504,$K446))</f>
        <v/>
      </c>
      <c r="D446" s="19" t="str">
        <f aca="false">IF($K446="","",INDEX(Jobs!$J$5:$J$504,$K446))</f>
        <v/>
      </c>
      <c r="E446" s="15" t="str">
        <f aca="false">IF($K446="","",INDEX(Jobs!$N$5:$N$504,$K446))</f>
        <v/>
      </c>
      <c r="F446" s="15" t="str">
        <f aca="false">IF($A446="","",SUMIFS($P$5:$P$1004,$N$5:$N$1004,$A446))</f>
        <v/>
      </c>
      <c r="G446" s="15" t="str">
        <f aca="false">IF($A446="","",$E446-$F446)</f>
        <v/>
      </c>
      <c r="H446" s="22" t="str">
        <f aca="false">IF($A446="","",$B446+Settings!$B$11)</f>
        <v/>
      </c>
      <c r="I446" s="19" t="str">
        <f aca="true">IF($A446="","",IF($G446&lt;=0,"Paid",IF(TODAY()&gt;$H446,"Overdue",IF($F446&gt;0,"Partial","Unpaid"))))</f>
        <v/>
      </c>
      <c r="J446" s="14" t="str">
        <f aca="true">IF($A446="","",IF(AND($G446&gt;0,TODAY()&gt;$H446),TODAY()-$H446,""))</f>
        <v/>
      </c>
      <c r="K446" s="2" t="str">
        <f aca="false">IFERROR(MATCH(ROWS($K$5:$K446),Jobs!$Q$5:$Q$504,0),"")</f>
        <v/>
      </c>
      <c r="M446" s="16"/>
      <c r="N446" s="12"/>
      <c r="O446" s="12"/>
      <c r="P446" s="13"/>
      <c r="Q446" s="19" t="str">
        <f aca="false">IF($N446="","",IFERROR(INDEX($C$5:$C$504,MATCH($N446,$A$5:$A$504,0)),"Invoice not found"))</f>
        <v/>
      </c>
    </row>
    <row r="447" customFormat="false" ht="15" hidden="false" customHeight="false" outlineLevel="0" collapsed="false">
      <c r="A447" s="19" t="str">
        <f aca="false">IF($K447="","",INDEX(Jobs!$O$5:$O$504,$K447))</f>
        <v/>
      </c>
      <c r="B447" s="22" t="str">
        <f aca="false">IF($K447="","",INDEX(Jobs!$A$5:$A$504,$K447))</f>
        <v/>
      </c>
      <c r="C447" s="19" t="str">
        <f aca="false">IF($K447="","",INDEX(Jobs!$B$5:$B$504,$K447))</f>
        <v/>
      </c>
      <c r="D447" s="19" t="str">
        <f aca="false">IF($K447="","",INDEX(Jobs!$J$5:$J$504,$K447))</f>
        <v/>
      </c>
      <c r="E447" s="15" t="str">
        <f aca="false">IF($K447="","",INDEX(Jobs!$N$5:$N$504,$K447))</f>
        <v/>
      </c>
      <c r="F447" s="15" t="str">
        <f aca="false">IF($A447="","",SUMIFS($P$5:$P$1004,$N$5:$N$1004,$A447))</f>
        <v/>
      </c>
      <c r="G447" s="15" t="str">
        <f aca="false">IF($A447="","",$E447-$F447)</f>
        <v/>
      </c>
      <c r="H447" s="22" t="str">
        <f aca="false">IF($A447="","",$B447+Settings!$B$11)</f>
        <v/>
      </c>
      <c r="I447" s="19" t="str">
        <f aca="true">IF($A447="","",IF($G447&lt;=0,"Paid",IF(TODAY()&gt;$H447,"Overdue",IF($F447&gt;0,"Partial","Unpaid"))))</f>
        <v/>
      </c>
      <c r="J447" s="14" t="str">
        <f aca="true">IF($A447="","",IF(AND($G447&gt;0,TODAY()&gt;$H447),TODAY()-$H447,""))</f>
        <v/>
      </c>
      <c r="K447" s="2" t="str">
        <f aca="false">IFERROR(MATCH(ROWS($K$5:$K447),Jobs!$Q$5:$Q$504,0),"")</f>
        <v/>
      </c>
      <c r="M447" s="16"/>
      <c r="N447" s="12"/>
      <c r="O447" s="12"/>
      <c r="P447" s="13"/>
      <c r="Q447" s="19" t="str">
        <f aca="false">IF($N447="","",IFERROR(INDEX($C$5:$C$504,MATCH($N447,$A$5:$A$504,0)),"Invoice not found"))</f>
        <v/>
      </c>
    </row>
    <row r="448" customFormat="false" ht="15" hidden="false" customHeight="false" outlineLevel="0" collapsed="false">
      <c r="A448" s="19" t="str">
        <f aca="false">IF($K448="","",INDEX(Jobs!$O$5:$O$504,$K448))</f>
        <v/>
      </c>
      <c r="B448" s="22" t="str">
        <f aca="false">IF($K448="","",INDEX(Jobs!$A$5:$A$504,$K448))</f>
        <v/>
      </c>
      <c r="C448" s="19" t="str">
        <f aca="false">IF($K448="","",INDEX(Jobs!$B$5:$B$504,$K448))</f>
        <v/>
      </c>
      <c r="D448" s="19" t="str">
        <f aca="false">IF($K448="","",INDEX(Jobs!$J$5:$J$504,$K448))</f>
        <v/>
      </c>
      <c r="E448" s="15" t="str">
        <f aca="false">IF($K448="","",INDEX(Jobs!$N$5:$N$504,$K448))</f>
        <v/>
      </c>
      <c r="F448" s="15" t="str">
        <f aca="false">IF($A448="","",SUMIFS($P$5:$P$1004,$N$5:$N$1004,$A448))</f>
        <v/>
      </c>
      <c r="G448" s="15" t="str">
        <f aca="false">IF($A448="","",$E448-$F448)</f>
        <v/>
      </c>
      <c r="H448" s="22" t="str">
        <f aca="false">IF($A448="","",$B448+Settings!$B$11)</f>
        <v/>
      </c>
      <c r="I448" s="19" t="str">
        <f aca="true">IF($A448="","",IF($G448&lt;=0,"Paid",IF(TODAY()&gt;$H448,"Overdue",IF($F448&gt;0,"Partial","Unpaid"))))</f>
        <v/>
      </c>
      <c r="J448" s="14" t="str">
        <f aca="true">IF($A448="","",IF(AND($G448&gt;0,TODAY()&gt;$H448),TODAY()-$H448,""))</f>
        <v/>
      </c>
      <c r="K448" s="2" t="str">
        <f aca="false">IFERROR(MATCH(ROWS($K$5:$K448),Jobs!$Q$5:$Q$504,0),"")</f>
        <v/>
      </c>
      <c r="M448" s="16"/>
      <c r="N448" s="12"/>
      <c r="O448" s="12"/>
      <c r="P448" s="13"/>
      <c r="Q448" s="19" t="str">
        <f aca="false">IF($N448="","",IFERROR(INDEX($C$5:$C$504,MATCH($N448,$A$5:$A$504,0)),"Invoice not found"))</f>
        <v/>
      </c>
    </row>
    <row r="449" customFormat="false" ht="15" hidden="false" customHeight="false" outlineLevel="0" collapsed="false">
      <c r="A449" s="19" t="str">
        <f aca="false">IF($K449="","",INDEX(Jobs!$O$5:$O$504,$K449))</f>
        <v/>
      </c>
      <c r="B449" s="22" t="str">
        <f aca="false">IF($K449="","",INDEX(Jobs!$A$5:$A$504,$K449))</f>
        <v/>
      </c>
      <c r="C449" s="19" t="str">
        <f aca="false">IF($K449="","",INDEX(Jobs!$B$5:$B$504,$K449))</f>
        <v/>
      </c>
      <c r="D449" s="19" t="str">
        <f aca="false">IF($K449="","",INDEX(Jobs!$J$5:$J$504,$K449))</f>
        <v/>
      </c>
      <c r="E449" s="15" t="str">
        <f aca="false">IF($K449="","",INDEX(Jobs!$N$5:$N$504,$K449))</f>
        <v/>
      </c>
      <c r="F449" s="15" t="str">
        <f aca="false">IF($A449="","",SUMIFS($P$5:$P$1004,$N$5:$N$1004,$A449))</f>
        <v/>
      </c>
      <c r="G449" s="15" t="str">
        <f aca="false">IF($A449="","",$E449-$F449)</f>
        <v/>
      </c>
      <c r="H449" s="22" t="str">
        <f aca="false">IF($A449="","",$B449+Settings!$B$11)</f>
        <v/>
      </c>
      <c r="I449" s="19" t="str">
        <f aca="true">IF($A449="","",IF($G449&lt;=0,"Paid",IF(TODAY()&gt;$H449,"Overdue",IF($F449&gt;0,"Partial","Unpaid"))))</f>
        <v/>
      </c>
      <c r="J449" s="14" t="str">
        <f aca="true">IF($A449="","",IF(AND($G449&gt;0,TODAY()&gt;$H449),TODAY()-$H449,""))</f>
        <v/>
      </c>
      <c r="K449" s="2" t="str">
        <f aca="false">IFERROR(MATCH(ROWS($K$5:$K449),Jobs!$Q$5:$Q$504,0),"")</f>
        <v/>
      </c>
      <c r="M449" s="16"/>
      <c r="N449" s="12"/>
      <c r="O449" s="12"/>
      <c r="P449" s="13"/>
      <c r="Q449" s="19" t="str">
        <f aca="false">IF($N449="","",IFERROR(INDEX($C$5:$C$504,MATCH($N449,$A$5:$A$504,0)),"Invoice not found"))</f>
        <v/>
      </c>
    </row>
    <row r="450" customFormat="false" ht="15" hidden="false" customHeight="false" outlineLevel="0" collapsed="false">
      <c r="A450" s="19" t="str">
        <f aca="false">IF($K450="","",INDEX(Jobs!$O$5:$O$504,$K450))</f>
        <v/>
      </c>
      <c r="B450" s="22" t="str">
        <f aca="false">IF($K450="","",INDEX(Jobs!$A$5:$A$504,$K450))</f>
        <v/>
      </c>
      <c r="C450" s="19" t="str">
        <f aca="false">IF($K450="","",INDEX(Jobs!$B$5:$B$504,$K450))</f>
        <v/>
      </c>
      <c r="D450" s="19" t="str">
        <f aca="false">IF($K450="","",INDEX(Jobs!$J$5:$J$504,$K450))</f>
        <v/>
      </c>
      <c r="E450" s="15" t="str">
        <f aca="false">IF($K450="","",INDEX(Jobs!$N$5:$N$504,$K450))</f>
        <v/>
      </c>
      <c r="F450" s="15" t="str">
        <f aca="false">IF($A450="","",SUMIFS($P$5:$P$1004,$N$5:$N$1004,$A450))</f>
        <v/>
      </c>
      <c r="G450" s="15" t="str">
        <f aca="false">IF($A450="","",$E450-$F450)</f>
        <v/>
      </c>
      <c r="H450" s="22" t="str">
        <f aca="false">IF($A450="","",$B450+Settings!$B$11)</f>
        <v/>
      </c>
      <c r="I450" s="19" t="str">
        <f aca="true">IF($A450="","",IF($G450&lt;=0,"Paid",IF(TODAY()&gt;$H450,"Overdue",IF($F450&gt;0,"Partial","Unpaid"))))</f>
        <v/>
      </c>
      <c r="J450" s="14" t="str">
        <f aca="true">IF($A450="","",IF(AND($G450&gt;0,TODAY()&gt;$H450),TODAY()-$H450,""))</f>
        <v/>
      </c>
      <c r="K450" s="2" t="str">
        <f aca="false">IFERROR(MATCH(ROWS($K$5:$K450),Jobs!$Q$5:$Q$504,0),"")</f>
        <v/>
      </c>
      <c r="M450" s="16"/>
      <c r="N450" s="12"/>
      <c r="O450" s="12"/>
      <c r="P450" s="13"/>
      <c r="Q450" s="19" t="str">
        <f aca="false">IF($N450="","",IFERROR(INDEX($C$5:$C$504,MATCH($N450,$A$5:$A$504,0)),"Invoice not found"))</f>
        <v/>
      </c>
    </row>
    <row r="451" customFormat="false" ht="15" hidden="false" customHeight="false" outlineLevel="0" collapsed="false">
      <c r="A451" s="19" t="str">
        <f aca="false">IF($K451="","",INDEX(Jobs!$O$5:$O$504,$K451))</f>
        <v/>
      </c>
      <c r="B451" s="22" t="str">
        <f aca="false">IF($K451="","",INDEX(Jobs!$A$5:$A$504,$K451))</f>
        <v/>
      </c>
      <c r="C451" s="19" t="str">
        <f aca="false">IF($K451="","",INDEX(Jobs!$B$5:$B$504,$K451))</f>
        <v/>
      </c>
      <c r="D451" s="19" t="str">
        <f aca="false">IF($K451="","",INDEX(Jobs!$J$5:$J$504,$K451))</f>
        <v/>
      </c>
      <c r="E451" s="15" t="str">
        <f aca="false">IF($K451="","",INDEX(Jobs!$N$5:$N$504,$K451))</f>
        <v/>
      </c>
      <c r="F451" s="15" t="str">
        <f aca="false">IF($A451="","",SUMIFS($P$5:$P$1004,$N$5:$N$1004,$A451))</f>
        <v/>
      </c>
      <c r="G451" s="15" t="str">
        <f aca="false">IF($A451="","",$E451-$F451)</f>
        <v/>
      </c>
      <c r="H451" s="22" t="str">
        <f aca="false">IF($A451="","",$B451+Settings!$B$11)</f>
        <v/>
      </c>
      <c r="I451" s="19" t="str">
        <f aca="true">IF($A451="","",IF($G451&lt;=0,"Paid",IF(TODAY()&gt;$H451,"Overdue",IF($F451&gt;0,"Partial","Unpaid"))))</f>
        <v/>
      </c>
      <c r="J451" s="14" t="str">
        <f aca="true">IF($A451="","",IF(AND($G451&gt;0,TODAY()&gt;$H451),TODAY()-$H451,""))</f>
        <v/>
      </c>
      <c r="K451" s="2" t="str">
        <f aca="false">IFERROR(MATCH(ROWS($K$5:$K451),Jobs!$Q$5:$Q$504,0),"")</f>
        <v/>
      </c>
      <c r="M451" s="16"/>
      <c r="N451" s="12"/>
      <c r="O451" s="12"/>
      <c r="P451" s="13"/>
      <c r="Q451" s="19" t="str">
        <f aca="false">IF($N451="","",IFERROR(INDEX($C$5:$C$504,MATCH($N451,$A$5:$A$504,0)),"Invoice not found"))</f>
        <v/>
      </c>
    </row>
    <row r="452" customFormat="false" ht="15" hidden="false" customHeight="false" outlineLevel="0" collapsed="false">
      <c r="A452" s="19" t="str">
        <f aca="false">IF($K452="","",INDEX(Jobs!$O$5:$O$504,$K452))</f>
        <v/>
      </c>
      <c r="B452" s="22" t="str">
        <f aca="false">IF($K452="","",INDEX(Jobs!$A$5:$A$504,$K452))</f>
        <v/>
      </c>
      <c r="C452" s="19" t="str">
        <f aca="false">IF($K452="","",INDEX(Jobs!$B$5:$B$504,$K452))</f>
        <v/>
      </c>
      <c r="D452" s="19" t="str">
        <f aca="false">IF($K452="","",INDEX(Jobs!$J$5:$J$504,$K452))</f>
        <v/>
      </c>
      <c r="E452" s="15" t="str">
        <f aca="false">IF($K452="","",INDEX(Jobs!$N$5:$N$504,$K452))</f>
        <v/>
      </c>
      <c r="F452" s="15" t="str">
        <f aca="false">IF($A452="","",SUMIFS($P$5:$P$1004,$N$5:$N$1004,$A452))</f>
        <v/>
      </c>
      <c r="G452" s="15" t="str">
        <f aca="false">IF($A452="","",$E452-$F452)</f>
        <v/>
      </c>
      <c r="H452" s="22" t="str">
        <f aca="false">IF($A452="","",$B452+Settings!$B$11)</f>
        <v/>
      </c>
      <c r="I452" s="19" t="str">
        <f aca="true">IF($A452="","",IF($G452&lt;=0,"Paid",IF(TODAY()&gt;$H452,"Overdue",IF($F452&gt;0,"Partial","Unpaid"))))</f>
        <v/>
      </c>
      <c r="J452" s="14" t="str">
        <f aca="true">IF($A452="","",IF(AND($G452&gt;0,TODAY()&gt;$H452),TODAY()-$H452,""))</f>
        <v/>
      </c>
      <c r="K452" s="2" t="str">
        <f aca="false">IFERROR(MATCH(ROWS($K$5:$K452),Jobs!$Q$5:$Q$504,0),"")</f>
        <v/>
      </c>
      <c r="M452" s="16"/>
      <c r="N452" s="12"/>
      <c r="O452" s="12"/>
      <c r="P452" s="13"/>
      <c r="Q452" s="19" t="str">
        <f aca="false">IF($N452="","",IFERROR(INDEX($C$5:$C$504,MATCH($N452,$A$5:$A$504,0)),"Invoice not found"))</f>
        <v/>
      </c>
    </row>
    <row r="453" customFormat="false" ht="15" hidden="false" customHeight="false" outlineLevel="0" collapsed="false">
      <c r="A453" s="19" t="str">
        <f aca="false">IF($K453="","",INDEX(Jobs!$O$5:$O$504,$K453))</f>
        <v/>
      </c>
      <c r="B453" s="22" t="str">
        <f aca="false">IF($K453="","",INDEX(Jobs!$A$5:$A$504,$K453))</f>
        <v/>
      </c>
      <c r="C453" s="19" t="str">
        <f aca="false">IF($K453="","",INDEX(Jobs!$B$5:$B$504,$K453))</f>
        <v/>
      </c>
      <c r="D453" s="19" t="str">
        <f aca="false">IF($K453="","",INDEX(Jobs!$J$5:$J$504,$K453))</f>
        <v/>
      </c>
      <c r="E453" s="15" t="str">
        <f aca="false">IF($K453="","",INDEX(Jobs!$N$5:$N$504,$K453))</f>
        <v/>
      </c>
      <c r="F453" s="15" t="str">
        <f aca="false">IF($A453="","",SUMIFS($P$5:$P$1004,$N$5:$N$1004,$A453))</f>
        <v/>
      </c>
      <c r="G453" s="15" t="str">
        <f aca="false">IF($A453="","",$E453-$F453)</f>
        <v/>
      </c>
      <c r="H453" s="22" t="str">
        <f aca="false">IF($A453="","",$B453+Settings!$B$11)</f>
        <v/>
      </c>
      <c r="I453" s="19" t="str">
        <f aca="true">IF($A453="","",IF($G453&lt;=0,"Paid",IF(TODAY()&gt;$H453,"Overdue",IF($F453&gt;0,"Partial","Unpaid"))))</f>
        <v/>
      </c>
      <c r="J453" s="14" t="str">
        <f aca="true">IF($A453="","",IF(AND($G453&gt;0,TODAY()&gt;$H453),TODAY()-$H453,""))</f>
        <v/>
      </c>
      <c r="K453" s="2" t="str">
        <f aca="false">IFERROR(MATCH(ROWS($K$5:$K453),Jobs!$Q$5:$Q$504,0),"")</f>
        <v/>
      </c>
      <c r="M453" s="16"/>
      <c r="N453" s="12"/>
      <c r="O453" s="12"/>
      <c r="P453" s="13"/>
      <c r="Q453" s="19" t="str">
        <f aca="false">IF($N453="","",IFERROR(INDEX($C$5:$C$504,MATCH($N453,$A$5:$A$504,0)),"Invoice not found"))</f>
        <v/>
      </c>
    </row>
    <row r="454" customFormat="false" ht="15" hidden="false" customHeight="false" outlineLevel="0" collapsed="false">
      <c r="A454" s="19" t="str">
        <f aca="false">IF($K454="","",INDEX(Jobs!$O$5:$O$504,$K454))</f>
        <v/>
      </c>
      <c r="B454" s="22" t="str">
        <f aca="false">IF($K454="","",INDEX(Jobs!$A$5:$A$504,$K454))</f>
        <v/>
      </c>
      <c r="C454" s="19" t="str">
        <f aca="false">IF($K454="","",INDEX(Jobs!$B$5:$B$504,$K454))</f>
        <v/>
      </c>
      <c r="D454" s="19" t="str">
        <f aca="false">IF($K454="","",INDEX(Jobs!$J$5:$J$504,$K454))</f>
        <v/>
      </c>
      <c r="E454" s="15" t="str">
        <f aca="false">IF($K454="","",INDEX(Jobs!$N$5:$N$504,$K454))</f>
        <v/>
      </c>
      <c r="F454" s="15" t="str">
        <f aca="false">IF($A454="","",SUMIFS($P$5:$P$1004,$N$5:$N$1004,$A454))</f>
        <v/>
      </c>
      <c r="G454" s="15" t="str">
        <f aca="false">IF($A454="","",$E454-$F454)</f>
        <v/>
      </c>
      <c r="H454" s="22" t="str">
        <f aca="false">IF($A454="","",$B454+Settings!$B$11)</f>
        <v/>
      </c>
      <c r="I454" s="19" t="str">
        <f aca="true">IF($A454="","",IF($G454&lt;=0,"Paid",IF(TODAY()&gt;$H454,"Overdue",IF($F454&gt;0,"Partial","Unpaid"))))</f>
        <v/>
      </c>
      <c r="J454" s="14" t="str">
        <f aca="true">IF($A454="","",IF(AND($G454&gt;0,TODAY()&gt;$H454),TODAY()-$H454,""))</f>
        <v/>
      </c>
      <c r="K454" s="2" t="str">
        <f aca="false">IFERROR(MATCH(ROWS($K$5:$K454),Jobs!$Q$5:$Q$504,0),"")</f>
        <v/>
      </c>
      <c r="M454" s="16"/>
      <c r="N454" s="12"/>
      <c r="O454" s="12"/>
      <c r="P454" s="13"/>
      <c r="Q454" s="19" t="str">
        <f aca="false">IF($N454="","",IFERROR(INDEX($C$5:$C$504,MATCH($N454,$A$5:$A$504,0)),"Invoice not found"))</f>
        <v/>
      </c>
    </row>
    <row r="455" customFormat="false" ht="15" hidden="false" customHeight="false" outlineLevel="0" collapsed="false">
      <c r="A455" s="19" t="str">
        <f aca="false">IF($K455="","",INDEX(Jobs!$O$5:$O$504,$K455))</f>
        <v/>
      </c>
      <c r="B455" s="22" t="str">
        <f aca="false">IF($K455="","",INDEX(Jobs!$A$5:$A$504,$K455))</f>
        <v/>
      </c>
      <c r="C455" s="19" t="str">
        <f aca="false">IF($K455="","",INDEX(Jobs!$B$5:$B$504,$K455))</f>
        <v/>
      </c>
      <c r="D455" s="19" t="str">
        <f aca="false">IF($K455="","",INDEX(Jobs!$J$5:$J$504,$K455))</f>
        <v/>
      </c>
      <c r="E455" s="15" t="str">
        <f aca="false">IF($K455="","",INDEX(Jobs!$N$5:$N$504,$K455))</f>
        <v/>
      </c>
      <c r="F455" s="15" t="str">
        <f aca="false">IF($A455="","",SUMIFS($P$5:$P$1004,$N$5:$N$1004,$A455))</f>
        <v/>
      </c>
      <c r="G455" s="15" t="str">
        <f aca="false">IF($A455="","",$E455-$F455)</f>
        <v/>
      </c>
      <c r="H455" s="22" t="str">
        <f aca="false">IF($A455="","",$B455+Settings!$B$11)</f>
        <v/>
      </c>
      <c r="I455" s="19" t="str">
        <f aca="true">IF($A455="","",IF($G455&lt;=0,"Paid",IF(TODAY()&gt;$H455,"Overdue",IF($F455&gt;0,"Partial","Unpaid"))))</f>
        <v/>
      </c>
      <c r="J455" s="14" t="str">
        <f aca="true">IF($A455="","",IF(AND($G455&gt;0,TODAY()&gt;$H455),TODAY()-$H455,""))</f>
        <v/>
      </c>
      <c r="K455" s="2" t="str">
        <f aca="false">IFERROR(MATCH(ROWS($K$5:$K455),Jobs!$Q$5:$Q$504,0),"")</f>
        <v/>
      </c>
      <c r="M455" s="16"/>
      <c r="N455" s="12"/>
      <c r="O455" s="12"/>
      <c r="P455" s="13"/>
      <c r="Q455" s="19" t="str">
        <f aca="false">IF($N455="","",IFERROR(INDEX($C$5:$C$504,MATCH($N455,$A$5:$A$504,0)),"Invoice not found"))</f>
        <v/>
      </c>
    </row>
    <row r="456" customFormat="false" ht="15" hidden="false" customHeight="false" outlineLevel="0" collapsed="false">
      <c r="A456" s="19" t="str">
        <f aca="false">IF($K456="","",INDEX(Jobs!$O$5:$O$504,$K456))</f>
        <v/>
      </c>
      <c r="B456" s="22" t="str">
        <f aca="false">IF($K456="","",INDEX(Jobs!$A$5:$A$504,$K456))</f>
        <v/>
      </c>
      <c r="C456" s="19" t="str">
        <f aca="false">IF($K456="","",INDEX(Jobs!$B$5:$B$504,$K456))</f>
        <v/>
      </c>
      <c r="D456" s="19" t="str">
        <f aca="false">IF($K456="","",INDEX(Jobs!$J$5:$J$504,$K456))</f>
        <v/>
      </c>
      <c r="E456" s="15" t="str">
        <f aca="false">IF($K456="","",INDEX(Jobs!$N$5:$N$504,$K456))</f>
        <v/>
      </c>
      <c r="F456" s="15" t="str">
        <f aca="false">IF($A456="","",SUMIFS($P$5:$P$1004,$N$5:$N$1004,$A456))</f>
        <v/>
      </c>
      <c r="G456" s="15" t="str">
        <f aca="false">IF($A456="","",$E456-$F456)</f>
        <v/>
      </c>
      <c r="H456" s="22" t="str">
        <f aca="false">IF($A456="","",$B456+Settings!$B$11)</f>
        <v/>
      </c>
      <c r="I456" s="19" t="str">
        <f aca="true">IF($A456="","",IF($G456&lt;=0,"Paid",IF(TODAY()&gt;$H456,"Overdue",IF($F456&gt;0,"Partial","Unpaid"))))</f>
        <v/>
      </c>
      <c r="J456" s="14" t="str">
        <f aca="true">IF($A456="","",IF(AND($G456&gt;0,TODAY()&gt;$H456),TODAY()-$H456,""))</f>
        <v/>
      </c>
      <c r="K456" s="2" t="str">
        <f aca="false">IFERROR(MATCH(ROWS($K$5:$K456),Jobs!$Q$5:$Q$504,0),"")</f>
        <v/>
      </c>
      <c r="M456" s="16"/>
      <c r="N456" s="12"/>
      <c r="O456" s="12"/>
      <c r="P456" s="13"/>
      <c r="Q456" s="19" t="str">
        <f aca="false">IF($N456="","",IFERROR(INDEX($C$5:$C$504,MATCH($N456,$A$5:$A$504,0)),"Invoice not found"))</f>
        <v/>
      </c>
    </row>
    <row r="457" customFormat="false" ht="15" hidden="false" customHeight="false" outlineLevel="0" collapsed="false">
      <c r="A457" s="19" t="str">
        <f aca="false">IF($K457="","",INDEX(Jobs!$O$5:$O$504,$K457))</f>
        <v/>
      </c>
      <c r="B457" s="22" t="str">
        <f aca="false">IF($K457="","",INDEX(Jobs!$A$5:$A$504,$K457))</f>
        <v/>
      </c>
      <c r="C457" s="19" t="str">
        <f aca="false">IF($K457="","",INDEX(Jobs!$B$5:$B$504,$K457))</f>
        <v/>
      </c>
      <c r="D457" s="19" t="str">
        <f aca="false">IF($K457="","",INDEX(Jobs!$J$5:$J$504,$K457))</f>
        <v/>
      </c>
      <c r="E457" s="15" t="str">
        <f aca="false">IF($K457="","",INDEX(Jobs!$N$5:$N$504,$K457))</f>
        <v/>
      </c>
      <c r="F457" s="15" t="str">
        <f aca="false">IF($A457="","",SUMIFS($P$5:$P$1004,$N$5:$N$1004,$A457))</f>
        <v/>
      </c>
      <c r="G457" s="15" t="str">
        <f aca="false">IF($A457="","",$E457-$F457)</f>
        <v/>
      </c>
      <c r="H457" s="22" t="str">
        <f aca="false">IF($A457="","",$B457+Settings!$B$11)</f>
        <v/>
      </c>
      <c r="I457" s="19" t="str">
        <f aca="true">IF($A457="","",IF($G457&lt;=0,"Paid",IF(TODAY()&gt;$H457,"Overdue",IF($F457&gt;0,"Partial","Unpaid"))))</f>
        <v/>
      </c>
      <c r="J457" s="14" t="str">
        <f aca="true">IF($A457="","",IF(AND($G457&gt;0,TODAY()&gt;$H457),TODAY()-$H457,""))</f>
        <v/>
      </c>
      <c r="K457" s="2" t="str">
        <f aca="false">IFERROR(MATCH(ROWS($K$5:$K457),Jobs!$Q$5:$Q$504,0),"")</f>
        <v/>
      </c>
      <c r="M457" s="16"/>
      <c r="N457" s="12"/>
      <c r="O457" s="12"/>
      <c r="P457" s="13"/>
      <c r="Q457" s="19" t="str">
        <f aca="false">IF($N457="","",IFERROR(INDEX($C$5:$C$504,MATCH($N457,$A$5:$A$504,0)),"Invoice not found"))</f>
        <v/>
      </c>
    </row>
    <row r="458" customFormat="false" ht="15" hidden="false" customHeight="false" outlineLevel="0" collapsed="false">
      <c r="A458" s="19" t="str">
        <f aca="false">IF($K458="","",INDEX(Jobs!$O$5:$O$504,$K458))</f>
        <v/>
      </c>
      <c r="B458" s="22" t="str">
        <f aca="false">IF($K458="","",INDEX(Jobs!$A$5:$A$504,$K458))</f>
        <v/>
      </c>
      <c r="C458" s="19" t="str">
        <f aca="false">IF($K458="","",INDEX(Jobs!$B$5:$B$504,$K458))</f>
        <v/>
      </c>
      <c r="D458" s="19" t="str">
        <f aca="false">IF($K458="","",INDEX(Jobs!$J$5:$J$504,$K458))</f>
        <v/>
      </c>
      <c r="E458" s="15" t="str">
        <f aca="false">IF($K458="","",INDEX(Jobs!$N$5:$N$504,$K458))</f>
        <v/>
      </c>
      <c r="F458" s="15" t="str">
        <f aca="false">IF($A458="","",SUMIFS($P$5:$P$1004,$N$5:$N$1004,$A458))</f>
        <v/>
      </c>
      <c r="G458" s="15" t="str">
        <f aca="false">IF($A458="","",$E458-$F458)</f>
        <v/>
      </c>
      <c r="H458" s="22" t="str">
        <f aca="false">IF($A458="","",$B458+Settings!$B$11)</f>
        <v/>
      </c>
      <c r="I458" s="19" t="str">
        <f aca="true">IF($A458="","",IF($G458&lt;=0,"Paid",IF(TODAY()&gt;$H458,"Overdue",IF($F458&gt;0,"Partial","Unpaid"))))</f>
        <v/>
      </c>
      <c r="J458" s="14" t="str">
        <f aca="true">IF($A458="","",IF(AND($G458&gt;0,TODAY()&gt;$H458),TODAY()-$H458,""))</f>
        <v/>
      </c>
      <c r="K458" s="2" t="str">
        <f aca="false">IFERROR(MATCH(ROWS($K$5:$K458),Jobs!$Q$5:$Q$504,0),"")</f>
        <v/>
      </c>
      <c r="M458" s="16"/>
      <c r="N458" s="12"/>
      <c r="O458" s="12"/>
      <c r="P458" s="13"/>
      <c r="Q458" s="19" t="str">
        <f aca="false">IF($N458="","",IFERROR(INDEX($C$5:$C$504,MATCH($N458,$A$5:$A$504,0)),"Invoice not found"))</f>
        <v/>
      </c>
    </row>
    <row r="459" customFormat="false" ht="15" hidden="false" customHeight="false" outlineLevel="0" collapsed="false">
      <c r="A459" s="19" t="str">
        <f aca="false">IF($K459="","",INDEX(Jobs!$O$5:$O$504,$K459))</f>
        <v/>
      </c>
      <c r="B459" s="22" t="str">
        <f aca="false">IF($K459="","",INDEX(Jobs!$A$5:$A$504,$K459))</f>
        <v/>
      </c>
      <c r="C459" s="19" t="str">
        <f aca="false">IF($K459="","",INDEX(Jobs!$B$5:$B$504,$K459))</f>
        <v/>
      </c>
      <c r="D459" s="19" t="str">
        <f aca="false">IF($K459="","",INDEX(Jobs!$J$5:$J$504,$K459))</f>
        <v/>
      </c>
      <c r="E459" s="15" t="str">
        <f aca="false">IF($K459="","",INDEX(Jobs!$N$5:$N$504,$K459))</f>
        <v/>
      </c>
      <c r="F459" s="15" t="str">
        <f aca="false">IF($A459="","",SUMIFS($P$5:$P$1004,$N$5:$N$1004,$A459))</f>
        <v/>
      </c>
      <c r="G459" s="15" t="str">
        <f aca="false">IF($A459="","",$E459-$F459)</f>
        <v/>
      </c>
      <c r="H459" s="22" t="str">
        <f aca="false">IF($A459="","",$B459+Settings!$B$11)</f>
        <v/>
      </c>
      <c r="I459" s="19" t="str">
        <f aca="true">IF($A459="","",IF($G459&lt;=0,"Paid",IF(TODAY()&gt;$H459,"Overdue",IF($F459&gt;0,"Partial","Unpaid"))))</f>
        <v/>
      </c>
      <c r="J459" s="14" t="str">
        <f aca="true">IF($A459="","",IF(AND($G459&gt;0,TODAY()&gt;$H459),TODAY()-$H459,""))</f>
        <v/>
      </c>
      <c r="K459" s="2" t="str">
        <f aca="false">IFERROR(MATCH(ROWS($K$5:$K459),Jobs!$Q$5:$Q$504,0),"")</f>
        <v/>
      </c>
      <c r="M459" s="16"/>
      <c r="N459" s="12"/>
      <c r="O459" s="12"/>
      <c r="P459" s="13"/>
      <c r="Q459" s="19" t="str">
        <f aca="false">IF($N459="","",IFERROR(INDEX($C$5:$C$504,MATCH($N459,$A$5:$A$504,0)),"Invoice not found"))</f>
        <v/>
      </c>
    </row>
    <row r="460" customFormat="false" ht="15" hidden="false" customHeight="false" outlineLevel="0" collapsed="false">
      <c r="A460" s="19" t="str">
        <f aca="false">IF($K460="","",INDEX(Jobs!$O$5:$O$504,$K460))</f>
        <v/>
      </c>
      <c r="B460" s="22" t="str">
        <f aca="false">IF($K460="","",INDEX(Jobs!$A$5:$A$504,$K460))</f>
        <v/>
      </c>
      <c r="C460" s="19" t="str">
        <f aca="false">IF($K460="","",INDEX(Jobs!$B$5:$B$504,$K460))</f>
        <v/>
      </c>
      <c r="D460" s="19" t="str">
        <f aca="false">IF($K460="","",INDEX(Jobs!$J$5:$J$504,$K460))</f>
        <v/>
      </c>
      <c r="E460" s="15" t="str">
        <f aca="false">IF($K460="","",INDEX(Jobs!$N$5:$N$504,$K460))</f>
        <v/>
      </c>
      <c r="F460" s="15" t="str">
        <f aca="false">IF($A460="","",SUMIFS($P$5:$P$1004,$N$5:$N$1004,$A460))</f>
        <v/>
      </c>
      <c r="G460" s="15" t="str">
        <f aca="false">IF($A460="","",$E460-$F460)</f>
        <v/>
      </c>
      <c r="H460" s="22" t="str">
        <f aca="false">IF($A460="","",$B460+Settings!$B$11)</f>
        <v/>
      </c>
      <c r="I460" s="19" t="str">
        <f aca="true">IF($A460="","",IF($G460&lt;=0,"Paid",IF(TODAY()&gt;$H460,"Overdue",IF($F460&gt;0,"Partial","Unpaid"))))</f>
        <v/>
      </c>
      <c r="J460" s="14" t="str">
        <f aca="true">IF($A460="","",IF(AND($G460&gt;0,TODAY()&gt;$H460),TODAY()-$H460,""))</f>
        <v/>
      </c>
      <c r="K460" s="2" t="str">
        <f aca="false">IFERROR(MATCH(ROWS($K$5:$K460),Jobs!$Q$5:$Q$504,0),"")</f>
        <v/>
      </c>
      <c r="M460" s="16"/>
      <c r="N460" s="12"/>
      <c r="O460" s="12"/>
      <c r="P460" s="13"/>
      <c r="Q460" s="19" t="str">
        <f aca="false">IF($N460="","",IFERROR(INDEX($C$5:$C$504,MATCH($N460,$A$5:$A$504,0)),"Invoice not found"))</f>
        <v/>
      </c>
    </row>
    <row r="461" customFormat="false" ht="15" hidden="false" customHeight="false" outlineLevel="0" collapsed="false">
      <c r="A461" s="19" t="str">
        <f aca="false">IF($K461="","",INDEX(Jobs!$O$5:$O$504,$K461))</f>
        <v/>
      </c>
      <c r="B461" s="22" t="str">
        <f aca="false">IF($K461="","",INDEX(Jobs!$A$5:$A$504,$K461))</f>
        <v/>
      </c>
      <c r="C461" s="19" t="str">
        <f aca="false">IF($K461="","",INDEX(Jobs!$B$5:$B$504,$K461))</f>
        <v/>
      </c>
      <c r="D461" s="19" t="str">
        <f aca="false">IF($K461="","",INDEX(Jobs!$J$5:$J$504,$K461))</f>
        <v/>
      </c>
      <c r="E461" s="15" t="str">
        <f aca="false">IF($K461="","",INDEX(Jobs!$N$5:$N$504,$K461))</f>
        <v/>
      </c>
      <c r="F461" s="15" t="str">
        <f aca="false">IF($A461="","",SUMIFS($P$5:$P$1004,$N$5:$N$1004,$A461))</f>
        <v/>
      </c>
      <c r="G461" s="15" t="str">
        <f aca="false">IF($A461="","",$E461-$F461)</f>
        <v/>
      </c>
      <c r="H461" s="22" t="str">
        <f aca="false">IF($A461="","",$B461+Settings!$B$11)</f>
        <v/>
      </c>
      <c r="I461" s="19" t="str">
        <f aca="true">IF($A461="","",IF($G461&lt;=0,"Paid",IF(TODAY()&gt;$H461,"Overdue",IF($F461&gt;0,"Partial","Unpaid"))))</f>
        <v/>
      </c>
      <c r="J461" s="14" t="str">
        <f aca="true">IF($A461="","",IF(AND($G461&gt;0,TODAY()&gt;$H461),TODAY()-$H461,""))</f>
        <v/>
      </c>
      <c r="K461" s="2" t="str">
        <f aca="false">IFERROR(MATCH(ROWS($K$5:$K461),Jobs!$Q$5:$Q$504,0),"")</f>
        <v/>
      </c>
      <c r="M461" s="16"/>
      <c r="N461" s="12"/>
      <c r="O461" s="12"/>
      <c r="P461" s="13"/>
      <c r="Q461" s="19" t="str">
        <f aca="false">IF($N461="","",IFERROR(INDEX($C$5:$C$504,MATCH($N461,$A$5:$A$504,0)),"Invoice not found"))</f>
        <v/>
      </c>
    </row>
    <row r="462" customFormat="false" ht="15" hidden="false" customHeight="false" outlineLevel="0" collapsed="false">
      <c r="A462" s="19" t="str">
        <f aca="false">IF($K462="","",INDEX(Jobs!$O$5:$O$504,$K462))</f>
        <v/>
      </c>
      <c r="B462" s="22" t="str">
        <f aca="false">IF($K462="","",INDEX(Jobs!$A$5:$A$504,$K462))</f>
        <v/>
      </c>
      <c r="C462" s="19" t="str">
        <f aca="false">IF($K462="","",INDEX(Jobs!$B$5:$B$504,$K462))</f>
        <v/>
      </c>
      <c r="D462" s="19" t="str">
        <f aca="false">IF($K462="","",INDEX(Jobs!$J$5:$J$504,$K462))</f>
        <v/>
      </c>
      <c r="E462" s="15" t="str">
        <f aca="false">IF($K462="","",INDEX(Jobs!$N$5:$N$504,$K462))</f>
        <v/>
      </c>
      <c r="F462" s="15" t="str">
        <f aca="false">IF($A462="","",SUMIFS($P$5:$P$1004,$N$5:$N$1004,$A462))</f>
        <v/>
      </c>
      <c r="G462" s="15" t="str">
        <f aca="false">IF($A462="","",$E462-$F462)</f>
        <v/>
      </c>
      <c r="H462" s="22" t="str">
        <f aca="false">IF($A462="","",$B462+Settings!$B$11)</f>
        <v/>
      </c>
      <c r="I462" s="19" t="str">
        <f aca="true">IF($A462="","",IF($G462&lt;=0,"Paid",IF(TODAY()&gt;$H462,"Overdue",IF($F462&gt;0,"Partial","Unpaid"))))</f>
        <v/>
      </c>
      <c r="J462" s="14" t="str">
        <f aca="true">IF($A462="","",IF(AND($G462&gt;0,TODAY()&gt;$H462),TODAY()-$H462,""))</f>
        <v/>
      </c>
      <c r="K462" s="2" t="str">
        <f aca="false">IFERROR(MATCH(ROWS($K$5:$K462),Jobs!$Q$5:$Q$504,0),"")</f>
        <v/>
      </c>
      <c r="M462" s="16"/>
      <c r="N462" s="12"/>
      <c r="O462" s="12"/>
      <c r="P462" s="13"/>
      <c r="Q462" s="19" t="str">
        <f aca="false">IF($N462="","",IFERROR(INDEX($C$5:$C$504,MATCH($N462,$A$5:$A$504,0)),"Invoice not found"))</f>
        <v/>
      </c>
    </row>
    <row r="463" customFormat="false" ht="15" hidden="false" customHeight="false" outlineLevel="0" collapsed="false">
      <c r="A463" s="19" t="str">
        <f aca="false">IF($K463="","",INDEX(Jobs!$O$5:$O$504,$K463))</f>
        <v/>
      </c>
      <c r="B463" s="22" t="str">
        <f aca="false">IF($K463="","",INDEX(Jobs!$A$5:$A$504,$K463))</f>
        <v/>
      </c>
      <c r="C463" s="19" t="str">
        <f aca="false">IF($K463="","",INDEX(Jobs!$B$5:$B$504,$K463))</f>
        <v/>
      </c>
      <c r="D463" s="19" t="str">
        <f aca="false">IF($K463="","",INDEX(Jobs!$J$5:$J$504,$K463))</f>
        <v/>
      </c>
      <c r="E463" s="15" t="str">
        <f aca="false">IF($K463="","",INDEX(Jobs!$N$5:$N$504,$K463))</f>
        <v/>
      </c>
      <c r="F463" s="15" t="str">
        <f aca="false">IF($A463="","",SUMIFS($P$5:$P$1004,$N$5:$N$1004,$A463))</f>
        <v/>
      </c>
      <c r="G463" s="15" t="str">
        <f aca="false">IF($A463="","",$E463-$F463)</f>
        <v/>
      </c>
      <c r="H463" s="22" t="str">
        <f aca="false">IF($A463="","",$B463+Settings!$B$11)</f>
        <v/>
      </c>
      <c r="I463" s="19" t="str">
        <f aca="true">IF($A463="","",IF($G463&lt;=0,"Paid",IF(TODAY()&gt;$H463,"Overdue",IF($F463&gt;0,"Partial","Unpaid"))))</f>
        <v/>
      </c>
      <c r="J463" s="14" t="str">
        <f aca="true">IF($A463="","",IF(AND($G463&gt;0,TODAY()&gt;$H463),TODAY()-$H463,""))</f>
        <v/>
      </c>
      <c r="K463" s="2" t="str">
        <f aca="false">IFERROR(MATCH(ROWS($K$5:$K463),Jobs!$Q$5:$Q$504,0),"")</f>
        <v/>
      </c>
      <c r="M463" s="16"/>
      <c r="N463" s="12"/>
      <c r="O463" s="12"/>
      <c r="P463" s="13"/>
      <c r="Q463" s="19" t="str">
        <f aca="false">IF($N463="","",IFERROR(INDEX($C$5:$C$504,MATCH($N463,$A$5:$A$504,0)),"Invoice not found"))</f>
        <v/>
      </c>
    </row>
    <row r="464" customFormat="false" ht="15" hidden="false" customHeight="false" outlineLevel="0" collapsed="false">
      <c r="A464" s="19" t="str">
        <f aca="false">IF($K464="","",INDEX(Jobs!$O$5:$O$504,$K464))</f>
        <v/>
      </c>
      <c r="B464" s="22" t="str">
        <f aca="false">IF($K464="","",INDEX(Jobs!$A$5:$A$504,$K464))</f>
        <v/>
      </c>
      <c r="C464" s="19" t="str">
        <f aca="false">IF($K464="","",INDEX(Jobs!$B$5:$B$504,$K464))</f>
        <v/>
      </c>
      <c r="D464" s="19" t="str">
        <f aca="false">IF($K464="","",INDEX(Jobs!$J$5:$J$504,$K464))</f>
        <v/>
      </c>
      <c r="E464" s="15" t="str">
        <f aca="false">IF($K464="","",INDEX(Jobs!$N$5:$N$504,$K464))</f>
        <v/>
      </c>
      <c r="F464" s="15" t="str">
        <f aca="false">IF($A464="","",SUMIFS($P$5:$P$1004,$N$5:$N$1004,$A464))</f>
        <v/>
      </c>
      <c r="G464" s="15" t="str">
        <f aca="false">IF($A464="","",$E464-$F464)</f>
        <v/>
      </c>
      <c r="H464" s="22" t="str">
        <f aca="false">IF($A464="","",$B464+Settings!$B$11)</f>
        <v/>
      </c>
      <c r="I464" s="19" t="str">
        <f aca="true">IF($A464="","",IF($G464&lt;=0,"Paid",IF(TODAY()&gt;$H464,"Overdue",IF($F464&gt;0,"Partial","Unpaid"))))</f>
        <v/>
      </c>
      <c r="J464" s="14" t="str">
        <f aca="true">IF($A464="","",IF(AND($G464&gt;0,TODAY()&gt;$H464),TODAY()-$H464,""))</f>
        <v/>
      </c>
      <c r="K464" s="2" t="str">
        <f aca="false">IFERROR(MATCH(ROWS($K$5:$K464),Jobs!$Q$5:$Q$504,0),"")</f>
        <v/>
      </c>
      <c r="M464" s="16"/>
      <c r="N464" s="12"/>
      <c r="O464" s="12"/>
      <c r="P464" s="13"/>
      <c r="Q464" s="19" t="str">
        <f aca="false">IF($N464="","",IFERROR(INDEX($C$5:$C$504,MATCH($N464,$A$5:$A$504,0)),"Invoice not found"))</f>
        <v/>
      </c>
    </row>
    <row r="465" customFormat="false" ht="15" hidden="false" customHeight="false" outlineLevel="0" collapsed="false">
      <c r="A465" s="19" t="str">
        <f aca="false">IF($K465="","",INDEX(Jobs!$O$5:$O$504,$K465))</f>
        <v/>
      </c>
      <c r="B465" s="22" t="str">
        <f aca="false">IF($K465="","",INDEX(Jobs!$A$5:$A$504,$K465))</f>
        <v/>
      </c>
      <c r="C465" s="19" t="str">
        <f aca="false">IF($K465="","",INDEX(Jobs!$B$5:$B$504,$K465))</f>
        <v/>
      </c>
      <c r="D465" s="19" t="str">
        <f aca="false">IF($K465="","",INDEX(Jobs!$J$5:$J$504,$K465))</f>
        <v/>
      </c>
      <c r="E465" s="15" t="str">
        <f aca="false">IF($K465="","",INDEX(Jobs!$N$5:$N$504,$K465))</f>
        <v/>
      </c>
      <c r="F465" s="15" t="str">
        <f aca="false">IF($A465="","",SUMIFS($P$5:$P$1004,$N$5:$N$1004,$A465))</f>
        <v/>
      </c>
      <c r="G465" s="15" t="str">
        <f aca="false">IF($A465="","",$E465-$F465)</f>
        <v/>
      </c>
      <c r="H465" s="22" t="str">
        <f aca="false">IF($A465="","",$B465+Settings!$B$11)</f>
        <v/>
      </c>
      <c r="I465" s="19" t="str">
        <f aca="true">IF($A465="","",IF($G465&lt;=0,"Paid",IF(TODAY()&gt;$H465,"Overdue",IF($F465&gt;0,"Partial","Unpaid"))))</f>
        <v/>
      </c>
      <c r="J465" s="14" t="str">
        <f aca="true">IF($A465="","",IF(AND($G465&gt;0,TODAY()&gt;$H465),TODAY()-$H465,""))</f>
        <v/>
      </c>
      <c r="K465" s="2" t="str">
        <f aca="false">IFERROR(MATCH(ROWS($K$5:$K465),Jobs!$Q$5:$Q$504,0),"")</f>
        <v/>
      </c>
      <c r="M465" s="16"/>
      <c r="N465" s="12"/>
      <c r="O465" s="12"/>
      <c r="P465" s="13"/>
      <c r="Q465" s="19" t="str">
        <f aca="false">IF($N465="","",IFERROR(INDEX($C$5:$C$504,MATCH($N465,$A$5:$A$504,0)),"Invoice not found"))</f>
        <v/>
      </c>
    </row>
    <row r="466" customFormat="false" ht="15" hidden="false" customHeight="false" outlineLevel="0" collapsed="false">
      <c r="A466" s="19" t="str">
        <f aca="false">IF($K466="","",INDEX(Jobs!$O$5:$O$504,$K466))</f>
        <v/>
      </c>
      <c r="B466" s="22" t="str">
        <f aca="false">IF($K466="","",INDEX(Jobs!$A$5:$A$504,$K466))</f>
        <v/>
      </c>
      <c r="C466" s="19" t="str">
        <f aca="false">IF($K466="","",INDEX(Jobs!$B$5:$B$504,$K466))</f>
        <v/>
      </c>
      <c r="D466" s="19" t="str">
        <f aca="false">IF($K466="","",INDEX(Jobs!$J$5:$J$504,$K466))</f>
        <v/>
      </c>
      <c r="E466" s="15" t="str">
        <f aca="false">IF($K466="","",INDEX(Jobs!$N$5:$N$504,$K466))</f>
        <v/>
      </c>
      <c r="F466" s="15" t="str">
        <f aca="false">IF($A466="","",SUMIFS($P$5:$P$1004,$N$5:$N$1004,$A466))</f>
        <v/>
      </c>
      <c r="G466" s="15" t="str">
        <f aca="false">IF($A466="","",$E466-$F466)</f>
        <v/>
      </c>
      <c r="H466" s="22" t="str">
        <f aca="false">IF($A466="","",$B466+Settings!$B$11)</f>
        <v/>
      </c>
      <c r="I466" s="19" t="str">
        <f aca="true">IF($A466="","",IF($G466&lt;=0,"Paid",IF(TODAY()&gt;$H466,"Overdue",IF($F466&gt;0,"Partial","Unpaid"))))</f>
        <v/>
      </c>
      <c r="J466" s="14" t="str">
        <f aca="true">IF($A466="","",IF(AND($G466&gt;0,TODAY()&gt;$H466),TODAY()-$H466,""))</f>
        <v/>
      </c>
      <c r="K466" s="2" t="str">
        <f aca="false">IFERROR(MATCH(ROWS($K$5:$K466),Jobs!$Q$5:$Q$504,0),"")</f>
        <v/>
      </c>
      <c r="M466" s="16"/>
      <c r="N466" s="12"/>
      <c r="O466" s="12"/>
      <c r="P466" s="13"/>
      <c r="Q466" s="19" t="str">
        <f aca="false">IF($N466="","",IFERROR(INDEX($C$5:$C$504,MATCH($N466,$A$5:$A$504,0)),"Invoice not found"))</f>
        <v/>
      </c>
    </row>
    <row r="467" customFormat="false" ht="15" hidden="false" customHeight="false" outlineLevel="0" collapsed="false">
      <c r="A467" s="19" t="str">
        <f aca="false">IF($K467="","",INDEX(Jobs!$O$5:$O$504,$K467))</f>
        <v/>
      </c>
      <c r="B467" s="22" t="str">
        <f aca="false">IF($K467="","",INDEX(Jobs!$A$5:$A$504,$K467))</f>
        <v/>
      </c>
      <c r="C467" s="19" t="str">
        <f aca="false">IF($K467="","",INDEX(Jobs!$B$5:$B$504,$K467))</f>
        <v/>
      </c>
      <c r="D467" s="19" t="str">
        <f aca="false">IF($K467="","",INDEX(Jobs!$J$5:$J$504,$K467))</f>
        <v/>
      </c>
      <c r="E467" s="15" t="str">
        <f aca="false">IF($K467="","",INDEX(Jobs!$N$5:$N$504,$K467))</f>
        <v/>
      </c>
      <c r="F467" s="15" t="str">
        <f aca="false">IF($A467="","",SUMIFS($P$5:$P$1004,$N$5:$N$1004,$A467))</f>
        <v/>
      </c>
      <c r="G467" s="15" t="str">
        <f aca="false">IF($A467="","",$E467-$F467)</f>
        <v/>
      </c>
      <c r="H467" s="22" t="str">
        <f aca="false">IF($A467="","",$B467+Settings!$B$11)</f>
        <v/>
      </c>
      <c r="I467" s="19" t="str">
        <f aca="true">IF($A467="","",IF($G467&lt;=0,"Paid",IF(TODAY()&gt;$H467,"Overdue",IF($F467&gt;0,"Partial","Unpaid"))))</f>
        <v/>
      </c>
      <c r="J467" s="14" t="str">
        <f aca="true">IF($A467="","",IF(AND($G467&gt;0,TODAY()&gt;$H467),TODAY()-$H467,""))</f>
        <v/>
      </c>
      <c r="K467" s="2" t="str">
        <f aca="false">IFERROR(MATCH(ROWS($K$5:$K467),Jobs!$Q$5:$Q$504,0),"")</f>
        <v/>
      </c>
      <c r="M467" s="16"/>
      <c r="N467" s="12"/>
      <c r="O467" s="12"/>
      <c r="P467" s="13"/>
      <c r="Q467" s="19" t="str">
        <f aca="false">IF($N467="","",IFERROR(INDEX($C$5:$C$504,MATCH($N467,$A$5:$A$504,0)),"Invoice not found"))</f>
        <v/>
      </c>
    </row>
    <row r="468" customFormat="false" ht="15" hidden="false" customHeight="false" outlineLevel="0" collapsed="false">
      <c r="A468" s="19" t="str">
        <f aca="false">IF($K468="","",INDEX(Jobs!$O$5:$O$504,$K468))</f>
        <v/>
      </c>
      <c r="B468" s="22" t="str">
        <f aca="false">IF($K468="","",INDEX(Jobs!$A$5:$A$504,$K468))</f>
        <v/>
      </c>
      <c r="C468" s="19" t="str">
        <f aca="false">IF($K468="","",INDEX(Jobs!$B$5:$B$504,$K468))</f>
        <v/>
      </c>
      <c r="D468" s="19" t="str">
        <f aca="false">IF($K468="","",INDEX(Jobs!$J$5:$J$504,$K468))</f>
        <v/>
      </c>
      <c r="E468" s="15" t="str">
        <f aca="false">IF($K468="","",INDEX(Jobs!$N$5:$N$504,$K468))</f>
        <v/>
      </c>
      <c r="F468" s="15" t="str">
        <f aca="false">IF($A468="","",SUMIFS($P$5:$P$1004,$N$5:$N$1004,$A468))</f>
        <v/>
      </c>
      <c r="G468" s="15" t="str">
        <f aca="false">IF($A468="","",$E468-$F468)</f>
        <v/>
      </c>
      <c r="H468" s="22" t="str">
        <f aca="false">IF($A468="","",$B468+Settings!$B$11)</f>
        <v/>
      </c>
      <c r="I468" s="19" t="str">
        <f aca="true">IF($A468="","",IF($G468&lt;=0,"Paid",IF(TODAY()&gt;$H468,"Overdue",IF($F468&gt;0,"Partial","Unpaid"))))</f>
        <v/>
      </c>
      <c r="J468" s="14" t="str">
        <f aca="true">IF($A468="","",IF(AND($G468&gt;0,TODAY()&gt;$H468),TODAY()-$H468,""))</f>
        <v/>
      </c>
      <c r="K468" s="2" t="str">
        <f aca="false">IFERROR(MATCH(ROWS($K$5:$K468),Jobs!$Q$5:$Q$504,0),"")</f>
        <v/>
      </c>
      <c r="M468" s="16"/>
      <c r="N468" s="12"/>
      <c r="O468" s="12"/>
      <c r="P468" s="13"/>
      <c r="Q468" s="19" t="str">
        <f aca="false">IF($N468="","",IFERROR(INDEX($C$5:$C$504,MATCH($N468,$A$5:$A$504,0)),"Invoice not found"))</f>
        <v/>
      </c>
    </row>
    <row r="469" customFormat="false" ht="15" hidden="false" customHeight="false" outlineLevel="0" collapsed="false">
      <c r="A469" s="19" t="str">
        <f aca="false">IF($K469="","",INDEX(Jobs!$O$5:$O$504,$K469))</f>
        <v/>
      </c>
      <c r="B469" s="22" t="str">
        <f aca="false">IF($K469="","",INDEX(Jobs!$A$5:$A$504,$K469))</f>
        <v/>
      </c>
      <c r="C469" s="19" t="str">
        <f aca="false">IF($K469="","",INDEX(Jobs!$B$5:$B$504,$K469))</f>
        <v/>
      </c>
      <c r="D469" s="19" t="str">
        <f aca="false">IF($K469="","",INDEX(Jobs!$J$5:$J$504,$K469))</f>
        <v/>
      </c>
      <c r="E469" s="15" t="str">
        <f aca="false">IF($K469="","",INDEX(Jobs!$N$5:$N$504,$K469))</f>
        <v/>
      </c>
      <c r="F469" s="15" t="str">
        <f aca="false">IF($A469="","",SUMIFS($P$5:$P$1004,$N$5:$N$1004,$A469))</f>
        <v/>
      </c>
      <c r="G469" s="15" t="str">
        <f aca="false">IF($A469="","",$E469-$F469)</f>
        <v/>
      </c>
      <c r="H469" s="22" t="str">
        <f aca="false">IF($A469="","",$B469+Settings!$B$11)</f>
        <v/>
      </c>
      <c r="I469" s="19" t="str">
        <f aca="true">IF($A469="","",IF($G469&lt;=0,"Paid",IF(TODAY()&gt;$H469,"Overdue",IF($F469&gt;0,"Partial","Unpaid"))))</f>
        <v/>
      </c>
      <c r="J469" s="14" t="str">
        <f aca="true">IF($A469="","",IF(AND($G469&gt;0,TODAY()&gt;$H469),TODAY()-$H469,""))</f>
        <v/>
      </c>
      <c r="K469" s="2" t="str">
        <f aca="false">IFERROR(MATCH(ROWS($K$5:$K469),Jobs!$Q$5:$Q$504,0),"")</f>
        <v/>
      </c>
      <c r="M469" s="16"/>
      <c r="N469" s="12"/>
      <c r="O469" s="12"/>
      <c r="P469" s="13"/>
      <c r="Q469" s="19" t="str">
        <f aca="false">IF($N469="","",IFERROR(INDEX($C$5:$C$504,MATCH($N469,$A$5:$A$504,0)),"Invoice not found"))</f>
        <v/>
      </c>
    </row>
    <row r="470" customFormat="false" ht="15" hidden="false" customHeight="false" outlineLevel="0" collapsed="false">
      <c r="A470" s="19" t="str">
        <f aca="false">IF($K470="","",INDEX(Jobs!$O$5:$O$504,$K470))</f>
        <v/>
      </c>
      <c r="B470" s="22" t="str">
        <f aca="false">IF($K470="","",INDEX(Jobs!$A$5:$A$504,$K470))</f>
        <v/>
      </c>
      <c r="C470" s="19" t="str">
        <f aca="false">IF($K470="","",INDEX(Jobs!$B$5:$B$504,$K470))</f>
        <v/>
      </c>
      <c r="D470" s="19" t="str">
        <f aca="false">IF($K470="","",INDEX(Jobs!$J$5:$J$504,$K470))</f>
        <v/>
      </c>
      <c r="E470" s="15" t="str">
        <f aca="false">IF($K470="","",INDEX(Jobs!$N$5:$N$504,$K470))</f>
        <v/>
      </c>
      <c r="F470" s="15" t="str">
        <f aca="false">IF($A470="","",SUMIFS($P$5:$P$1004,$N$5:$N$1004,$A470))</f>
        <v/>
      </c>
      <c r="G470" s="15" t="str">
        <f aca="false">IF($A470="","",$E470-$F470)</f>
        <v/>
      </c>
      <c r="H470" s="22" t="str">
        <f aca="false">IF($A470="","",$B470+Settings!$B$11)</f>
        <v/>
      </c>
      <c r="I470" s="19" t="str">
        <f aca="true">IF($A470="","",IF($G470&lt;=0,"Paid",IF(TODAY()&gt;$H470,"Overdue",IF($F470&gt;0,"Partial","Unpaid"))))</f>
        <v/>
      </c>
      <c r="J470" s="14" t="str">
        <f aca="true">IF($A470="","",IF(AND($G470&gt;0,TODAY()&gt;$H470),TODAY()-$H470,""))</f>
        <v/>
      </c>
      <c r="K470" s="2" t="str">
        <f aca="false">IFERROR(MATCH(ROWS($K$5:$K470),Jobs!$Q$5:$Q$504,0),"")</f>
        <v/>
      </c>
      <c r="M470" s="16"/>
      <c r="N470" s="12"/>
      <c r="O470" s="12"/>
      <c r="P470" s="13"/>
      <c r="Q470" s="19" t="str">
        <f aca="false">IF($N470="","",IFERROR(INDEX($C$5:$C$504,MATCH($N470,$A$5:$A$504,0)),"Invoice not found"))</f>
        <v/>
      </c>
    </row>
    <row r="471" customFormat="false" ht="15" hidden="false" customHeight="false" outlineLevel="0" collapsed="false">
      <c r="A471" s="19" t="str">
        <f aca="false">IF($K471="","",INDEX(Jobs!$O$5:$O$504,$K471))</f>
        <v/>
      </c>
      <c r="B471" s="22" t="str">
        <f aca="false">IF($K471="","",INDEX(Jobs!$A$5:$A$504,$K471))</f>
        <v/>
      </c>
      <c r="C471" s="19" t="str">
        <f aca="false">IF($K471="","",INDEX(Jobs!$B$5:$B$504,$K471))</f>
        <v/>
      </c>
      <c r="D471" s="19" t="str">
        <f aca="false">IF($K471="","",INDEX(Jobs!$J$5:$J$504,$K471))</f>
        <v/>
      </c>
      <c r="E471" s="15" t="str">
        <f aca="false">IF($K471="","",INDEX(Jobs!$N$5:$N$504,$K471))</f>
        <v/>
      </c>
      <c r="F471" s="15" t="str">
        <f aca="false">IF($A471="","",SUMIFS($P$5:$P$1004,$N$5:$N$1004,$A471))</f>
        <v/>
      </c>
      <c r="G471" s="15" t="str">
        <f aca="false">IF($A471="","",$E471-$F471)</f>
        <v/>
      </c>
      <c r="H471" s="22" t="str">
        <f aca="false">IF($A471="","",$B471+Settings!$B$11)</f>
        <v/>
      </c>
      <c r="I471" s="19" t="str">
        <f aca="true">IF($A471="","",IF($G471&lt;=0,"Paid",IF(TODAY()&gt;$H471,"Overdue",IF($F471&gt;0,"Partial","Unpaid"))))</f>
        <v/>
      </c>
      <c r="J471" s="14" t="str">
        <f aca="true">IF($A471="","",IF(AND($G471&gt;0,TODAY()&gt;$H471),TODAY()-$H471,""))</f>
        <v/>
      </c>
      <c r="K471" s="2" t="str">
        <f aca="false">IFERROR(MATCH(ROWS($K$5:$K471),Jobs!$Q$5:$Q$504,0),"")</f>
        <v/>
      </c>
      <c r="M471" s="16"/>
      <c r="N471" s="12"/>
      <c r="O471" s="12"/>
      <c r="P471" s="13"/>
      <c r="Q471" s="19" t="str">
        <f aca="false">IF($N471="","",IFERROR(INDEX($C$5:$C$504,MATCH($N471,$A$5:$A$504,0)),"Invoice not found"))</f>
        <v/>
      </c>
    </row>
    <row r="472" customFormat="false" ht="15" hidden="false" customHeight="false" outlineLevel="0" collapsed="false">
      <c r="A472" s="19" t="str">
        <f aca="false">IF($K472="","",INDEX(Jobs!$O$5:$O$504,$K472))</f>
        <v/>
      </c>
      <c r="B472" s="22" t="str">
        <f aca="false">IF($K472="","",INDEX(Jobs!$A$5:$A$504,$K472))</f>
        <v/>
      </c>
      <c r="C472" s="19" t="str">
        <f aca="false">IF($K472="","",INDEX(Jobs!$B$5:$B$504,$K472))</f>
        <v/>
      </c>
      <c r="D472" s="19" t="str">
        <f aca="false">IF($K472="","",INDEX(Jobs!$J$5:$J$504,$K472))</f>
        <v/>
      </c>
      <c r="E472" s="15" t="str">
        <f aca="false">IF($K472="","",INDEX(Jobs!$N$5:$N$504,$K472))</f>
        <v/>
      </c>
      <c r="F472" s="15" t="str">
        <f aca="false">IF($A472="","",SUMIFS($P$5:$P$1004,$N$5:$N$1004,$A472))</f>
        <v/>
      </c>
      <c r="G472" s="15" t="str">
        <f aca="false">IF($A472="","",$E472-$F472)</f>
        <v/>
      </c>
      <c r="H472" s="22" t="str">
        <f aca="false">IF($A472="","",$B472+Settings!$B$11)</f>
        <v/>
      </c>
      <c r="I472" s="19" t="str">
        <f aca="true">IF($A472="","",IF($G472&lt;=0,"Paid",IF(TODAY()&gt;$H472,"Overdue",IF($F472&gt;0,"Partial","Unpaid"))))</f>
        <v/>
      </c>
      <c r="J472" s="14" t="str">
        <f aca="true">IF($A472="","",IF(AND($G472&gt;0,TODAY()&gt;$H472),TODAY()-$H472,""))</f>
        <v/>
      </c>
      <c r="K472" s="2" t="str">
        <f aca="false">IFERROR(MATCH(ROWS($K$5:$K472),Jobs!$Q$5:$Q$504,0),"")</f>
        <v/>
      </c>
      <c r="M472" s="16"/>
      <c r="N472" s="12"/>
      <c r="O472" s="12"/>
      <c r="P472" s="13"/>
      <c r="Q472" s="19" t="str">
        <f aca="false">IF($N472="","",IFERROR(INDEX($C$5:$C$504,MATCH($N472,$A$5:$A$504,0)),"Invoice not found"))</f>
        <v/>
      </c>
    </row>
    <row r="473" customFormat="false" ht="15" hidden="false" customHeight="false" outlineLevel="0" collapsed="false">
      <c r="A473" s="19" t="str">
        <f aca="false">IF($K473="","",INDEX(Jobs!$O$5:$O$504,$K473))</f>
        <v/>
      </c>
      <c r="B473" s="22" t="str">
        <f aca="false">IF($K473="","",INDEX(Jobs!$A$5:$A$504,$K473))</f>
        <v/>
      </c>
      <c r="C473" s="19" t="str">
        <f aca="false">IF($K473="","",INDEX(Jobs!$B$5:$B$504,$K473))</f>
        <v/>
      </c>
      <c r="D473" s="19" t="str">
        <f aca="false">IF($K473="","",INDEX(Jobs!$J$5:$J$504,$K473))</f>
        <v/>
      </c>
      <c r="E473" s="15" t="str">
        <f aca="false">IF($K473="","",INDEX(Jobs!$N$5:$N$504,$K473))</f>
        <v/>
      </c>
      <c r="F473" s="15" t="str">
        <f aca="false">IF($A473="","",SUMIFS($P$5:$P$1004,$N$5:$N$1004,$A473))</f>
        <v/>
      </c>
      <c r="G473" s="15" t="str">
        <f aca="false">IF($A473="","",$E473-$F473)</f>
        <v/>
      </c>
      <c r="H473" s="22" t="str">
        <f aca="false">IF($A473="","",$B473+Settings!$B$11)</f>
        <v/>
      </c>
      <c r="I473" s="19" t="str">
        <f aca="true">IF($A473="","",IF($G473&lt;=0,"Paid",IF(TODAY()&gt;$H473,"Overdue",IF($F473&gt;0,"Partial","Unpaid"))))</f>
        <v/>
      </c>
      <c r="J473" s="14" t="str">
        <f aca="true">IF($A473="","",IF(AND($G473&gt;0,TODAY()&gt;$H473),TODAY()-$H473,""))</f>
        <v/>
      </c>
      <c r="K473" s="2" t="str">
        <f aca="false">IFERROR(MATCH(ROWS($K$5:$K473),Jobs!$Q$5:$Q$504,0),"")</f>
        <v/>
      </c>
      <c r="M473" s="16"/>
      <c r="N473" s="12"/>
      <c r="O473" s="12"/>
      <c r="P473" s="13"/>
      <c r="Q473" s="19" t="str">
        <f aca="false">IF($N473="","",IFERROR(INDEX($C$5:$C$504,MATCH($N473,$A$5:$A$504,0)),"Invoice not found"))</f>
        <v/>
      </c>
    </row>
    <row r="474" customFormat="false" ht="15" hidden="false" customHeight="false" outlineLevel="0" collapsed="false">
      <c r="A474" s="19" t="str">
        <f aca="false">IF($K474="","",INDEX(Jobs!$O$5:$O$504,$K474))</f>
        <v/>
      </c>
      <c r="B474" s="22" t="str">
        <f aca="false">IF($K474="","",INDEX(Jobs!$A$5:$A$504,$K474))</f>
        <v/>
      </c>
      <c r="C474" s="19" t="str">
        <f aca="false">IF($K474="","",INDEX(Jobs!$B$5:$B$504,$K474))</f>
        <v/>
      </c>
      <c r="D474" s="19" t="str">
        <f aca="false">IF($K474="","",INDEX(Jobs!$J$5:$J$504,$K474))</f>
        <v/>
      </c>
      <c r="E474" s="15" t="str">
        <f aca="false">IF($K474="","",INDEX(Jobs!$N$5:$N$504,$K474))</f>
        <v/>
      </c>
      <c r="F474" s="15" t="str">
        <f aca="false">IF($A474="","",SUMIFS($P$5:$P$1004,$N$5:$N$1004,$A474))</f>
        <v/>
      </c>
      <c r="G474" s="15" t="str">
        <f aca="false">IF($A474="","",$E474-$F474)</f>
        <v/>
      </c>
      <c r="H474" s="22" t="str">
        <f aca="false">IF($A474="","",$B474+Settings!$B$11)</f>
        <v/>
      </c>
      <c r="I474" s="19" t="str">
        <f aca="true">IF($A474="","",IF($G474&lt;=0,"Paid",IF(TODAY()&gt;$H474,"Overdue",IF($F474&gt;0,"Partial","Unpaid"))))</f>
        <v/>
      </c>
      <c r="J474" s="14" t="str">
        <f aca="true">IF($A474="","",IF(AND($G474&gt;0,TODAY()&gt;$H474),TODAY()-$H474,""))</f>
        <v/>
      </c>
      <c r="K474" s="2" t="str">
        <f aca="false">IFERROR(MATCH(ROWS($K$5:$K474),Jobs!$Q$5:$Q$504,0),"")</f>
        <v/>
      </c>
      <c r="M474" s="16"/>
      <c r="N474" s="12"/>
      <c r="O474" s="12"/>
      <c r="P474" s="13"/>
      <c r="Q474" s="19" t="str">
        <f aca="false">IF($N474="","",IFERROR(INDEX($C$5:$C$504,MATCH($N474,$A$5:$A$504,0)),"Invoice not found"))</f>
        <v/>
      </c>
    </row>
    <row r="475" customFormat="false" ht="15" hidden="false" customHeight="false" outlineLevel="0" collapsed="false">
      <c r="A475" s="19" t="str">
        <f aca="false">IF($K475="","",INDEX(Jobs!$O$5:$O$504,$K475))</f>
        <v/>
      </c>
      <c r="B475" s="22" t="str">
        <f aca="false">IF($K475="","",INDEX(Jobs!$A$5:$A$504,$K475))</f>
        <v/>
      </c>
      <c r="C475" s="19" t="str">
        <f aca="false">IF($K475="","",INDEX(Jobs!$B$5:$B$504,$K475))</f>
        <v/>
      </c>
      <c r="D475" s="19" t="str">
        <f aca="false">IF($K475="","",INDEX(Jobs!$J$5:$J$504,$K475))</f>
        <v/>
      </c>
      <c r="E475" s="15" t="str">
        <f aca="false">IF($K475="","",INDEX(Jobs!$N$5:$N$504,$K475))</f>
        <v/>
      </c>
      <c r="F475" s="15" t="str">
        <f aca="false">IF($A475="","",SUMIFS($P$5:$P$1004,$N$5:$N$1004,$A475))</f>
        <v/>
      </c>
      <c r="G475" s="15" t="str">
        <f aca="false">IF($A475="","",$E475-$F475)</f>
        <v/>
      </c>
      <c r="H475" s="22" t="str">
        <f aca="false">IF($A475="","",$B475+Settings!$B$11)</f>
        <v/>
      </c>
      <c r="I475" s="19" t="str">
        <f aca="true">IF($A475="","",IF($G475&lt;=0,"Paid",IF(TODAY()&gt;$H475,"Overdue",IF($F475&gt;0,"Partial","Unpaid"))))</f>
        <v/>
      </c>
      <c r="J475" s="14" t="str">
        <f aca="true">IF($A475="","",IF(AND($G475&gt;0,TODAY()&gt;$H475),TODAY()-$H475,""))</f>
        <v/>
      </c>
      <c r="K475" s="2" t="str">
        <f aca="false">IFERROR(MATCH(ROWS($K$5:$K475),Jobs!$Q$5:$Q$504,0),"")</f>
        <v/>
      </c>
      <c r="M475" s="16"/>
      <c r="N475" s="12"/>
      <c r="O475" s="12"/>
      <c r="P475" s="13"/>
      <c r="Q475" s="19" t="str">
        <f aca="false">IF($N475="","",IFERROR(INDEX($C$5:$C$504,MATCH($N475,$A$5:$A$504,0)),"Invoice not found"))</f>
        <v/>
      </c>
    </row>
    <row r="476" customFormat="false" ht="15" hidden="false" customHeight="false" outlineLevel="0" collapsed="false">
      <c r="A476" s="19" t="str">
        <f aca="false">IF($K476="","",INDEX(Jobs!$O$5:$O$504,$K476))</f>
        <v/>
      </c>
      <c r="B476" s="22" t="str">
        <f aca="false">IF($K476="","",INDEX(Jobs!$A$5:$A$504,$K476))</f>
        <v/>
      </c>
      <c r="C476" s="19" t="str">
        <f aca="false">IF($K476="","",INDEX(Jobs!$B$5:$B$504,$K476))</f>
        <v/>
      </c>
      <c r="D476" s="19" t="str">
        <f aca="false">IF($K476="","",INDEX(Jobs!$J$5:$J$504,$K476))</f>
        <v/>
      </c>
      <c r="E476" s="15" t="str">
        <f aca="false">IF($K476="","",INDEX(Jobs!$N$5:$N$504,$K476))</f>
        <v/>
      </c>
      <c r="F476" s="15" t="str">
        <f aca="false">IF($A476="","",SUMIFS($P$5:$P$1004,$N$5:$N$1004,$A476))</f>
        <v/>
      </c>
      <c r="G476" s="15" t="str">
        <f aca="false">IF($A476="","",$E476-$F476)</f>
        <v/>
      </c>
      <c r="H476" s="22" t="str">
        <f aca="false">IF($A476="","",$B476+Settings!$B$11)</f>
        <v/>
      </c>
      <c r="I476" s="19" t="str">
        <f aca="true">IF($A476="","",IF($G476&lt;=0,"Paid",IF(TODAY()&gt;$H476,"Overdue",IF($F476&gt;0,"Partial","Unpaid"))))</f>
        <v/>
      </c>
      <c r="J476" s="14" t="str">
        <f aca="true">IF($A476="","",IF(AND($G476&gt;0,TODAY()&gt;$H476),TODAY()-$H476,""))</f>
        <v/>
      </c>
      <c r="K476" s="2" t="str">
        <f aca="false">IFERROR(MATCH(ROWS($K$5:$K476),Jobs!$Q$5:$Q$504,0),"")</f>
        <v/>
      </c>
      <c r="M476" s="16"/>
      <c r="N476" s="12"/>
      <c r="O476" s="12"/>
      <c r="P476" s="13"/>
      <c r="Q476" s="19" t="str">
        <f aca="false">IF($N476="","",IFERROR(INDEX($C$5:$C$504,MATCH($N476,$A$5:$A$504,0)),"Invoice not found"))</f>
        <v/>
      </c>
    </row>
    <row r="477" customFormat="false" ht="15" hidden="false" customHeight="false" outlineLevel="0" collapsed="false">
      <c r="A477" s="19" t="str">
        <f aca="false">IF($K477="","",INDEX(Jobs!$O$5:$O$504,$K477))</f>
        <v/>
      </c>
      <c r="B477" s="22" t="str">
        <f aca="false">IF($K477="","",INDEX(Jobs!$A$5:$A$504,$K477))</f>
        <v/>
      </c>
      <c r="C477" s="19" t="str">
        <f aca="false">IF($K477="","",INDEX(Jobs!$B$5:$B$504,$K477))</f>
        <v/>
      </c>
      <c r="D477" s="19" t="str">
        <f aca="false">IF($K477="","",INDEX(Jobs!$J$5:$J$504,$K477))</f>
        <v/>
      </c>
      <c r="E477" s="15" t="str">
        <f aca="false">IF($K477="","",INDEX(Jobs!$N$5:$N$504,$K477))</f>
        <v/>
      </c>
      <c r="F477" s="15" t="str">
        <f aca="false">IF($A477="","",SUMIFS($P$5:$P$1004,$N$5:$N$1004,$A477))</f>
        <v/>
      </c>
      <c r="G477" s="15" t="str">
        <f aca="false">IF($A477="","",$E477-$F477)</f>
        <v/>
      </c>
      <c r="H477" s="22" t="str">
        <f aca="false">IF($A477="","",$B477+Settings!$B$11)</f>
        <v/>
      </c>
      <c r="I477" s="19" t="str">
        <f aca="true">IF($A477="","",IF($G477&lt;=0,"Paid",IF(TODAY()&gt;$H477,"Overdue",IF($F477&gt;0,"Partial","Unpaid"))))</f>
        <v/>
      </c>
      <c r="J477" s="14" t="str">
        <f aca="true">IF($A477="","",IF(AND($G477&gt;0,TODAY()&gt;$H477),TODAY()-$H477,""))</f>
        <v/>
      </c>
      <c r="K477" s="2" t="str">
        <f aca="false">IFERROR(MATCH(ROWS($K$5:$K477),Jobs!$Q$5:$Q$504,0),"")</f>
        <v/>
      </c>
      <c r="M477" s="16"/>
      <c r="N477" s="12"/>
      <c r="O477" s="12"/>
      <c r="P477" s="13"/>
      <c r="Q477" s="19" t="str">
        <f aca="false">IF($N477="","",IFERROR(INDEX($C$5:$C$504,MATCH($N477,$A$5:$A$504,0)),"Invoice not found"))</f>
        <v/>
      </c>
    </row>
    <row r="478" customFormat="false" ht="15" hidden="false" customHeight="false" outlineLevel="0" collapsed="false">
      <c r="A478" s="19" t="str">
        <f aca="false">IF($K478="","",INDEX(Jobs!$O$5:$O$504,$K478))</f>
        <v/>
      </c>
      <c r="B478" s="22" t="str">
        <f aca="false">IF($K478="","",INDEX(Jobs!$A$5:$A$504,$K478))</f>
        <v/>
      </c>
      <c r="C478" s="19" t="str">
        <f aca="false">IF($K478="","",INDEX(Jobs!$B$5:$B$504,$K478))</f>
        <v/>
      </c>
      <c r="D478" s="19" t="str">
        <f aca="false">IF($K478="","",INDEX(Jobs!$J$5:$J$504,$K478))</f>
        <v/>
      </c>
      <c r="E478" s="15" t="str">
        <f aca="false">IF($K478="","",INDEX(Jobs!$N$5:$N$504,$K478))</f>
        <v/>
      </c>
      <c r="F478" s="15" t="str">
        <f aca="false">IF($A478="","",SUMIFS($P$5:$P$1004,$N$5:$N$1004,$A478))</f>
        <v/>
      </c>
      <c r="G478" s="15" t="str">
        <f aca="false">IF($A478="","",$E478-$F478)</f>
        <v/>
      </c>
      <c r="H478" s="22" t="str">
        <f aca="false">IF($A478="","",$B478+Settings!$B$11)</f>
        <v/>
      </c>
      <c r="I478" s="19" t="str">
        <f aca="true">IF($A478="","",IF($G478&lt;=0,"Paid",IF(TODAY()&gt;$H478,"Overdue",IF($F478&gt;0,"Partial","Unpaid"))))</f>
        <v/>
      </c>
      <c r="J478" s="14" t="str">
        <f aca="true">IF($A478="","",IF(AND($G478&gt;0,TODAY()&gt;$H478),TODAY()-$H478,""))</f>
        <v/>
      </c>
      <c r="K478" s="2" t="str">
        <f aca="false">IFERROR(MATCH(ROWS($K$5:$K478),Jobs!$Q$5:$Q$504,0),"")</f>
        <v/>
      </c>
      <c r="M478" s="16"/>
      <c r="N478" s="12"/>
      <c r="O478" s="12"/>
      <c r="P478" s="13"/>
      <c r="Q478" s="19" t="str">
        <f aca="false">IF($N478="","",IFERROR(INDEX($C$5:$C$504,MATCH($N478,$A$5:$A$504,0)),"Invoice not found"))</f>
        <v/>
      </c>
    </row>
    <row r="479" customFormat="false" ht="15" hidden="false" customHeight="false" outlineLevel="0" collapsed="false">
      <c r="A479" s="19" t="str">
        <f aca="false">IF($K479="","",INDEX(Jobs!$O$5:$O$504,$K479))</f>
        <v/>
      </c>
      <c r="B479" s="22" t="str">
        <f aca="false">IF($K479="","",INDEX(Jobs!$A$5:$A$504,$K479))</f>
        <v/>
      </c>
      <c r="C479" s="19" t="str">
        <f aca="false">IF($K479="","",INDEX(Jobs!$B$5:$B$504,$K479))</f>
        <v/>
      </c>
      <c r="D479" s="19" t="str">
        <f aca="false">IF($K479="","",INDEX(Jobs!$J$5:$J$504,$K479))</f>
        <v/>
      </c>
      <c r="E479" s="15" t="str">
        <f aca="false">IF($K479="","",INDEX(Jobs!$N$5:$N$504,$K479))</f>
        <v/>
      </c>
      <c r="F479" s="15" t="str">
        <f aca="false">IF($A479="","",SUMIFS($P$5:$P$1004,$N$5:$N$1004,$A479))</f>
        <v/>
      </c>
      <c r="G479" s="15" t="str">
        <f aca="false">IF($A479="","",$E479-$F479)</f>
        <v/>
      </c>
      <c r="H479" s="22" t="str">
        <f aca="false">IF($A479="","",$B479+Settings!$B$11)</f>
        <v/>
      </c>
      <c r="I479" s="19" t="str">
        <f aca="true">IF($A479="","",IF($G479&lt;=0,"Paid",IF(TODAY()&gt;$H479,"Overdue",IF($F479&gt;0,"Partial","Unpaid"))))</f>
        <v/>
      </c>
      <c r="J479" s="14" t="str">
        <f aca="true">IF($A479="","",IF(AND($G479&gt;0,TODAY()&gt;$H479),TODAY()-$H479,""))</f>
        <v/>
      </c>
      <c r="K479" s="2" t="str">
        <f aca="false">IFERROR(MATCH(ROWS($K$5:$K479),Jobs!$Q$5:$Q$504,0),"")</f>
        <v/>
      </c>
      <c r="M479" s="16"/>
      <c r="N479" s="12"/>
      <c r="O479" s="12"/>
      <c r="P479" s="13"/>
      <c r="Q479" s="19" t="str">
        <f aca="false">IF($N479="","",IFERROR(INDEX($C$5:$C$504,MATCH($N479,$A$5:$A$504,0)),"Invoice not found"))</f>
        <v/>
      </c>
    </row>
    <row r="480" customFormat="false" ht="15" hidden="false" customHeight="false" outlineLevel="0" collapsed="false">
      <c r="A480" s="19" t="str">
        <f aca="false">IF($K480="","",INDEX(Jobs!$O$5:$O$504,$K480))</f>
        <v/>
      </c>
      <c r="B480" s="22" t="str">
        <f aca="false">IF($K480="","",INDEX(Jobs!$A$5:$A$504,$K480))</f>
        <v/>
      </c>
      <c r="C480" s="19" t="str">
        <f aca="false">IF($K480="","",INDEX(Jobs!$B$5:$B$504,$K480))</f>
        <v/>
      </c>
      <c r="D480" s="19" t="str">
        <f aca="false">IF($K480="","",INDEX(Jobs!$J$5:$J$504,$K480))</f>
        <v/>
      </c>
      <c r="E480" s="15" t="str">
        <f aca="false">IF($K480="","",INDEX(Jobs!$N$5:$N$504,$K480))</f>
        <v/>
      </c>
      <c r="F480" s="15" t="str">
        <f aca="false">IF($A480="","",SUMIFS($P$5:$P$1004,$N$5:$N$1004,$A480))</f>
        <v/>
      </c>
      <c r="G480" s="15" t="str">
        <f aca="false">IF($A480="","",$E480-$F480)</f>
        <v/>
      </c>
      <c r="H480" s="22" t="str">
        <f aca="false">IF($A480="","",$B480+Settings!$B$11)</f>
        <v/>
      </c>
      <c r="I480" s="19" t="str">
        <f aca="true">IF($A480="","",IF($G480&lt;=0,"Paid",IF(TODAY()&gt;$H480,"Overdue",IF($F480&gt;0,"Partial","Unpaid"))))</f>
        <v/>
      </c>
      <c r="J480" s="14" t="str">
        <f aca="true">IF($A480="","",IF(AND($G480&gt;0,TODAY()&gt;$H480),TODAY()-$H480,""))</f>
        <v/>
      </c>
      <c r="K480" s="2" t="str">
        <f aca="false">IFERROR(MATCH(ROWS($K$5:$K480),Jobs!$Q$5:$Q$504,0),"")</f>
        <v/>
      </c>
      <c r="M480" s="16"/>
      <c r="N480" s="12"/>
      <c r="O480" s="12"/>
      <c r="P480" s="13"/>
      <c r="Q480" s="19" t="str">
        <f aca="false">IF($N480="","",IFERROR(INDEX($C$5:$C$504,MATCH($N480,$A$5:$A$504,0)),"Invoice not found"))</f>
        <v/>
      </c>
    </row>
    <row r="481" customFormat="false" ht="15" hidden="false" customHeight="false" outlineLevel="0" collapsed="false">
      <c r="A481" s="19" t="str">
        <f aca="false">IF($K481="","",INDEX(Jobs!$O$5:$O$504,$K481))</f>
        <v/>
      </c>
      <c r="B481" s="22" t="str">
        <f aca="false">IF($K481="","",INDEX(Jobs!$A$5:$A$504,$K481))</f>
        <v/>
      </c>
      <c r="C481" s="19" t="str">
        <f aca="false">IF($K481="","",INDEX(Jobs!$B$5:$B$504,$K481))</f>
        <v/>
      </c>
      <c r="D481" s="19" t="str">
        <f aca="false">IF($K481="","",INDEX(Jobs!$J$5:$J$504,$K481))</f>
        <v/>
      </c>
      <c r="E481" s="15" t="str">
        <f aca="false">IF($K481="","",INDEX(Jobs!$N$5:$N$504,$K481))</f>
        <v/>
      </c>
      <c r="F481" s="15" t="str">
        <f aca="false">IF($A481="","",SUMIFS($P$5:$P$1004,$N$5:$N$1004,$A481))</f>
        <v/>
      </c>
      <c r="G481" s="15" t="str">
        <f aca="false">IF($A481="","",$E481-$F481)</f>
        <v/>
      </c>
      <c r="H481" s="22" t="str">
        <f aca="false">IF($A481="","",$B481+Settings!$B$11)</f>
        <v/>
      </c>
      <c r="I481" s="19" t="str">
        <f aca="true">IF($A481="","",IF($G481&lt;=0,"Paid",IF(TODAY()&gt;$H481,"Overdue",IF($F481&gt;0,"Partial","Unpaid"))))</f>
        <v/>
      </c>
      <c r="J481" s="14" t="str">
        <f aca="true">IF($A481="","",IF(AND($G481&gt;0,TODAY()&gt;$H481),TODAY()-$H481,""))</f>
        <v/>
      </c>
      <c r="K481" s="2" t="str">
        <f aca="false">IFERROR(MATCH(ROWS($K$5:$K481),Jobs!$Q$5:$Q$504,0),"")</f>
        <v/>
      </c>
      <c r="M481" s="16"/>
      <c r="N481" s="12"/>
      <c r="O481" s="12"/>
      <c r="P481" s="13"/>
      <c r="Q481" s="19" t="str">
        <f aca="false">IF($N481="","",IFERROR(INDEX($C$5:$C$504,MATCH($N481,$A$5:$A$504,0)),"Invoice not found"))</f>
        <v/>
      </c>
    </row>
    <row r="482" customFormat="false" ht="15" hidden="false" customHeight="false" outlineLevel="0" collapsed="false">
      <c r="A482" s="19" t="str">
        <f aca="false">IF($K482="","",INDEX(Jobs!$O$5:$O$504,$K482))</f>
        <v/>
      </c>
      <c r="B482" s="22" t="str">
        <f aca="false">IF($K482="","",INDEX(Jobs!$A$5:$A$504,$K482))</f>
        <v/>
      </c>
      <c r="C482" s="19" t="str">
        <f aca="false">IF($K482="","",INDEX(Jobs!$B$5:$B$504,$K482))</f>
        <v/>
      </c>
      <c r="D482" s="19" t="str">
        <f aca="false">IF($K482="","",INDEX(Jobs!$J$5:$J$504,$K482))</f>
        <v/>
      </c>
      <c r="E482" s="15" t="str">
        <f aca="false">IF($K482="","",INDEX(Jobs!$N$5:$N$504,$K482))</f>
        <v/>
      </c>
      <c r="F482" s="15" t="str">
        <f aca="false">IF($A482="","",SUMIFS($P$5:$P$1004,$N$5:$N$1004,$A482))</f>
        <v/>
      </c>
      <c r="G482" s="15" t="str">
        <f aca="false">IF($A482="","",$E482-$F482)</f>
        <v/>
      </c>
      <c r="H482" s="22" t="str">
        <f aca="false">IF($A482="","",$B482+Settings!$B$11)</f>
        <v/>
      </c>
      <c r="I482" s="19" t="str">
        <f aca="true">IF($A482="","",IF($G482&lt;=0,"Paid",IF(TODAY()&gt;$H482,"Overdue",IF($F482&gt;0,"Partial","Unpaid"))))</f>
        <v/>
      </c>
      <c r="J482" s="14" t="str">
        <f aca="true">IF($A482="","",IF(AND($G482&gt;0,TODAY()&gt;$H482),TODAY()-$H482,""))</f>
        <v/>
      </c>
      <c r="K482" s="2" t="str">
        <f aca="false">IFERROR(MATCH(ROWS($K$5:$K482),Jobs!$Q$5:$Q$504,0),"")</f>
        <v/>
      </c>
      <c r="M482" s="16"/>
      <c r="N482" s="12"/>
      <c r="O482" s="12"/>
      <c r="P482" s="13"/>
      <c r="Q482" s="19" t="str">
        <f aca="false">IF($N482="","",IFERROR(INDEX($C$5:$C$504,MATCH($N482,$A$5:$A$504,0)),"Invoice not found"))</f>
        <v/>
      </c>
    </row>
    <row r="483" customFormat="false" ht="15" hidden="false" customHeight="false" outlineLevel="0" collapsed="false">
      <c r="A483" s="19" t="str">
        <f aca="false">IF($K483="","",INDEX(Jobs!$O$5:$O$504,$K483))</f>
        <v/>
      </c>
      <c r="B483" s="22" t="str">
        <f aca="false">IF($K483="","",INDEX(Jobs!$A$5:$A$504,$K483))</f>
        <v/>
      </c>
      <c r="C483" s="19" t="str">
        <f aca="false">IF($K483="","",INDEX(Jobs!$B$5:$B$504,$K483))</f>
        <v/>
      </c>
      <c r="D483" s="19" t="str">
        <f aca="false">IF($K483="","",INDEX(Jobs!$J$5:$J$504,$K483))</f>
        <v/>
      </c>
      <c r="E483" s="15" t="str">
        <f aca="false">IF($K483="","",INDEX(Jobs!$N$5:$N$504,$K483))</f>
        <v/>
      </c>
      <c r="F483" s="15" t="str">
        <f aca="false">IF($A483="","",SUMIFS($P$5:$P$1004,$N$5:$N$1004,$A483))</f>
        <v/>
      </c>
      <c r="G483" s="15" t="str">
        <f aca="false">IF($A483="","",$E483-$F483)</f>
        <v/>
      </c>
      <c r="H483" s="22" t="str">
        <f aca="false">IF($A483="","",$B483+Settings!$B$11)</f>
        <v/>
      </c>
      <c r="I483" s="19" t="str">
        <f aca="true">IF($A483="","",IF($G483&lt;=0,"Paid",IF(TODAY()&gt;$H483,"Overdue",IF($F483&gt;0,"Partial","Unpaid"))))</f>
        <v/>
      </c>
      <c r="J483" s="14" t="str">
        <f aca="true">IF($A483="","",IF(AND($G483&gt;0,TODAY()&gt;$H483),TODAY()-$H483,""))</f>
        <v/>
      </c>
      <c r="K483" s="2" t="str">
        <f aca="false">IFERROR(MATCH(ROWS($K$5:$K483),Jobs!$Q$5:$Q$504,0),"")</f>
        <v/>
      </c>
      <c r="M483" s="16"/>
      <c r="N483" s="12"/>
      <c r="O483" s="12"/>
      <c r="P483" s="13"/>
      <c r="Q483" s="19" t="str">
        <f aca="false">IF($N483="","",IFERROR(INDEX($C$5:$C$504,MATCH($N483,$A$5:$A$504,0)),"Invoice not found"))</f>
        <v/>
      </c>
    </row>
    <row r="484" customFormat="false" ht="15" hidden="false" customHeight="false" outlineLevel="0" collapsed="false">
      <c r="A484" s="19" t="str">
        <f aca="false">IF($K484="","",INDEX(Jobs!$O$5:$O$504,$K484))</f>
        <v/>
      </c>
      <c r="B484" s="22" t="str">
        <f aca="false">IF($K484="","",INDEX(Jobs!$A$5:$A$504,$K484))</f>
        <v/>
      </c>
      <c r="C484" s="19" t="str">
        <f aca="false">IF($K484="","",INDEX(Jobs!$B$5:$B$504,$K484))</f>
        <v/>
      </c>
      <c r="D484" s="19" t="str">
        <f aca="false">IF($K484="","",INDEX(Jobs!$J$5:$J$504,$K484))</f>
        <v/>
      </c>
      <c r="E484" s="15" t="str">
        <f aca="false">IF($K484="","",INDEX(Jobs!$N$5:$N$504,$K484))</f>
        <v/>
      </c>
      <c r="F484" s="15" t="str">
        <f aca="false">IF($A484="","",SUMIFS($P$5:$P$1004,$N$5:$N$1004,$A484))</f>
        <v/>
      </c>
      <c r="G484" s="15" t="str">
        <f aca="false">IF($A484="","",$E484-$F484)</f>
        <v/>
      </c>
      <c r="H484" s="22" t="str">
        <f aca="false">IF($A484="","",$B484+Settings!$B$11)</f>
        <v/>
      </c>
      <c r="I484" s="19" t="str">
        <f aca="true">IF($A484="","",IF($G484&lt;=0,"Paid",IF(TODAY()&gt;$H484,"Overdue",IF($F484&gt;0,"Partial","Unpaid"))))</f>
        <v/>
      </c>
      <c r="J484" s="14" t="str">
        <f aca="true">IF($A484="","",IF(AND($G484&gt;0,TODAY()&gt;$H484),TODAY()-$H484,""))</f>
        <v/>
      </c>
      <c r="K484" s="2" t="str">
        <f aca="false">IFERROR(MATCH(ROWS($K$5:$K484),Jobs!$Q$5:$Q$504,0),"")</f>
        <v/>
      </c>
      <c r="M484" s="16"/>
      <c r="N484" s="12"/>
      <c r="O484" s="12"/>
      <c r="P484" s="13"/>
      <c r="Q484" s="19" t="str">
        <f aca="false">IF($N484="","",IFERROR(INDEX($C$5:$C$504,MATCH($N484,$A$5:$A$504,0)),"Invoice not found"))</f>
        <v/>
      </c>
    </row>
    <row r="485" customFormat="false" ht="15" hidden="false" customHeight="false" outlineLevel="0" collapsed="false">
      <c r="A485" s="19" t="str">
        <f aca="false">IF($K485="","",INDEX(Jobs!$O$5:$O$504,$K485))</f>
        <v/>
      </c>
      <c r="B485" s="22" t="str">
        <f aca="false">IF($K485="","",INDEX(Jobs!$A$5:$A$504,$K485))</f>
        <v/>
      </c>
      <c r="C485" s="19" t="str">
        <f aca="false">IF($K485="","",INDEX(Jobs!$B$5:$B$504,$K485))</f>
        <v/>
      </c>
      <c r="D485" s="19" t="str">
        <f aca="false">IF($K485="","",INDEX(Jobs!$J$5:$J$504,$K485))</f>
        <v/>
      </c>
      <c r="E485" s="15" t="str">
        <f aca="false">IF($K485="","",INDEX(Jobs!$N$5:$N$504,$K485))</f>
        <v/>
      </c>
      <c r="F485" s="15" t="str">
        <f aca="false">IF($A485="","",SUMIFS($P$5:$P$1004,$N$5:$N$1004,$A485))</f>
        <v/>
      </c>
      <c r="G485" s="15" t="str">
        <f aca="false">IF($A485="","",$E485-$F485)</f>
        <v/>
      </c>
      <c r="H485" s="22" t="str">
        <f aca="false">IF($A485="","",$B485+Settings!$B$11)</f>
        <v/>
      </c>
      <c r="I485" s="19" t="str">
        <f aca="true">IF($A485="","",IF($G485&lt;=0,"Paid",IF(TODAY()&gt;$H485,"Overdue",IF($F485&gt;0,"Partial","Unpaid"))))</f>
        <v/>
      </c>
      <c r="J485" s="14" t="str">
        <f aca="true">IF($A485="","",IF(AND($G485&gt;0,TODAY()&gt;$H485),TODAY()-$H485,""))</f>
        <v/>
      </c>
      <c r="K485" s="2" t="str">
        <f aca="false">IFERROR(MATCH(ROWS($K$5:$K485),Jobs!$Q$5:$Q$504,0),"")</f>
        <v/>
      </c>
      <c r="M485" s="16"/>
      <c r="N485" s="12"/>
      <c r="O485" s="12"/>
      <c r="P485" s="13"/>
      <c r="Q485" s="19" t="str">
        <f aca="false">IF($N485="","",IFERROR(INDEX($C$5:$C$504,MATCH($N485,$A$5:$A$504,0)),"Invoice not found"))</f>
        <v/>
      </c>
    </row>
    <row r="486" customFormat="false" ht="15" hidden="false" customHeight="false" outlineLevel="0" collapsed="false">
      <c r="A486" s="19" t="str">
        <f aca="false">IF($K486="","",INDEX(Jobs!$O$5:$O$504,$K486))</f>
        <v/>
      </c>
      <c r="B486" s="22" t="str">
        <f aca="false">IF($K486="","",INDEX(Jobs!$A$5:$A$504,$K486))</f>
        <v/>
      </c>
      <c r="C486" s="19" t="str">
        <f aca="false">IF($K486="","",INDEX(Jobs!$B$5:$B$504,$K486))</f>
        <v/>
      </c>
      <c r="D486" s="19" t="str">
        <f aca="false">IF($K486="","",INDEX(Jobs!$J$5:$J$504,$K486))</f>
        <v/>
      </c>
      <c r="E486" s="15" t="str">
        <f aca="false">IF($K486="","",INDEX(Jobs!$N$5:$N$504,$K486))</f>
        <v/>
      </c>
      <c r="F486" s="15" t="str">
        <f aca="false">IF($A486="","",SUMIFS($P$5:$P$1004,$N$5:$N$1004,$A486))</f>
        <v/>
      </c>
      <c r="G486" s="15" t="str">
        <f aca="false">IF($A486="","",$E486-$F486)</f>
        <v/>
      </c>
      <c r="H486" s="22" t="str">
        <f aca="false">IF($A486="","",$B486+Settings!$B$11)</f>
        <v/>
      </c>
      <c r="I486" s="19" t="str">
        <f aca="true">IF($A486="","",IF($G486&lt;=0,"Paid",IF(TODAY()&gt;$H486,"Overdue",IF($F486&gt;0,"Partial","Unpaid"))))</f>
        <v/>
      </c>
      <c r="J486" s="14" t="str">
        <f aca="true">IF($A486="","",IF(AND($G486&gt;0,TODAY()&gt;$H486),TODAY()-$H486,""))</f>
        <v/>
      </c>
      <c r="K486" s="2" t="str">
        <f aca="false">IFERROR(MATCH(ROWS($K$5:$K486),Jobs!$Q$5:$Q$504,0),"")</f>
        <v/>
      </c>
      <c r="M486" s="16"/>
      <c r="N486" s="12"/>
      <c r="O486" s="12"/>
      <c r="P486" s="13"/>
      <c r="Q486" s="19" t="str">
        <f aca="false">IF($N486="","",IFERROR(INDEX($C$5:$C$504,MATCH($N486,$A$5:$A$504,0)),"Invoice not found"))</f>
        <v/>
      </c>
    </row>
    <row r="487" customFormat="false" ht="15" hidden="false" customHeight="false" outlineLevel="0" collapsed="false">
      <c r="A487" s="19" t="str">
        <f aca="false">IF($K487="","",INDEX(Jobs!$O$5:$O$504,$K487))</f>
        <v/>
      </c>
      <c r="B487" s="22" t="str">
        <f aca="false">IF($K487="","",INDEX(Jobs!$A$5:$A$504,$K487))</f>
        <v/>
      </c>
      <c r="C487" s="19" t="str">
        <f aca="false">IF($K487="","",INDEX(Jobs!$B$5:$B$504,$K487))</f>
        <v/>
      </c>
      <c r="D487" s="19" t="str">
        <f aca="false">IF($K487="","",INDEX(Jobs!$J$5:$J$504,$K487))</f>
        <v/>
      </c>
      <c r="E487" s="15" t="str">
        <f aca="false">IF($K487="","",INDEX(Jobs!$N$5:$N$504,$K487))</f>
        <v/>
      </c>
      <c r="F487" s="15" t="str">
        <f aca="false">IF($A487="","",SUMIFS($P$5:$P$1004,$N$5:$N$1004,$A487))</f>
        <v/>
      </c>
      <c r="G487" s="15" t="str">
        <f aca="false">IF($A487="","",$E487-$F487)</f>
        <v/>
      </c>
      <c r="H487" s="22" t="str">
        <f aca="false">IF($A487="","",$B487+Settings!$B$11)</f>
        <v/>
      </c>
      <c r="I487" s="19" t="str">
        <f aca="true">IF($A487="","",IF($G487&lt;=0,"Paid",IF(TODAY()&gt;$H487,"Overdue",IF($F487&gt;0,"Partial","Unpaid"))))</f>
        <v/>
      </c>
      <c r="J487" s="14" t="str">
        <f aca="true">IF($A487="","",IF(AND($G487&gt;0,TODAY()&gt;$H487),TODAY()-$H487,""))</f>
        <v/>
      </c>
      <c r="K487" s="2" t="str">
        <f aca="false">IFERROR(MATCH(ROWS($K$5:$K487),Jobs!$Q$5:$Q$504,0),"")</f>
        <v/>
      </c>
      <c r="M487" s="16"/>
      <c r="N487" s="12"/>
      <c r="O487" s="12"/>
      <c r="P487" s="13"/>
      <c r="Q487" s="19" t="str">
        <f aca="false">IF($N487="","",IFERROR(INDEX($C$5:$C$504,MATCH($N487,$A$5:$A$504,0)),"Invoice not found"))</f>
        <v/>
      </c>
    </row>
    <row r="488" customFormat="false" ht="15" hidden="false" customHeight="false" outlineLevel="0" collapsed="false">
      <c r="A488" s="19" t="str">
        <f aca="false">IF($K488="","",INDEX(Jobs!$O$5:$O$504,$K488))</f>
        <v/>
      </c>
      <c r="B488" s="22" t="str">
        <f aca="false">IF($K488="","",INDEX(Jobs!$A$5:$A$504,$K488))</f>
        <v/>
      </c>
      <c r="C488" s="19" t="str">
        <f aca="false">IF($K488="","",INDEX(Jobs!$B$5:$B$504,$K488))</f>
        <v/>
      </c>
      <c r="D488" s="19" t="str">
        <f aca="false">IF($K488="","",INDEX(Jobs!$J$5:$J$504,$K488))</f>
        <v/>
      </c>
      <c r="E488" s="15" t="str">
        <f aca="false">IF($K488="","",INDEX(Jobs!$N$5:$N$504,$K488))</f>
        <v/>
      </c>
      <c r="F488" s="15" t="str">
        <f aca="false">IF($A488="","",SUMIFS($P$5:$P$1004,$N$5:$N$1004,$A488))</f>
        <v/>
      </c>
      <c r="G488" s="15" t="str">
        <f aca="false">IF($A488="","",$E488-$F488)</f>
        <v/>
      </c>
      <c r="H488" s="22" t="str">
        <f aca="false">IF($A488="","",$B488+Settings!$B$11)</f>
        <v/>
      </c>
      <c r="I488" s="19" t="str">
        <f aca="true">IF($A488="","",IF($G488&lt;=0,"Paid",IF(TODAY()&gt;$H488,"Overdue",IF($F488&gt;0,"Partial","Unpaid"))))</f>
        <v/>
      </c>
      <c r="J488" s="14" t="str">
        <f aca="true">IF($A488="","",IF(AND($G488&gt;0,TODAY()&gt;$H488),TODAY()-$H488,""))</f>
        <v/>
      </c>
      <c r="K488" s="2" t="str">
        <f aca="false">IFERROR(MATCH(ROWS($K$5:$K488),Jobs!$Q$5:$Q$504,0),"")</f>
        <v/>
      </c>
      <c r="M488" s="16"/>
      <c r="N488" s="12"/>
      <c r="O488" s="12"/>
      <c r="P488" s="13"/>
      <c r="Q488" s="19" t="str">
        <f aca="false">IF($N488="","",IFERROR(INDEX($C$5:$C$504,MATCH($N488,$A$5:$A$504,0)),"Invoice not found"))</f>
        <v/>
      </c>
    </row>
    <row r="489" customFormat="false" ht="15" hidden="false" customHeight="false" outlineLevel="0" collapsed="false">
      <c r="A489" s="19" t="str">
        <f aca="false">IF($K489="","",INDEX(Jobs!$O$5:$O$504,$K489))</f>
        <v/>
      </c>
      <c r="B489" s="22" t="str">
        <f aca="false">IF($K489="","",INDEX(Jobs!$A$5:$A$504,$K489))</f>
        <v/>
      </c>
      <c r="C489" s="19" t="str">
        <f aca="false">IF($K489="","",INDEX(Jobs!$B$5:$B$504,$K489))</f>
        <v/>
      </c>
      <c r="D489" s="19" t="str">
        <f aca="false">IF($K489="","",INDEX(Jobs!$J$5:$J$504,$K489))</f>
        <v/>
      </c>
      <c r="E489" s="15" t="str">
        <f aca="false">IF($K489="","",INDEX(Jobs!$N$5:$N$504,$K489))</f>
        <v/>
      </c>
      <c r="F489" s="15" t="str">
        <f aca="false">IF($A489="","",SUMIFS($P$5:$P$1004,$N$5:$N$1004,$A489))</f>
        <v/>
      </c>
      <c r="G489" s="15" t="str">
        <f aca="false">IF($A489="","",$E489-$F489)</f>
        <v/>
      </c>
      <c r="H489" s="22" t="str">
        <f aca="false">IF($A489="","",$B489+Settings!$B$11)</f>
        <v/>
      </c>
      <c r="I489" s="19" t="str">
        <f aca="true">IF($A489="","",IF($G489&lt;=0,"Paid",IF(TODAY()&gt;$H489,"Overdue",IF($F489&gt;0,"Partial","Unpaid"))))</f>
        <v/>
      </c>
      <c r="J489" s="14" t="str">
        <f aca="true">IF($A489="","",IF(AND($G489&gt;0,TODAY()&gt;$H489),TODAY()-$H489,""))</f>
        <v/>
      </c>
      <c r="K489" s="2" t="str">
        <f aca="false">IFERROR(MATCH(ROWS($K$5:$K489),Jobs!$Q$5:$Q$504,0),"")</f>
        <v/>
      </c>
      <c r="M489" s="16"/>
      <c r="N489" s="12"/>
      <c r="O489" s="12"/>
      <c r="P489" s="13"/>
      <c r="Q489" s="19" t="str">
        <f aca="false">IF($N489="","",IFERROR(INDEX($C$5:$C$504,MATCH($N489,$A$5:$A$504,0)),"Invoice not found"))</f>
        <v/>
      </c>
    </row>
    <row r="490" customFormat="false" ht="15" hidden="false" customHeight="false" outlineLevel="0" collapsed="false">
      <c r="A490" s="19" t="str">
        <f aca="false">IF($K490="","",INDEX(Jobs!$O$5:$O$504,$K490))</f>
        <v/>
      </c>
      <c r="B490" s="22" t="str">
        <f aca="false">IF($K490="","",INDEX(Jobs!$A$5:$A$504,$K490))</f>
        <v/>
      </c>
      <c r="C490" s="19" t="str">
        <f aca="false">IF($K490="","",INDEX(Jobs!$B$5:$B$504,$K490))</f>
        <v/>
      </c>
      <c r="D490" s="19" t="str">
        <f aca="false">IF($K490="","",INDEX(Jobs!$J$5:$J$504,$K490))</f>
        <v/>
      </c>
      <c r="E490" s="15" t="str">
        <f aca="false">IF($K490="","",INDEX(Jobs!$N$5:$N$504,$K490))</f>
        <v/>
      </c>
      <c r="F490" s="15" t="str">
        <f aca="false">IF($A490="","",SUMIFS($P$5:$P$1004,$N$5:$N$1004,$A490))</f>
        <v/>
      </c>
      <c r="G490" s="15" t="str">
        <f aca="false">IF($A490="","",$E490-$F490)</f>
        <v/>
      </c>
      <c r="H490" s="22" t="str">
        <f aca="false">IF($A490="","",$B490+Settings!$B$11)</f>
        <v/>
      </c>
      <c r="I490" s="19" t="str">
        <f aca="true">IF($A490="","",IF($G490&lt;=0,"Paid",IF(TODAY()&gt;$H490,"Overdue",IF($F490&gt;0,"Partial","Unpaid"))))</f>
        <v/>
      </c>
      <c r="J490" s="14" t="str">
        <f aca="true">IF($A490="","",IF(AND($G490&gt;0,TODAY()&gt;$H490),TODAY()-$H490,""))</f>
        <v/>
      </c>
      <c r="K490" s="2" t="str">
        <f aca="false">IFERROR(MATCH(ROWS($K$5:$K490),Jobs!$Q$5:$Q$504,0),"")</f>
        <v/>
      </c>
      <c r="M490" s="16"/>
      <c r="N490" s="12"/>
      <c r="O490" s="12"/>
      <c r="P490" s="13"/>
      <c r="Q490" s="19" t="str">
        <f aca="false">IF($N490="","",IFERROR(INDEX($C$5:$C$504,MATCH($N490,$A$5:$A$504,0)),"Invoice not found"))</f>
        <v/>
      </c>
    </row>
    <row r="491" customFormat="false" ht="15" hidden="false" customHeight="false" outlineLevel="0" collapsed="false">
      <c r="A491" s="19" t="str">
        <f aca="false">IF($K491="","",INDEX(Jobs!$O$5:$O$504,$K491))</f>
        <v/>
      </c>
      <c r="B491" s="22" t="str">
        <f aca="false">IF($K491="","",INDEX(Jobs!$A$5:$A$504,$K491))</f>
        <v/>
      </c>
      <c r="C491" s="19" t="str">
        <f aca="false">IF($K491="","",INDEX(Jobs!$B$5:$B$504,$K491))</f>
        <v/>
      </c>
      <c r="D491" s="19" t="str">
        <f aca="false">IF($K491="","",INDEX(Jobs!$J$5:$J$504,$K491))</f>
        <v/>
      </c>
      <c r="E491" s="15" t="str">
        <f aca="false">IF($K491="","",INDEX(Jobs!$N$5:$N$504,$K491))</f>
        <v/>
      </c>
      <c r="F491" s="15" t="str">
        <f aca="false">IF($A491="","",SUMIFS($P$5:$P$1004,$N$5:$N$1004,$A491))</f>
        <v/>
      </c>
      <c r="G491" s="15" t="str">
        <f aca="false">IF($A491="","",$E491-$F491)</f>
        <v/>
      </c>
      <c r="H491" s="22" t="str">
        <f aca="false">IF($A491="","",$B491+Settings!$B$11)</f>
        <v/>
      </c>
      <c r="I491" s="19" t="str">
        <f aca="true">IF($A491="","",IF($G491&lt;=0,"Paid",IF(TODAY()&gt;$H491,"Overdue",IF($F491&gt;0,"Partial","Unpaid"))))</f>
        <v/>
      </c>
      <c r="J491" s="14" t="str">
        <f aca="true">IF($A491="","",IF(AND($G491&gt;0,TODAY()&gt;$H491),TODAY()-$H491,""))</f>
        <v/>
      </c>
      <c r="K491" s="2" t="str">
        <f aca="false">IFERROR(MATCH(ROWS($K$5:$K491),Jobs!$Q$5:$Q$504,0),"")</f>
        <v/>
      </c>
      <c r="M491" s="16"/>
      <c r="N491" s="12"/>
      <c r="O491" s="12"/>
      <c r="P491" s="13"/>
      <c r="Q491" s="19" t="str">
        <f aca="false">IF($N491="","",IFERROR(INDEX($C$5:$C$504,MATCH($N491,$A$5:$A$504,0)),"Invoice not found"))</f>
        <v/>
      </c>
    </row>
    <row r="492" customFormat="false" ht="15" hidden="false" customHeight="false" outlineLevel="0" collapsed="false">
      <c r="A492" s="19" t="str">
        <f aca="false">IF($K492="","",INDEX(Jobs!$O$5:$O$504,$K492))</f>
        <v/>
      </c>
      <c r="B492" s="22" t="str">
        <f aca="false">IF($K492="","",INDEX(Jobs!$A$5:$A$504,$K492))</f>
        <v/>
      </c>
      <c r="C492" s="19" t="str">
        <f aca="false">IF($K492="","",INDEX(Jobs!$B$5:$B$504,$K492))</f>
        <v/>
      </c>
      <c r="D492" s="19" t="str">
        <f aca="false">IF($K492="","",INDEX(Jobs!$J$5:$J$504,$K492))</f>
        <v/>
      </c>
      <c r="E492" s="15" t="str">
        <f aca="false">IF($K492="","",INDEX(Jobs!$N$5:$N$504,$K492))</f>
        <v/>
      </c>
      <c r="F492" s="15" t="str">
        <f aca="false">IF($A492="","",SUMIFS($P$5:$P$1004,$N$5:$N$1004,$A492))</f>
        <v/>
      </c>
      <c r="G492" s="15" t="str">
        <f aca="false">IF($A492="","",$E492-$F492)</f>
        <v/>
      </c>
      <c r="H492" s="22" t="str">
        <f aca="false">IF($A492="","",$B492+Settings!$B$11)</f>
        <v/>
      </c>
      <c r="I492" s="19" t="str">
        <f aca="true">IF($A492="","",IF($G492&lt;=0,"Paid",IF(TODAY()&gt;$H492,"Overdue",IF($F492&gt;0,"Partial","Unpaid"))))</f>
        <v/>
      </c>
      <c r="J492" s="14" t="str">
        <f aca="true">IF($A492="","",IF(AND($G492&gt;0,TODAY()&gt;$H492),TODAY()-$H492,""))</f>
        <v/>
      </c>
      <c r="K492" s="2" t="str">
        <f aca="false">IFERROR(MATCH(ROWS($K$5:$K492),Jobs!$Q$5:$Q$504,0),"")</f>
        <v/>
      </c>
      <c r="M492" s="16"/>
      <c r="N492" s="12"/>
      <c r="O492" s="12"/>
      <c r="P492" s="13"/>
      <c r="Q492" s="19" t="str">
        <f aca="false">IF($N492="","",IFERROR(INDEX($C$5:$C$504,MATCH($N492,$A$5:$A$504,0)),"Invoice not found"))</f>
        <v/>
      </c>
    </row>
    <row r="493" customFormat="false" ht="15" hidden="false" customHeight="false" outlineLevel="0" collapsed="false">
      <c r="A493" s="19" t="str">
        <f aca="false">IF($K493="","",INDEX(Jobs!$O$5:$O$504,$K493))</f>
        <v/>
      </c>
      <c r="B493" s="22" t="str">
        <f aca="false">IF($K493="","",INDEX(Jobs!$A$5:$A$504,$K493))</f>
        <v/>
      </c>
      <c r="C493" s="19" t="str">
        <f aca="false">IF($K493="","",INDEX(Jobs!$B$5:$B$504,$K493))</f>
        <v/>
      </c>
      <c r="D493" s="19" t="str">
        <f aca="false">IF($K493="","",INDEX(Jobs!$J$5:$J$504,$K493))</f>
        <v/>
      </c>
      <c r="E493" s="15" t="str">
        <f aca="false">IF($K493="","",INDEX(Jobs!$N$5:$N$504,$K493))</f>
        <v/>
      </c>
      <c r="F493" s="15" t="str">
        <f aca="false">IF($A493="","",SUMIFS($P$5:$P$1004,$N$5:$N$1004,$A493))</f>
        <v/>
      </c>
      <c r="G493" s="15" t="str">
        <f aca="false">IF($A493="","",$E493-$F493)</f>
        <v/>
      </c>
      <c r="H493" s="22" t="str">
        <f aca="false">IF($A493="","",$B493+Settings!$B$11)</f>
        <v/>
      </c>
      <c r="I493" s="19" t="str">
        <f aca="true">IF($A493="","",IF($G493&lt;=0,"Paid",IF(TODAY()&gt;$H493,"Overdue",IF($F493&gt;0,"Partial","Unpaid"))))</f>
        <v/>
      </c>
      <c r="J493" s="14" t="str">
        <f aca="true">IF($A493="","",IF(AND($G493&gt;0,TODAY()&gt;$H493),TODAY()-$H493,""))</f>
        <v/>
      </c>
      <c r="K493" s="2" t="str">
        <f aca="false">IFERROR(MATCH(ROWS($K$5:$K493),Jobs!$Q$5:$Q$504,0),"")</f>
        <v/>
      </c>
      <c r="M493" s="16"/>
      <c r="N493" s="12"/>
      <c r="O493" s="12"/>
      <c r="P493" s="13"/>
      <c r="Q493" s="19" t="str">
        <f aca="false">IF($N493="","",IFERROR(INDEX($C$5:$C$504,MATCH($N493,$A$5:$A$504,0)),"Invoice not found"))</f>
        <v/>
      </c>
    </row>
    <row r="494" customFormat="false" ht="15" hidden="false" customHeight="false" outlineLevel="0" collapsed="false">
      <c r="A494" s="19" t="str">
        <f aca="false">IF($K494="","",INDEX(Jobs!$O$5:$O$504,$K494))</f>
        <v/>
      </c>
      <c r="B494" s="22" t="str">
        <f aca="false">IF($K494="","",INDEX(Jobs!$A$5:$A$504,$K494))</f>
        <v/>
      </c>
      <c r="C494" s="19" t="str">
        <f aca="false">IF($K494="","",INDEX(Jobs!$B$5:$B$504,$K494))</f>
        <v/>
      </c>
      <c r="D494" s="19" t="str">
        <f aca="false">IF($K494="","",INDEX(Jobs!$J$5:$J$504,$K494))</f>
        <v/>
      </c>
      <c r="E494" s="15" t="str">
        <f aca="false">IF($K494="","",INDEX(Jobs!$N$5:$N$504,$K494))</f>
        <v/>
      </c>
      <c r="F494" s="15" t="str">
        <f aca="false">IF($A494="","",SUMIFS($P$5:$P$1004,$N$5:$N$1004,$A494))</f>
        <v/>
      </c>
      <c r="G494" s="15" t="str">
        <f aca="false">IF($A494="","",$E494-$F494)</f>
        <v/>
      </c>
      <c r="H494" s="22" t="str">
        <f aca="false">IF($A494="","",$B494+Settings!$B$11)</f>
        <v/>
      </c>
      <c r="I494" s="19" t="str">
        <f aca="true">IF($A494="","",IF($G494&lt;=0,"Paid",IF(TODAY()&gt;$H494,"Overdue",IF($F494&gt;0,"Partial","Unpaid"))))</f>
        <v/>
      </c>
      <c r="J494" s="14" t="str">
        <f aca="true">IF($A494="","",IF(AND($G494&gt;0,TODAY()&gt;$H494),TODAY()-$H494,""))</f>
        <v/>
      </c>
      <c r="K494" s="2" t="str">
        <f aca="false">IFERROR(MATCH(ROWS($K$5:$K494),Jobs!$Q$5:$Q$504,0),"")</f>
        <v/>
      </c>
      <c r="M494" s="16"/>
      <c r="N494" s="12"/>
      <c r="O494" s="12"/>
      <c r="P494" s="13"/>
      <c r="Q494" s="19" t="str">
        <f aca="false">IF($N494="","",IFERROR(INDEX($C$5:$C$504,MATCH($N494,$A$5:$A$504,0)),"Invoice not found"))</f>
        <v/>
      </c>
    </row>
    <row r="495" customFormat="false" ht="15" hidden="false" customHeight="false" outlineLevel="0" collapsed="false">
      <c r="A495" s="19" t="str">
        <f aca="false">IF($K495="","",INDEX(Jobs!$O$5:$O$504,$K495))</f>
        <v/>
      </c>
      <c r="B495" s="22" t="str">
        <f aca="false">IF($K495="","",INDEX(Jobs!$A$5:$A$504,$K495))</f>
        <v/>
      </c>
      <c r="C495" s="19" t="str">
        <f aca="false">IF($K495="","",INDEX(Jobs!$B$5:$B$504,$K495))</f>
        <v/>
      </c>
      <c r="D495" s="19" t="str">
        <f aca="false">IF($K495="","",INDEX(Jobs!$J$5:$J$504,$K495))</f>
        <v/>
      </c>
      <c r="E495" s="15" t="str">
        <f aca="false">IF($K495="","",INDEX(Jobs!$N$5:$N$504,$K495))</f>
        <v/>
      </c>
      <c r="F495" s="15" t="str">
        <f aca="false">IF($A495="","",SUMIFS($P$5:$P$1004,$N$5:$N$1004,$A495))</f>
        <v/>
      </c>
      <c r="G495" s="15" t="str">
        <f aca="false">IF($A495="","",$E495-$F495)</f>
        <v/>
      </c>
      <c r="H495" s="22" t="str">
        <f aca="false">IF($A495="","",$B495+Settings!$B$11)</f>
        <v/>
      </c>
      <c r="I495" s="19" t="str">
        <f aca="true">IF($A495="","",IF($G495&lt;=0,"Paid",IF(TODAY()&gt;$H495,"Overdue",IF($F495&gt;0,"Partial","Unpaid"))))</f>
        <v/>
      </c>
      <c r="J495" s="14" t="str">
        <f aca="true">IF($A495="","",IF(AND($G495&gt;0,TODAY()&gt;$H495),TODAY()-$H495,""))</f>
        <v/>
      </c>
      <c r="K495" s="2" t="str">
        <f aca="false">IFERROR(MATCH(ROWS($K$5:$K495),Jobs!$Q$5:$Q$504,0),"")</f>
        <v/>
      </c>
      <c r="M495" s="16"/>
      <c r="N495" s="12"/>
      <c r="O495" s="12"/>
      <c r="P495" s="13"/>
      <c r="Q495" s="19" t="str">
        <f aca="false">IF($N495="","",IFERROR(INDEX($C$5:$C$504,MATCH($N495,$A$5:$A$504,0)),"Invoice not found"))</f>
        <v/>
      </c>
    </row>
    <row r="496" customFormat="false" ht="15" hidden="false" customHeight="false" outlineLevel="0" collapsed="false">
      <c r="A496" s="19" t="str">
        <f aca="false">IF($K496="","",INDEX(Jobs!$O$5:$O$504,$K496))</f>
        <v/>
      </c>
      <c r="B496" s="22" t="str">
        <f aca="false">IF($K496="","",INDEX(Jobs!$A$5:$A$504,$K496))</f>
        <v/>
      </c>
      <c r="C496" s="19" t="str">
        <f aca="false">IF($K496="","",INDEX(Jobs!$B$5:$B$504,$K496))</f>
        <v/>
      </c>
      <c r="D496" s="19" t="str">
        <f aca="false">IF($K496="","",INDEX(Jobs!$J$5:$J$504,$K496))</f>
        <v/>
      </c>
      <c r="E496" s="15" t="str">
        <f aca="false">IF($K496="","",INDEX(Jobs!$N$5:$N$504,$K496))</f>
        <v/>
      </c>
      <c r="F496" s="15" t="str">
        <f aca="false">IF($A496="","",SUMIFS($P$5:$P$1004,$N$5:$N$1004,$A496))</f>
        <v/>
      </c>
      <c r="G496" s="15" t="str">
        <f aca="false">IF($A496="","",$E496-$F496)</f>
        <v/>
      </c>
      <c r="H496" s="22" t="str">
        <f aca="false">IF($A496="","",$B496+Settings!$B$11)</f>
        <v/>
      </c>
      <c r="I496" s="19" t="str">
        <f aca="true">IF($A496="","",IF($G496&lt;=0,"Paid",IF(TODAY()&gt;$H496,"Overdue",IF($F496&gt;0,"Partial","Unpaid"))))</f>
        <v/>
      </c>
      <c r="J496" s="14" t="str">
        <f aca="true">IF($A496="","",IF(AND($G496&gt;0,TODAY()&gt;$H496),TODAY()-$H496,""))</f>
        <v/>
      </c>
      <c r="K496" s="2" t="str">
        <f aca="false">IFERROR(MATCH(ROWS($K$5:$K496),Jobs!$Q$5:$Q$504,0),"")</f>
        <v/>
      </c>
      <c r="M496" s="16"/>
      <c r="N496" s="12"/>
      <c r="O496" s="12"/>
      <c r="P496" s="13"/>
      <c r="Q496" s="19" t="str">
        <f aca="false">IF($N496="","",IFERROR(INDEX($C$5:$C$504,MATCH($N496,$A$5:$A$504,0)),"Invoice not found"))</f>
        <v/>
      </c>
    </row>
    <row r="497" customFormat="false" ht="15" hidden="false" customHeight="false" outlineLevel="0" collapsed="false">
      <c r="A497" s="19" t="str">
        <f aca="false">IF($K497="","",INDEX(Jobs!$O$5:$O$504,$K497))</f>
        <v/>
      </c>
      <c r="B497" s="22" t="str">
        <f aca="false">IF($K497="","",INDEX(Jobs!$A$5:$A$504,$K497))</f>
        <v/>
      </c>
      <c r="C497" s="19" t="str">
        <f aca="false">IF($K497="","",INDEX(Jobs!$B$5:$B$504,$K497))</f>
        <v/>
      </c>
      <c r="D497" s="19" t="str">
        <f aca="false">IF($K497="","",INDEX(Jobs!$J$5:$J$504,$K497))</f>
        <v/>
      </c>
      <c r="E497" s="15" t="str">
        <f aca="false">IF($K497="","",INDEX(Jobs!$N$5:$N$504,$K497))</f>
        <v/>
      </c>
      <c r="F497" s="15" t="str">
        <f aca="false">IF($A497="","",SUMIFS($P$5:$P$1004,$N$5:$N$1004,$A497))</f>
        <v/>
      </c>
      <c r="G497" s="15" t="str">
        <f aca="false">IF($A497="","",$E497-$F497)</f>
        <v/>
      </c>
      <c r="H497" s="22" t="str">
        <f aca="false">IF($A497="","",$B497+Settings!$B$11)</f>
        <v/>
      </c>
      <c r="I497" s="19" t="str">
        <f aca="true">IF($A497="","",IF($G497&lt;=0,"Paid",IF(TODAY()&gt;$H497,"Overdue",IF($F497&gt;0,"Partial","Unpaid"))))</f>
        <v/>
      </c>
      <c r="J497" s="14" t="str">
        <f aca="true">IF($A497="","",IF(AND($G497&gt;0,TODAY()&gt;$H497),TODAY()-$H497,""))</f>
        <v/>
      </c>
      <c r="K497" s="2" t="str">
        <f aca="false">IFERROR(MATCH(ROWS($K$5:$K497),Jobs!$Q$5:$Q$504,0),"")</f>
        <v/>
      </c>
      <c r="M497" s="16"/>
      <c r="N497" s="12"/>
      <c r="O497" s="12"/>
      <c r="P497" s="13"/>
      <c r="Q497" s="19" t="str">
        <f aca="false">IF($N497="","",IFERROR(INDEX($C$5:$C$504,MATCH($N497,$A$5:$A$504,0)),"Invoice not found"))</f>
        <v/>
      </c>
    </row>
    <row r="498" customFormat="false" ht="15" hidden="false" customHeight="false" outlineLevel="0" collapsed="false">
      <c r="A498" s="19" t="str">
        <f aca="false">IF($K498="","",INDEX(Jobs!$O$5:$O$504,$K498))</f>
        <v/>
      </c>
      <c r="B498" s="22" t="str">
        <f aca="false">IF($K498="","",INDEX(Jobs!$A$5:$A$504,$K498))</f>
        <v/>
      </c>
      <c r="C498" s="19" t="str">
        <f aca="false">IF($K498="","",INDEX(Jobs!$B$5:$B$504,$K498))</f>
        <v/>
      </c>
      <c r="D498" s="19" t="str">
        <f aca="false">IF($K498="","",INDEX(Jobs!$J$5:$J$504,$K498))</f>
        <v/>
      </c>
      <c r="E498" s="15" t="str">
        <f aca="false">IF($K498="","",INDEX(Jobs!$N$5:$N$504,$K498))</f>
        <v/>
      </c>
      <c r="F498" s="15" t="str">
        <f aca="false">IF($A498="","",SUMIFS($P$5:$P$1004,$N$5:$N$1004,$A498))</f>
        <v/>
      </c>
      <c r="G498" s="15" t="str">
        <f aca="false">IF($A498="","",$E498-$F498)</f>
        <v/>
      </c>
      <c r="H498" s="22" t="str">
        <f aca="false">IF($A498="","",$B498+Settings!$B$11)</f>
        <v/>
      </c>
      <c r="I498" s="19" t="str">
        <f aca="true">IF($A498="","",IF($G498&lt;=0,"Paid",IF(TODAY()&gt;$H498,"Overdue",IF($F498&gt;0,"Partial","Unpaid"))))</f>
        <v/>
      </c>
      <c r="J498" s="14" t="str">
        <f aca="true">IF($A498="","",IF(AND($G498&gt;0,TODAY()&gt;$H498),TODAY()-$H498,""))</f>
        <v/>
      </c>
      <c r="K498" s="2" t="str">
        <f aca="false">IFERROR(MATCH(ROWS($K$5:$K498),Jobs!$Q$5:$Q$504,0),"")</f>
        <v/>
      </c>
      <c r="M498" s="16"/>
      <c r="N498" s="12"/>
      <c r="O498" s="12"/>
      <c r="P498" s="13"/>
      <c r="Q498" s="19" t="str">
        <f aca="false">IF($N498="","",IFERROR(INDEX($C$5:$C$504,MATCH($N498,$A$5:$A$504,0)),"Invoice not found"))</f>
        <v/>
      </c>
    </row>
    <row r="499" customFormat="false" ht="15" hidden="false" customHeight="false" outlineLevel="0" collapsed="false">
      <c r="A499" s="19" t="str">
        <f aca="false">IF($K499="","",INDEX(Jobs!$O$5:$O$504,$K499))</f>
        <v/>
      </c>
      <c r="B499" s="22" t="str">
        <f aca="false">IF($K499="","",INDEX(Jobs!$A$5:$A$504,$K499))</f>
        <v/>
      </c>
      <c r="C499" s="19" t="str">
        <f aca="false">IF($K499="","",INDEX(Jobs!$B$5:$B$504,$K499))</f>
        <v/>
      </c>
      <c r="D499" s="19" t="str">
        <f aca="false">IF($K499="","",INDEX(Jobs!$J$5:$J$504,$K499))</f>
        <v/>
      </c>
      <c r="E499" s="15" t="str">
        <f aca="false">IF($K499="","",INDEX(Jobs!$N$5:$N$504,$K499))</f>
        <v/>
      </c>
      <c r="F499" s="15" t="str">
        <f aca="false">IF($A499="","",SUMIFS($P$5:$P$1004,$N$5:$N$1004,$A499))</f>
        <v/>
      </c>
      <c r="G499" s="15" t="str">
        <f aca="false">IF($A499="","",$E499-$F499)</f>
        <v/>
      </c>
      <c r="H499" s="22" t="str">
        <f aca="false">IF($A499="","",$B499+Settings!$B$11)</f>
        <v/>
      </c>
      <c r="I499" s="19" t="str">
        <f aca="true">IF($A499="","",IF($G499&lt;=0,"Paid",IF(TODAY()&gt;$H499,"Overdue",IF($F499&gt;0,"Partial","Unpaid"))))</f>
        <v/>
      </c>
      <c r="J499" s="14" t="str">
        <f aca="true">IF($A499="","",IF(AND($G499&gt;0,TODAY()&gt;$H499),TODAY()-$H499,""))</f>
        <v/>
      </c>
      <c r="K499" s="2" t="str">
        <f aca="false">IFERROR(MATCH(ROWS($K$5:$K499),Jobs!$Q$5:$Q$504,0),"")</f>
        <v/>
      </c>
      <c r="M499" s="16"/>
      <c r="N499" s="12"/>
      <c r="O499" s="12"/>
      <c r="P499" s="13"/>
      <c r="Q499" s="19" t="str">
        <f aca="false">IF($N499="","",IFERROR(INDEX($C$5:$C$504,MATCH($N499,$A$5:$A$504,0)),"Invoice not found"))</f>
        <v/>
      </c>
    </row>
    <row r="500" customFormat="false" ht="15" hidden="false" customHeight="false" outlineLevel="0" collapsed="false">
      <c r="A500" s="19" t="str">
        <f aca="false">IF($K500="","",INDEX(Jobs!$O$5:$O$504,$K500))</f>
        <v/>
      </c>
      <c r="B500" s="22" t="str">
        <f aca="false">IF($K500="","",INDEX(Jobs!$A$5:$A$504,$K500))</f>
        <v/>
      </c>
      <c r="C500" s="19" t="str">
        <f aca="false">IF($K500="","",INDEX(Jobs!$B$5:$B$504,$K500))</f>
        <v/>
      </c>
      <c r="D500" s="19" t="str">
        <f aca="false">IF($K500="","",INDEX(Jobs!$J$5:$J$504,$K500))</f>
        <v/>
      </c>
      <c r="E500" s="15" t="str">
        <f aca="false">IF($K500="","",INDEX(Jobs!$N$5:$N$504,$K500))</f>
        <v/>
      </c>
      <c r="F500" s="15" t="str">
        <f aca="false">IF($A500="","",SUMIFS($P$5:$P$1004,$N$5:$N$1004,$A500))</f>
        <v/>
      </c>
      <c r="G500" s="15" t="str">
        <f aca="false">IF($A500="","",$E500-$F500)</f>
        <v/>
      </c>
      <c r="H500" s="22" t="str">
        <f aca="false">IF($A500="","",$B500+Settings!$B$11)</f>
        <v/>
      </c>
      <c r="I500" s="19" t="str">
        <f aca="true">IF($A500="","",IF($G500&lt;=0,"Paid",IF(TODAY()&gt;$H500,"Overdue",IF($F500&gt;0,"Partial","Unpaid"))))</f>
        <v/>
      </c>
      <c r="J500" s="14" t="str">
        <f aca="true">IF($A500="","",IF(AND($G500&gt;0,TODAY()&gt;$H500),TODAY()-$H500,""))</f>
        <v/>
      </c>
      <c r="K500" s="2" t="str">
        <f aca="false">IFERROR(MATCH(ROWS($K$5:$K500),Jobs!$Q$5:$Q$504,0),"")</f>
        <v/>
      </c>
      <c r="M500" s="16"/>
      <c r="N500" s="12"/>
      <c r="O500" s="12"/>
      <c r="P500" s="13"/>
      <c r="Q500" s="19" t="str">
        <f aca="false">IF($N500="","",IFERROR(INDEX($C$5:$C$504,MATCH($N500,$A$5:$A$504,0)),"Invoice not found"))</f>
        <v/>
      </c>
    </row>
    <row r="501" customFormat="false" ht="15" hidden="false" customHeight="false" outlineLevel="0" collapsed="false">
      <c r="A501" s="19" t="str">
        <f aca="false">IF($K501="","",INDEX(Jobs!$O$5:$O$504,$K501))</f>
        <v/>
      </c>
      <c r="B501" s="22" t="str">
        <f aca="false">IF($K501="","",INDEX(Jobs!$A$5:$A$504,$K501))</f>
        <v/>
      </c>
      <c r="C501" s="19" t="str">
        <f aca="false">IF($K501="","",INDEX(Jobs!$B$5:$B$504,$K501))</f>
        <v/>
      </c>
      <c r="D501" s="19" t="str">
        <f aca="false">IF($K501="","",INDEX(Jobs!$J$5:$J$504,$K501))</f>
        <v/>
      </c>
      <c r="E501" s="15" t="str">
        <f aca="false">IF($K501="","",INDEX(Jobs!$N$5:$N$504,$K501))</f>
        <v/>
      </c>
      <c r="F501" s="15" t="str">
        <f aca="false">IF($A501="","",SUMIFS($P$5:$P$1004,$N$5:$N$1004,$A501))</f>
        <v/>
      </c>
      <c r="G501" s="15" t="str">
        <f aca="false">IF($A501="","",$E501-$F501)</f>
        <v/>
      </c>
      <c r="H501" s="22" t="str">
        <f aca="false">IF($A501="","",$B501+Settings!$B$11)</f>
        <v/>
      </c>
      <c r="I501" s="19" t="str">
        <f aca="true">IF($A501="","",IF($G501&lt;=0,"Paid",IF(TODAY()&gt;$H501,"Overdue",IF($F501&gt;0,"Partial","Unpaid"))))</f>
        <v/>
      </c>
      <c r="J501" s="14" t="str">
        <f aca="true">IF($A501="","",IF(AND($G501&gt;0,TODAY()&gt;$H501),TODAY()-$H501,""))</f>
        <v/>
      </c>
      <c r="K501" s="2" t="str">
        <f aca="false">IFERROR(MATCH(ROWS($K$5:$K501),Jobs!$Q$5:$Q$504,0),"")</f>
        <v/>
      </c>
      <c r="M501" s="16"/>
      <c r="N501" s="12"/>
      <c r="O501" s="12"/>
      <c r="P501" s="13"/>
      <c r="Q501" s="19" t="str">
        <f aca="false">IF($N501="","",IFERROR(INDEX($C$5:$C$504,MATCH($N501,$A$5:$A$504,0)),"Invoice not found"))</f>
        <v/>
      </c>
    </row>
    <row r="502" customFormat="false" ht="15" hidden="false" customHeight="false" outlineLevel="0" collapsed="false">
      <c r="A502" s="19" t="str">
        <f aca="false">IF($K502="","",INDEX(Jobs!$O$5:$O$504,$K502))</f>
        <v/>
      </c>
      <c r="B502" s="22" t="str">
        <f aca="false">IF($K502="","",INDEX(Jobs!$A$5:$A$504,$K502))</f>
        <v/>
      </c>
      <c r="C502" s="19" t="str">
        <f aca="false">IF($K502="","",INDEX(Jobs!$B$5:$B$504,$K502))</f>
        <v/>
      </c>
      <c r="D502" s="19" t="str">
        <f aca="false">IF($K502="","",INDEX(Jobs!$J$5:$J$504,$K502))</f>
        <v/>
      </c>
      <c r="E502" s="15" t="str">
        <f aca="false">IF($K502="","",INDEX(Jobs!$N$5:$N$504,$K502))</f>
        <v/>
      </c>
      <c r="F502" s="15" t="str">
        <f aca="false">IF($A502="","",SUMIFS($P$5:$P$1004,$N$5:$N$1004,$A502))</f>
        <v/>
      </c>
      <c r="G502" s="15" t="str">
        <f aca="false">IF($A502="","",$E502-$F502)</f>
        <v/>
      </c>
      <c r="H502" s="22" t="str">
        <f aca="false">IF($A502="","",$B502+Settings!$B$11)</f>
        <v/>
      </c>
      <c r="I502" s="19" t="str">
        <f aca="true">IF($A502="","",IF($G502&lt;=0,"Paid",IF(TODAY()&gt;$H502,"Overdue",IF($F502&gt;0,"Partial","Unpaid"))))</f>
        <v/>
      </c>
      <c r="J502" s="14" t="str">
        <f aca="true">IF($A502="","",IF(AND($G502&gt;0,TODAY()&gt;$H502),TODAY()-$H502,""))</f>
        <v/>
      </c>
      <c r="K502" s="2" t="str">
        <f aca="false">IFERROR(MATCH(ROWS($K$5:$K502),Jobs!$Q$5:$Q$504,0),"")</f>
        <v/>
      </c>
      <c r="M502" s="16"/>
      <c r="N502" s="12"/>
      <c r="O502" s="12"/>
      <c r="P502" s="13"/>
      <c r="Q502" s="19" t="str">
        <f aca="false">IF($N502="","",IFERROR(INDEX($C$5:$C$504,MATCH($N502,$A$5:$A$504,0)),"Invoice not found"))</f>
        <v/>
      </c>
    </row>
    <row r="503" customFormat="false" ht="15" hidden="false" customHeight="false" outlineLevel="0" collapsed="false">
      <c r="A503" s="19" t="str">
        <f aca="false">IF($K503="","",INDEX(Jobs!$O$5:$O$504,$K503))</f>
        <v/>
      </c>
      <c r="B503" s="22" t="str">
        <f aca="false">IF($K503="","",INDEX(Jobs!$A$5:$A$504,$K503))</f>
        <v/>
      </c>
      <c r="C503" s="19" t="str">
        <f aca="false">IF($K503="","",INDEX(Jobs!$B$5:$B$504,$K503))</f>
        <v/>
      </c>
      <c r="D503" s="19" t="str">
        <f aca="false">IF($K503="","",INDEX(Jobs!$J$5:$J$504,$K503))</f>
        <v/>
      </c>
      <c r="E503" s="15" t="str">
        <f aca="false">IF($K503="","",INDEX(Jobs!$N$5:$N$504,$K503))</f>
        <v/>
      </c>
      <c r="F503" s="15" t="str">
        <f aca="false">IF($A503="","",SUMIFS($P$5:$P$1004,$N$5:$N$1004,$A503))</f>
        <v/>
      </c>
      <c r="G503" s="15" t="str">
        <f aca="false">IF($A503="","",$E503-$F503)</f>
        <v/>
      </c>
      <c r="H503" s="22" t="str">
        <f aca="false">IF($A503="","",$B503+Settings!$B$11)</f>
        <v/>
      </c>
      <c r="I503" s="19" t="str">
        <f aca="true">IF($A503="","",IF($G503&lt;=0,"Paid",IF(TODAY()&gt;$H503,"Overdue",IF($F503&gt;0,"Partial","Unpaid"))))</f>
        <v/>
      </c>
      <c r="J503" s="14" t="str">
        <f aca="true">IF($A503="","",IF(AND($G503&gt;0,TODAY()&gt;$H503),TODAY()-$H503,""))</f>
        <v/>
      </c>
      <c r="K503" s="2" t="str">
        <f aca="false">IFERROR(MATCH(ROWS($K$5:$K503),Jobs!$Q$5:$Q$504,0),"")</f>
        <v/>
      </c>
      <c r="M503" s="16"/>
      <c r="N503" s="12"/>
      <c r="O503" s="12"/>
      <c r="P503" s="13"/>
      <c r="Q503" s="19" t="str">
        <f aca="false">IF($N503="","",IFERROR(INDEX($C$5:$C$504,MATCH($N503,$A$5:$A$504,0)),"Invoice not found"))</f>
        <v/>
      </c>
    </row>
    <row r="504" customFormat="false" ht="15" hidden="false" customHeight="false" outlineLevel="0" collapsed="false">
      <c r="A504" s="19" t="str">
        <f aca="false">IF($K504="","",INDEX(Jobs!$O$5:$O$504,$K504))</f>
        <v/>
      </c>
      <c r="B504" s="22" t="str">
        <f aca="false">IF($K504="","",INDEX(Jobs!$A$5:$A$504,$K504))</f>
        <v/>
      </c>
      <c r="C504" s="19" t="str">
        <f aca="false">IF($K504="","",INDEX(Jobs!$B$5:$B$504,$K504))</f>
        <v/>
      </c>
      <c r="D504" s="19" t="str">
        <f aca="false">IF($K504="","",INDEX(Jobs!$J$5:$J$504,$K504))</f>
        <v/>
      </c>
      <c r="E504" s="15" t="str">
        <f aca="false">IF($K504="","",INDEX(Jobs!$N$5:$N$504,$K504))</f>
        <v/>
      </c>
      <c r="F504" s="15" t="str">
        <f aca="false">IF($A504="","",SUMIFS($P$5:$P$1004,$N$5:$N$1004,$A504))</f>
        <v/>
      </c>
      <c r="G504" s="15" t="str">
        <f aca="false">IF($A504="","",$E504-$F504)</f>
        <v/>
      </c>
      <c r="H504" s="22" t="str">
        <f aca="false">IF($A504="","",$B504+Settings!$B$11)</f>
        <v/>
      </c>
      <c r="I504" s="19" t="str">
        <f aca="true">IF($A504="","",IF($G504&lt;=0,"Paid",IF(TODAY()&gt;$H504,"Overdue",IF($F504&gt;0,"Partial","Unpaid"))))</f>
        <v/>
      </c>
      <c r="J504" s="14" t="str">
        <f aca="true">IF($A504="","",IF(AND($G504&gt;0,TODAY()&gt;$H504),TODAY()-$H504,""))</f>
        <v/>
      </c>
      <c r="K504" s="2" t="str">
        <f aca="false">IFERROR(MATCH(ROWS($K$5:$K504),Jobs!$Q$5:$Q$504,0),"")</f>
        <v/>
      </c>
      <c r="M504" s="16"/>
      <c r="N504" s="12"/>
      <c r="O504" s="12"/>
      <c r="P504" s="13"/>
      <c r="Q504" s="19" t="str">
        <f aca="false">IF($N504="","",IFERROR(INDEX($C$5:$C$504,MATCH($N504,$A$5:$A$504,0)),"Invoice not found"))</f>
        <v/>
      </c>
    </row>
    <row r="505" customFormat="false" ht="15" hidden="false" customHeight="false" outlineLevel="0" collapsed="false">
      <c r="M505" s="16"/>
      <c r="N505" s="12"/>
      <c r="O505" s="12"/>
      <c r="P505" s="13"/>
      <c r="Q505" s="19" t="str">
        <f aca="false">IF($N505="","",IFERROR(INDEX($C$5:$C$504,MATCH($N505,$A$5:$A$504,0)),"Invoice not found"))</f>
        <v/>
      </c>
    </row>
    <row r="506" customFormat="false" ht="15" hidden="false" customHeight="false" outlineLevel="0" collapsed="false">
      <c r="M506" s="16"/>
      <c r="N506" s="12"/>
      <c r="O506" s="12"/>
      <c r="P506" s="13"/>
      <c r="Q506" s="19" t="str">
        <f aca="false">IF($N506="","",IFERROR(INDEX($C$5:$C$504,MATCH($N506,$A$5:$A$504,0)),"Invoice not found"))</f>
        <v/>
      </c>
    </row>
    <row r="507" customFormat="false" ht="15" hidden="false" customHeight="false" outlineLevel="0" collapsed="false">
      <c r="M507" s="16"/>
      <c r="N507" s="12"/>
      <c r="O507" s="12"/>
      <c r="P507" s="13"/>
      <c r="Q507" s="19" t="str">
        <f aca="false">IF($N507="","",IFERROR(INDEX($C$5:$C$504,MATCH($N507,$A$5:$A$504,0)),"Invoice not found"))</f>
        <v/>
      </c>
    </row>
    <row r="508" customFormat="false" ht="15" hidden="false" customHeight="false" outlineLevel="0" collapsed="false">
      <c r="M508" s="16"/>
      <c r="N508" s="12"/>
      <c r="O508" s="12"/>
      <c r="P508" s="13"/>
      <c r="Q508" s="19" t="str">
        <f aca="false">IF($N508="","",IFERROR(INDEX($C$5:$C$504,MATCH($N508,$A$5:$A$504,0)),"Invoice not found"))</f>
        <v/>
      </c>
    </row>
    <row r="509" customFormat="false" ht="15" hidden="false" customHeight="false" outlineLevel="0" collapsed="false">
      <c r="M509" s="16"/>
      <c r="N509" s="12"/>
      <c r="O509" s="12"/>
      <c r="P509" s="13"/>
      <c r="Q509" s="19" t="str">
        <f aca="false">IF($N509="","",IFERROR(INDEX($C$5:$C$504,MATCH($N509,$A$5:$A$504,0)),"Invoice not found"))</f>
        <v/>
      </c>
    </row>
    <row r="510" customFormat="false" ht="15" hidden="false" customHeight="false" outlineLevel="0" collapsed="false">
      <c r="M510" s="16"/>
      <c r="N510" s="12"/>
      <c r="O510" s="12"/>
      <c r="P510" s="13"/>
      <c r="Q510" s="19" t="str">
        <f aca="false">IF($N510="","",IFERROR(INDEX($C$5:$C$504,MATCH($N510,$A$5:$A$504,0)),"Invoice not found"))</f>
        <v/>
      </c>
    </row>
    <row r="511" customFormat="false" ht="15" hidden="false" customHeight="false" outlineLevel="0" collapsed="false">
      <c r="M511" s="16"/>
      <c r="N511" s="12"/>
      <c r="O511" s="12"/>
      <c r="P511" s="13"/>
      <c r="Q511" s="19" t="str">
        <f aca="false">IF($N511="","",IFERROR(INDEX($C$5:$C$504,MATCH($N511,$A$5:$A$504,0)),"Invoice not found"))</f>
        <v/>
      </c>
    </row>
    <row r="512" customFormat="false" ht="15" hidden="false" customHeight="false" outlineLevel="0" collapsed="false">
      <c r="M512" s="16"/>
      <c r="N512" s="12"/>
      <c r="O512" s="12"/>
      <c r="P512" s="13"/>
      <c r="Q512" s="19" t="str">
        <f aca="false">IF($N512="","",IFERROR(INDEX($C$5:$C$504,MATCH($N512,$A$5:$A$504,0)),"Invoice not found"))</f>
        <v/>
      </c>
    </row>
    <row r="513" customFormat="false" ht="15" hidden="false" customHeight="false" outlineLevel="0" collapsed="false">
      <c r="M513" s="16"/>
      <c r="N513" s="12"/>
      <c r="O513" s="12"/>
      <c r="P513" s="13"/>
      <c r="Q513" s="19" t="str">
        <f aca="false">IF($N513="","",IFERROR(INDEX($C$5:$C$504,MATCH($N513,$A$5:$A$504,0)),"Invoice not found"))</f>
        <v/>
      </c>
    </row>
    <row r="514" customFormat="false" ht="15" hidden="false" customHeight="false" outlineLevel="0" collapsed="false">
      <c r="M514" s="16"/>
      <c r="N514" s="12"/>
      <c r="O514" s="12"/>
      <c r="P514" s="13"/>
      <c r="Q514" s="19" t="str">
        <f aca="false">IF($N514="","",IFERROR(INDEX($C$5:$C$504,MATCH($N514,$A$5:$A$504,0)),"Invoice not found"))</f>
        <v/>
      </c>
    </row>
    <row r="515" customFormat="false" ht="15" hidden="false" customHeight="false" outlineLevel="0" collapsed="false">
      <c r="M515" s="16"/>
      <c r="N515" s="12"/>
      <c r="O515" s="12"/>
      <c r="P515" s="13"/>
      <c r="Q515" s="19" t="str">
        <f aca="false">IF($N515="","",IFERROR(INDEX($C$5:$C$504,MATCH($N515,$A$5:$A$504,0)),"Invoice not found"))</f>
        <v/>
      </c>
    </row>
    <row r="516" customFormat="false" ht="15" hidden="false" customHeight="false" outlineLevel="0" collapsed="false">
      <c r="M516" s="16"/>
      <c r="N516" s="12"/>
      <c r="O516" s="12"/>
      <c r="P516" s="13"/>
      <c r="Q516" s="19" t="str">
        <f aca="false">IF($N516="","",IFERROR(INDEX($C$5:$C$504,MATCH($N516,$A$5:$A$504,0)),"Invoice not found"))</f>
        <v/>
      </c>
    </row>
    <row r="517" customFormat="false" ht="15" hidden="false" customHeight="false" outlineLevel="0" collapsed="false">
      <c r="M517" s="16"/>
      <c r="N517" s="12"/>
      <c r="O517" s="12"/>
      <c r="P517" s="13"/>
      <c r="Q517" s="19" t="str">
        <f aca="false">IF($N517="","",IFERROR(INDEX($C$5:$C$504,MATCH($N517,$A$5:$A$504,0)),"Invoice not found"))</f>
        <v/>
      </c>
    </row>
    <row r="518" customFormat="false" ht="15" hidden="false" customHeight="false" outlineLevel="0" collapsed="false">
      <c r="M518" s="16"/>
      <c r="N518" s="12"/>
      <c r="O518" s="12"/>
      <c r="P518" s="13"/>
      <c r="Q518" s="19" t="str">
        <f aca="false">IF($N518="","",IFERROR(INDEX($C$5:$C$504,MATCH($N518,$A$5:$A$504,0)),"Invoice not found"))</f>
        <v/>
      </c>
    </row>
    <row r="519" customFormat="false" ht="15" hidden="false" customHeight="false" outlineLevel="0" collapsed="false">
      <c r="M519" s="16"/>
      <c r="N519" s="12"/>
      <c r="O519" s="12"/>
      <c r="P519" s="13"/>
      <c r="Q519" s="19" t="str">
        <f aca="false">IF($N519="","",IFERROR(INDEX($C$5:$C$504,MATCH($N519,$A$5:$A$504,0)),"Invoice not found"))</f>
        <v/>
      </c>
    </row>
    <row r="520" customFormat="false" ht="15" hidden="false" customHeight="false" outlineLevel="0" collapsed="false">
      <c r="M520" s="16"/>
      <c r="N520" s="12"/>
      <c r="O520" s="12"/>
      <c r="P520" s="13"/>
      <c r="Q520" s="19" t="str">
        <f aca="false">IF($N520="","",IFERROR(INDEX($C$5:$C$504,MATCH($N520,$A$5:$A$504,0)),"Invoice not found"))</f>
        <v/>
      </c>
    </row>
    <row r="521" customFormat="false" ht="15" hidden="false" customHeight="false" outlineLevel="0" collapsed="false">
      <c r="M521" s="16"/>
      <c r="N521" s="12"/>
      <c r="O521" s="12"/>
      <c r="P521" s="13"/>
      <c r="Q521" s="19" t="str">
        <f aca="false">IF($N521="","",IFERROR(INDEX($C$5:$C$504,MATCH($N521,$A$5:$A$504,0)),"Invoice not found"))</f>
        <v/>
      </c>
    </row>
    <row r="522" customFormat="false" ht="15" hidden="false" customHeight="false" outlineLevel="0" collapsed="false">
      <c r="M522" s="16"/>
      <c r="N522" s="12"/>
      <c r="O522" s="12"/>
      <c r="P522" s="13"/>
      <c r="Q522" s="19" t="str">
        <f aca="false">IF($N522="","",IFERROR(INDEX($C$5:$C$504,MATCH($N522,$A$5:$A$504,0)),"Invoice not found"))</f>
        <v/>
      </c>
    </row>
    <row r="523" customFormat="false" ht="15" hidden="false" customHeight="false" outlineLevel="0" collapsed="false">
      <c r="M523" s="16"/>
      <c r="N523" s="12"/>
      <c r="O523" s="12"/>
      <c r="P523" s="13"/>
      <c r="Q523" s="19" t="str">
        <f aca="false">IF($N523="","",IFERROR(INDEX($C$5:$C$504,MATCH($N523,$A$5:$A$504,0)),"Invoice not found"))</f>
        <v/>
      </c>
    </row>
    <row r="524" customFormat="false" ht="15" hidden="false" customHeight="false" outlineLevel="0" collapsed="false">
      <c r="M524" s="16"/>
      <c r="N524" s="12"/>
      <c r="O524" s="12"/>
      <c r="P524" s="13"/>
      <c r="Q524" s="19" t="str">
        <f aca="false">IF($N524="","",IFERROR(INDEX($C$5:$C$504,MATCH($N524,$A$5:$A$504,0)),"Invoice not found"))</f>
        <v/>
      </c>
    </row>
    <row r="525" customFormat="false" ht="15" hidden="false" customHeight="false" outlineLevel="0" collapsed="false">
      <c r="M525" s="16"/>
      <c r="N525" s="12"/>
      <c r="O525" s="12"/>
      <c r="P525" s="13"/>
      <c r="Q525" s="19" t="str">
        <f aca="false">IF($N525="","",IFERROR(INDEX($C$5:$C$504,MATCH($N525,$A$5:$A$504,0)),"Invoice not found"))</f>
        <v/>
      </c>
    </row>
    <row r="526" customFormat="false" ht="15" hidden="false" customHeight="false" outlineLevel="0" collapsed="false">
      <c r="M526" s="16"/>
      <c r="N526" s="12"/>
      <c r="O526" s="12"/>
      <c r="P526" s="13"/>
      <c r="Q526" s="19" t="str">
        <f aca="false">IF($N526="","",IFERROR(INDEX($C$5:$C$504,MATCH($N526,$A$5:$A$504,0)),"Invoice not found"))</f>
        <v/>
      </c>
    </row>
    <row r="527" customFormat="false" ht="15" hidden="false" customHeight="false" outlineLevel="0" collapsed="false">
      <c r="M527" s="16"/>
      <c r="N527" s="12"/>
      <c r="O527" s="12"/>
      <c r="P527" s="13"/>
      <c r="Q527" s="19" t="str">
        <f aca="false">IF($N527="","",IFERROR(INDEX($C$5:$C$504,MATCH($N527,$A$5:$A$504,0)),"Invoice not found"))</f>
        <v/>
      </c>
    </row>
    <row r="528" customFormat="false" ht="15" hidden="false" customHeight="false" outlineLevel="0" collapsed="false">
      <c r="M528" s="16"/>
      <c r="N528" s="12"/>
      <c r="O528" s="12"/>
      <c r="P528" s="13"/>
      <c r="Q528" s="19" t="str">
        <f aca="false">IF($N528="","",IFERROR(INDEX($C$5:$C$504,MATCH($N528,$A$5:$A$504,0)),"Invoice not found"))</f>
        <v/>
      </c>
    </row>
    <row r="529" customFormat="false" ht="15" hidden="false" customHeight="false" outlineLevel="0" collapsed="false">
      <c r="M529" s="16"/>
      <c r="N529" s="12"/>
      <c r="O529" s="12"/>
      <c r="P529" s="13"/>
      <c r="Q529" s="19" t="str">
        <f aca="false">IF($N529="","",IFERROR(INDEX($C$5:$C$504,MATCH($N529,$A$5:$A$504,0)),"Invoice not found"))</f>
        <v/>
      </c>
    </row>
    <row r="530" customFormat="false" ht="15" hidden="false" customHeight="false" outlineLevel="0" collapsed="false">
      <c r="M530" s="16"/>
      <c r="N530" s="12"/>
      <c r="O530" s="12"/>
      <c r="P530" s="13"/>
      <c r="Q530" s="19" t="str">
        <f aca="false">IF($N530="","",IFERROR(INDEX($C$5:$C$504,MATCH($N530,$A$5:$A$504,0)),"Invoice not found"))</f>
        <v/>
      </c>
    </row>
    <row r="531" customFormat="false" ht="15" hidden="false" customHeight="false" outlineLevel="0" collapsed="false">
      <c r="M531" s="16"/>
      <c r="N531" s="12"/>
      <c r="O531" s="12"/>
      <c r="P531" s="13"/>
      <c r="Q531" s="19" t="str">
        <f aca="false">IF($N531="","",IFERROR(INDEX($C$5:$C$504,MATCH($N531,$A$5:$A$504,0)),"Invoice not found"))</f>
        <v/>
      </c>
    </row>
    <row r="532" customFormat="false" ht="15" hidden="false" customHeight="false" outlineLevel="0" collapsed="false">
      <c r="M532" s="16"/>
      <c r="N532" s="12"/>
      <c r="O532" s="12"/>
      <c r="P532" s="13"/>
      <c r="Q532" s="19" t="str">
        <f aca="false">IF($N532="","",IFERROR(INDEX($C$5:$C$504,MATCH($N532,$A$5:$A$504,0)),"Invoice not found"))</f>
        <v/>
      </c>
    </row>
    <row r="533" customFormat="false" ht="15" hidden="false" customHeight="false" outlineLevel="0" collapsed="false">
      <c r="M533" s="16"/>
      <c r="N533" s="12"/>
      <c r="O533" s="12"/>
      <c r="P533" s="13"/>
      <c r="Q533" s="19" t="str">
        <f aca="false">IF($N533="","",IFERROR(INDEX($C$5:$C$504,MATCH($N533,$A$5:$A$504,0)),"Invoice not found"))</f>
        <v/>
      </c>
    </row>
    <row r="534" customFormat="false" ht="15" hidden="false" customHeight="false" outlineLevel="0" collapsed="false">
      <c r="M534" s="16"/>
      <c r="N534" s="12"/>
      <c r="O534" s="12"/>
      <c r="P534" s="13"/>
      <c r="Q534" s="19" t="str">
        <f aca="false">IF($N534="","",IFERROR(INDEX($C$5:$C$504,MATCH($N534,$A$5:$A$504,0)),"Invoice not found"))</f>
        <v/>
      </c>
    </row>
    <row r="535" customFormat="false" ht="15" hidden="false" customHeight="false" outlineLevel="0" collapsed="false">
      <c r="M535" s="16"/>
      <c r="N535" s="12"/>
      <c r="O535" s="12"/>
      <c r="P535" s="13"/>
      <c r="Q535" s="19" t="str">
        <f aca="false">IF($N535="","",IFERROR(INDEX($C$5:$C$504,MATCH($N535,$A$5:$A$504,0)),"Invoice not found"))</f>
        <v/>
      </c>
    </row>
    <row r="536" customFormat="false" ht="15" hidden="false" customHeight="false" outlineLevel="0" collapsed="false">
      <c r="M536" s="16"/>
      <c r="N536" s="12"/>
      <c r="O536" s="12"/>
      <c r="P536" s="13"/>
      <c r="Q536" s="19" t="str">
        <f aca="false">IF($N536="","",IFERROR(INDEX($C$5:$C$504,MATCH($N536,$A$5:$A$504,0)),"Invoice not found"))</f>
        <v/>
      </c>
    </row>
    <row r="537" customFormat="false" ht="15" hidden="false" customHeight="false" outlineLevel="0" collapsed="false">
      <c r="M537" s="16"/>
      <c r="N537" s="12"/>
      <c r="O537" s="12"/>
      <c r="P537" s="13"/>
      <c r="Q537" s="19" t="str">
        <f aca="false">IF($N537="","",IFERROR(INDEX($C$5:$C$504,MATCH($N537,$A$5:$A$504,0)),"Invoice not found"))</f>
        <v/>
      </c>
    </row>
    <row r="538" customFormat="false" ht="15" hidden="false" customHeight="false" outlineLevel="0" collapsed="false">
      <c r="M538" s="16"/>
      <c r="N538" s="12"/>
      <c r="O538" s="12"/>
      <c r="P538" s="13"/>
      <c r="Q538" s="19" t="str">
        <f aca="false">IF($N538="","",IFERROR(INDEX($C$5:$C$504,MATCH($N538,$A$5:$A$504,0)),"Invoice not found"))</f>
        <v/>
      </c>
    </row>
    <row r="539" customFormat="false" ht="15" hidden="false" customHeight="false" outlineLevel="0" collapsed="false">
      <c r="M539" s="16"/>
      <c r="N539" s="12"/>
      <c r="O539" s="12"/>
      <c r="P539" s="13"/>
      <c r="Q539" s="19" t="str">
        <f aca="false">IF($N539="","",IFERROR(INDEX($C$5:$C$504,MATCH($N539,$A$5:$A$504,0)),"Invoice not found"))</f>
        <v/>
      </c>
    </row>
    <row r="540" customFormat="false" ht="15" hidden="false" customHeight="false" outlineLevel="0" collapsed="false">
      <c r="M540" s="16"/>
      <c r="N540" s="12"/>
      <c r="O540" s="12"/>
      <c r="P540" s="13"/>
      <c r="Q540" s="19" t="str">
        <f aca="false">IF($N540="","",IFERROR(INDEX($C$5:$C$504,MATCH($N540,$A$5:$A$504,0)),"Invoice not found"))</f>
        <v/>
      </c>
    </row>
    <row r="541" customFormat="false" ht="15" hidden="false" customHeight="false" outlineLevel="0" collapsed="false">
      <c r="M541" s="16"/>
      <c r="N541" s="12"/>
      <c r="O541" s="12"/>
      <c r="P541" s="13"/>
      <c r="Q541" s="19" t="str">
        <f aca="false">IF($N541="","",IFERROR(INDEX($C$5:$C$504,MATCH($N541,$A$5:$A$504,0)),"Invoice not found"))</f>
        <v/>
      </c>
    </row>
    <row r="542" customFormat="false" ht="15" hidden="false" customHeight="false" outlineLevel="0" collapsed="false">
      <c r="M542" s="16"/>
      <c r="N542" s="12"/>
      <c r="O542" s="12"/>
      <c r="P542" s="13"/>
      <c r="Q542" s="19" t="str">
        <f aca="false">IF($N542="","",IFERROR(INDEX($C$5:$C$504,MATCH($N542,$A$5:$A$504,0)),"Invoice not found"))</f>
        <v/>
      </c>
    </row>
    <row r="543" customFormat="false" ht="15" hidden="false" customHeight="false" outlineLevel="0" collapsed="false">
      <c r="M543" s="16"/>
      <c r="N543" s="12"/>
      <c r="O543" s="12"/>
      <c r="P543" s="13"/>
      <c r="Q543" s="19" t="str">
        <f aca="false">IF($N543="","",IFERROR(INDEX($C$5:$C$504,MATCH($N543,$A$5:$A$504,0)),"Invoice not found"))</f>
        <v/>
      </c>
    </row>
    <row r="544" customFormat="false" ht="15" hidden="false" customHeight="false" outlineLevel="0" collapsed="false">
      <c r="M544" s="16"/>
      <c r="N544" s="12"/>
      <c r="O544" s="12"/>
      <c r="P544" s="13"/>
      <c r="Q544" s="19" t="str">
        <f aca="false">IF($N544="","",IFERROR(INDEX($C$5:$C$504,MATCH($N544,$A$5:$A$504,0)),"Invoice not found"))</f>
        <v/>
      </c>
    </row>
    <row r="545" customFormat="false" ht="15" hidden="false" customHeight="false" outlineLevel="0" collapsed="false">
      <c r="M545" s="16"/>
      <c r="N545" s="12"/>
      <c r="O545" s="12"/>
      <c r="P545" s="13"/>
      <c r="Q545" s="19" t="str">
        <f aca="false">IF($N545="","",IFERROR(INDEX($C$5:$C$504,MATCH($N545,$A$5:$A$504,0)),"Invoice not found"))</f>
        <v/>
      </c>
    </row>
    <row r="546" customFormat="false" ht="15" hidden="false" customHeight="false" outlineLevel="0" collapsed="false">
      <c r="M546" s="16"/>
      <c r="N546" s="12"/>
      <c r="O546" s="12"/>
      <c r="P546" s="13"/>
      <c r="Q546" s="19" t="str">
        <f aca="false">IF($N546="","",IFERROR(INDEX($C$5:$C$504,MATCH($N546,$A$5:$A$504,0)),"Invoice not found"))</f>
        <v/>
      </c>
    </row>
    <row r="547" customFormat="false" ht="15" hidden="false" customHeight="false" outlineLevel="0" collapsed="false">
      <c r="M547" s="16"/>
      <c r="N547" s="12"/>
      <c r="O547" s="12"/>
      <c r="P547" s="13"/>
      <c r="Q547" s="19" t="str">
        <f aca="false">IF($N547="","",IFERROR(INDEX($C$5:$C$504,MATCH($N547,$A$5:$A$504,0)),"Invoice not found"))</f>
        <v/>
      </c>
    </row>
    <row r="548" customFormat="false" ht="15" hidden="false" customHeight="false" outlineLevel="0" collapsed="false">
      <c r="M548" s="16"/>
      <c r="N548" s="12"/>
      <c r="O548" s="12"/>
      <c r="P548" s="13"/>
      <c r="Q548" s="19" t="str">
        <f aca="false">IF($N548="","",IFERROR(INDEX($C$5:$C$504,MATCH($N548,$A$5:$A$504,0)),"Invoice not found"))</f>
        <v/>
      </c>
    </row>
    <row r="549" customFormat="false" ht="15" hidden="false" customHeight="false" outlineLevel="0" collapsed="false">
      <c r="M549" s="16"/>
      <c r="N549" s="12"/>
      <c r="O549" s="12"/>
      <c r="P549" s="13"/>
      <c r="Q549" s="19" t="str">
        <f aca="false">IF($N549="","",IFERROR(INDEX($C$5:$C$504,MATCH($N549,$A$5:$A$504,0)),"Invoice not found"))</f>
        <v/>
      </c>
    </row>
    <row r="550" customFormat="false" ht="15" hidden="false" customHeight="false" outlineLevel="0" collapsed="false">
      <c r="M550" s="16"/>
      <c r="N550" s="12"/>
      <c r="O550" s="12"/>
      <c r="P550" s="13"/>
      <c r="Q550" s="19" t="str">
        <f aca="false">IF($N550="","",IFERROR(INDEX($C$5:$C$504,MATCH($N550,$A$5:$A$504,0)),"Invoice not found"))</f>
        <v/>
      </c>
    </row>
    <row r="551" customFormat="false" ht="15" hidden="false" customHeight="false" outlineLevel="0" collapsed="false">
      <c r="M551" s="16"/>
      <c r="N551" s="12"/>
      <c r="O551" s="12"/>
      <c r="P551" s="13"/>
      <c r="Q551" s="19" t="str">
        <f aca="false">IF($N551="","",IFERROR(INDEX($C$5:$C$504,MATCH($N551,$A$5:$A$504,0)),"Invoice not found"))</f>
        <v/>
      </c>
    </row>
    <row r="552" customFormat="false" ht="15" hidden="false" customHeight="false" outlineLevel="0" collapsed="false">
      <c r="M552" s="16"/>
      <c r="N552" s="12"/>
      <c r="O552" s="12"/>
      <c r="P552" s="13"/>
      <c r="Q552" s="19" t="str">
        <f aca="false">IF($N552="","",IFERROR(INDEX($C$5:$C$504,MATCH($N552,$A$5:$A$504,0)),"Invoice not found"))</f>
        <v/>
      </c>
    </row>
    <row r="553" customFormat="false" ht="15" hidden="false" customHeight="false" outlineLevel="0" collapsed="false">
      <c r="M553" s="16"/>
      <c r="N553" s="12"/>
      <c r="O553" s="12"/>
      <c r="P553" s="13"/>
      <c r="Q553" s="19" t="str">
        <f aca="false">IF($N553="","",IFERROR(INDEX($C$5:$C$504,MATCH($N553,$A$5:$A$504,0)),"Invoice not found"))</f>
        <v/>
      </c>
    </row>
    <row r="554" customFormat="false" ht="15" hidden="false" customHeight="false" outlineLevel="0" collapsed="false">
      <c r="M554" s="16"/>
      <c r="N554" s="12"/>
      <c r="O554" s="12"/>
      <c r="P554" s="13"/>
      <c r="Q554" s="19" t="str">
        <f aca="false">IF($N554="","",IFERROR(INDEX($C$5:$C$504,MATCH($N554,$A$5:$A$504,0)),"Invoice not found"))</f>
        <v/>
      </c>
    </row>
    <row r="555" customFormat="false" ht="15" hidden="false" customHeight="false" outlineLevel="0" collapsed="false">
      <c r="M555" s="16"/>
      <c r="N555" s="12"/>
      <c r="O555" s="12"/>
      <c r="P555" s="13"/>
      <c r="Q555" s="19" t="str">
        <f aca="false">IF($N555="","",IFERROR(INDEX($C$5:$C$504,MATCH($N555,$A$5:$A$504,0)),"Invoice not found"))</f>
        <v/>
      </c>
    </row>
    <row r="556" customFormat="false" ht="15" hidden="false" customHeight="false" outlineLevel="0" collapsed="false">
      <c r="M556" s="16"/>
      <c r="N556" s="12"/>
      <c r="O556" s="12"/>
      <c r="P556" s="13"/>
      <c r="Q556" s="19" t="str">
        <f aca="false">IF($N556="","",IFERROR(INDEX($C$5:$C$504,MATCH($N556,$A$5:$A$504,0)),"Invoice not found"))</f>
        <v/>
      </c>
    </row>
    <row r="557" customFormat="false" ht="15" hidden="false" customHeight="false" outlineLevel="0" collapsed="false">
      <c r="M557" s="16"/>
      <c r="N557" s="12"/>
      <c r="O557" s="12"/>
      <c r="P557" s="13"/>
      <c r="Q557" s="19" t="str">
        <f aca="false">IF($N557="","",IFERROR(INDEX($C$5:$C$504,MATCH($N557,$A$5:$A$504,0)),"Invoice not found"))</f>
        <v/>
      </c>
    </row>
    <row r="558" customFormat="false" ht="15" hidden="false" customHeight="false" outlineLevel="0" collapsed="false">
      <c r="M558" s="16"/>
      <c r="N558" s="12"/>
      <c r="O558" s="12"/>
      <c r="P558" s="13"/>
      <c r="Q558" s="19" t="str">
        <f aca="false">IF($N558="","",IFERROR(INDEX($C$5:$C$504,MATCH($N558,$A$5:$A$504,0)),"Invoice not found"))</f>
        <v/>
      </c>
    </row>
    <row r="559" customFormat="false" ht="15" hidden="false" customHeight="false" outlineLevel="0" collapsed="false">
      <c r="M559" s="16"/>
      <c r="N559" s="12"/>
      <c r="O559" s="12"/>
      <c r="P559" s="13"/>
      <c r="Q559" s="19" t="str">
        <f aca="false">IF($N559="","",IFERROR(INDEX($C$5:$C$504,MATCH($N559,$A$5:$A$504,0)),"Invoice not found"))</f>
        <v/>
      </c>
    </row>
    <row r="560" customFormat="false" ht="15" hidden="false" customHeight="false" outlineLevel="0" collapsed="false">
      <c r="M560" s="16"/>
      <c r="N560" s="12"/>
      <c r="O560" s="12"/>
      <c r="P560" s="13"/>
      <c r="Q560" s="19" t="str">
        <f aca="false">IF($N560="","",IFERROR(INDEX($C$5:$C$504,MATCH($N560,$A$5:$A$504,0)),"Invoice not found"))</f>
        <v/>
      </c>
    </row>
    <row r="561" customFormat="false" ht="15" hidden="false" customHeight="false" outlineLevel="0" collapsed="false">
      <c r="M561" s="16"/>
      <c r="N561" s="12"/>
      <c r="O561" s="12"/>
      <c r="P561" s="13"/>
      <c r="Q561" s="19" t="str">
        <f aca="false">IF($N561="","",IFERROR(INDEX($C$5:$C$504,MATCH($N561,$A$5:$A$504,0)),"Invoice not found"))</f>
        <v/>
      </c>
    </row>
    <row r="562" customFormat="false" ht="15" hidden="false" customHeight="false" outlineLevel="0" collapsed="false">
      <c r="M562" s="16"/>
      <c r="N562" s="12"/>
      <c r="O562" s="12"/>
      <c r="P562" s="13"/>
      <c r="Q562" s="19" t="str">
        <f aca="false">IF($N562="","",IFERROR(INDEX($C$5:$C$504,MATCH($N562,$A$5:$A$504,0)),"Invoice not found"))</f>
        <v/>
      </c>
    </row>
    <row r="563" customFormat="false" ht="15" hidden="false" customHeight="false" outlineLevel="0" collapsed="false">
      <c r="M563" s="16"/>
      <c r="N563" s="12"/>
      <c r="O563" s="12"/>
      <c r="P563" s="13"/>
      <c r="Q563" s="19" t="str">
        <f aca="false">IF($N563="","",IFERROR(INDEX($C$5:$C$504,MATCH($N563,$A$5:$A$504,0)),"Invoice not found"))</f>
        <v/>
      </c>
    </row>
    <row r="564" customFormat="false" ht="15" hidden="false" customHeight="false" outlineLevel="0" collapsed="false">
      <c r="M564" s="16"/>
      <c r="N564" s="12"/>
      <c r="O564" s="12"/>
      <c r="P564" s="13"/>
      <c r="Q564" s="19" t="str">
        <f aca="false">IF($N564="","",IFERROR(INDEX($C$5:$C$504,MATCH($N564,$A$5:$A$504,0)),"Invoice not found"))</f>
        <v/>
      </c>
    </row>
    <row r="565" customFormat="false" ht="15" hidden="false" customHeight="false" outlineLevel="0" collapsed="false">
      <c r="M565" s="16"/>
      <c r="N565" s="12"/>
      <c r="O565" s="12"/>
      <c r="P565" s="13"/>
      <c r="Q565" s="19" t="str">
        <f aca="false">IF($N565="","",IFERROR(INDEX($C$5:$C$504,MATCH($N565,$A$5:$A$504,0)),"Invoice not found"))</f>
        <v/>
      </c>
    </row>
    <row r="566" customFormat="false" ht="15" hidden="false" customHeight="false" outlineLevel="0" collapsed="false">
      <c r="M566" s="16"/>
      <c r="N566" s="12"/>
      <c r="O566" s="12"/>
      <c r="P566" s="13"/>
      <c r="Q566" s="19" t="str">
        <f aca="false">IF($N566="","",IFERROR(INDEX($C$5:$C$504,MATCH($N566,$A$5:$A$504,0)),"Invoice not found"))</f>
        <v/>
      </c>
    </row>
    <row r="567" customFormat="false" ht="15" hidden="false" customHeight="false" outlineLevel="0" collapsed="false">
      <c r="M567" s="16"/>
      <c r="N567" s="12"/>
      <c r="O567" s="12"/>
      <c r="P567" s="13"/>
      <c r="Q567" s="19" t="str">
        <f aca="false">IF($N567="","",IFERROR(INDEX($C$5:$C$504,MATCH($N567,$A$5:$A$504,0)),"Invoice not found"))</f>
        <v/>
      </c>
    </row>
    <row r="568" customFormat="false" ht="15" hidden="false" customHeight="false" outlineLevel="0" collapsed="false">
      <c r="M568" s="16"/>
      <c r="N568" s="12"/>
      <c r="O568" s="12"/>
      <c r="P568" s="13"/>
      <c r="Q568" s="19" t="str">
        <f aca="false">IF($N568="","",IFERROR(INDEX($C$5:$C$504,MATCH($N568,$A$5:$A$504,0)),"Invoice not found"))</f>
        <v/>
      </c>
    </row>
    <row r="569" customFormat="false" ht="15" hidden="false" customHeight="false" outlineLevel="0" collapsed="false">
      <c r="M569" s="16"/>
      <c r="N569" s="12"/>
      <c r="O569" s="12"/>
      <c r="P569" s="13"/>
      <c r="Q569" s="19" t="str">
        <f aca="false">IF($N569="","",IFERROR(INDEX($C$5:$C$504,MATCH($N569,$A$5:$A$504,0)),"Invoice not found"))</f>
        <v/>
      </c>
    </row>
    <row r="570" customFormat="false" ht="15" hidden="false" customHeight="false" outlineLevel="0" collapsed="false">
      <c r="M570" s="16"/>
      <c r="N570" s="12"/>
      <c r="O570" s="12"/>
      <c r="P570" s="13"/>
      <c r="Q570" s="19" t="str">
        <f aca="false">IF($N570="","",IFERROR(INDEX($C$5:$C$504,MATCH($N570,$A$5:$A$504,0)),"Invoice not found"))</f>
        <v/>
      </c>
    </row>
    <row r="571" customFormat="false" ht="15" hidden="false" customHeight="false" outlineLevel="0" collapsed="false">
      <c r="M571" s="16"/>
      <c r="N571" s="12"/>
      <c r="O571" s="12"/>
      <c r="P571" s="13"/>
      <c r="Q571" s="19" t="str">
        <f aca="false">IF($N571="","",IFERROR(INDEX($C$5:$C$504,MATCH($N571,$A$5:$A$504,0)),"Invoice not found"))</f>
        <v/>
      </c>
    </row>
    <row r="572" customFormat="false" ht="15" hidden="false" customHeight="false" outlineLevel="0" collapsed="false">
      <c r="M572" s="16"/>
      <c r="N572" s="12"/>
      <c r="O572" s="12"/>
      <c r="P572" s="13"/>
      <c r="Q572" s="19" t="str">
        <f aca="false">IF($N572="","",IFERROR(INDEX($C$5:$C$504,MATCH($N572,$A$5:$A$504,0)),"Invoice not found"))</f>
        <v/>
      </c>
    </row>
    <row r="573" customFormat="false" ht="15" hidden="false" customHeight="false" outlineLevel="0" collapsed="false">
      <c r="M573" s="16"/>
      <c r="N573" s="12"/>
      <c r="O573" s="12"/>
      <c r="P573" s="13"/>
      <c r="Q573" s="19" t="str">
        <f aca="false">IF($N573="","",IFERROR(INDEX($C$5:$C$504,MATCH($N573,$A$5:$A$504,0)),"Invoice not found"))</f>
        <v/>
      </c>
    </row>
    <row r="574" customFormat="false" ht="15" hidden="false" customHeight="false" outlineLevel="0" collapsed="false">
      <c r="M574" s="16"/>
      <c r="N574" s="12"/>
      <c r="O574" s="12"/>
      <c r="P574" s="13"/>
      <c r="Q574" s="19" t="str">
        <f aca="false">IF($N574="","",IFERROR(INDEX($C$5:$C$504,MATCH($N574,$A$5:$A$504,0)),"Invoice not found"))</f>
        <v/>
      </c>
    </row>
    <row r="575" customFormat="false" ht="15" hidden="false" customHeight="false" outlineLevel="0" collapsed="false">
      <c r="M575" s="16"/>
      <c r="N575" s="12"/>
      <c r="O575" s="12"/>
      <c r="P575" s="13"/>
      <c r="Q575" s="19" t="str">
        <f aca="false">IF($N575="","",IFERROR(INDEX($C$5:$C$504,MATCH($N575,$A$5:$A$504,0)),"Invoice not found"))</f>
        <v/>
      </c>
    </row>
    <row r="576" customFormat="false" ht="15" hidden="false" customHeight="false" outlineLevel="0" collapsed="false">
      <c r="M576" s="16"/>
      <c r="N576" s="12"/>
      <c r="O576" s="12"/>
      <c r="P576" s="13"/>
      <c r="Q576" s="19" t="str">
        <f aca="false">IF($N576="","",IFERROR(INDEX($C$5:$C$504,MATCH($N576,$A$5:$A$504,0)),"Invoice not found"))</f>
        <v/>
      </c>
    </row>
    <row r="577" customFormat="false" ht="15" hidden="false" customHeight="false" outlineLevel="0" collapsed="false">
      <c r="M577" s="16"/>
      <c r="N577" s="12"/>
      <c r="O577" s="12"/>
      <c r="P577" s="13"/>
      <c r="Q577" s="19" t="str">
        <f aca="false">IF($N577="","",IFERROR(INDEX($C$5:$C$504,MATCH($N577,$A$5:$A$504,0)),"Invoice not found"))</f>
        <v/>
      </c>
    </row>
    <row r="578" customFormat="false" ht="15" hidden="false" customHeight="false" outlineLevel="0" collapsed="false">
      <c r="M578" s="16"/>
      <c r="N578" s="12"/>
      <c r="O578" s="12"/>
      <c r="P578" s="13"/>
      <c r="Q578" s="19" t="str">
        <f aca="false">IF($N578="","",IFERROR(INDEX($C$5:$C$504,MATCH($N578,$A$5:$A$504,0)),"Invoice not found"))</f>
        <v/>
      </c>
    </row>
    <row r="579" customFormat="false" ht="15" hidden="false" customHeight="false" outlineLevel="0" collapsed="false">
      <c r="M579" s="16"/>
      <c r="N579" s="12"/>
      <c r="O579" s="12"/>
      <c r="P579" s="13"/>
      <c r="Q579" s="19" t="str">
        <f aca="false">IF($N579="","",IFERROR(INDEX($C$5:$C$504,MATCH($N579,$A$5:$A$504,0)),"Invoice not found"))</f>
        <v/>
      </c>
    </row>
    <row r="580" customFormat="false" ht="15" hidden="false" customHeight="false" outlineLevel="0" collapsed="false">
      <c r="M580" s="16"/>
      <c r="N580" s="12"/>
      <c r="O580" s="12"/>
      <c r="P580" s="13"/>
      <c r="Q580" s="19" t="str">
        <f aca="false">IF($N580="","",IFERROR(INDEX($C$5:$C$504,MATCH($N580,$A$5:$A$504,0)),"Invoice not found"))</f>
        <v/>
      </c>
    </row>
    <row r="581" customFormat="false" ht="15" hidden="false" customHeight="false" outlineLevel="0" collapsed="false">
      <c r="M581" s="16"/>
      <c r="N581" s="12"/>
      <c r="O581" s="12"/>
      <c r="P581" s="13"/>
      <c r="Q581" s="19" t="str">
        <f aca="false">IF($N581="","",IFERROR(INDEX($C$5:$C$504,MATCH($N581,$A$5:$A$504,0)),"Invoice not found"))</f>
        <v/>
      </c>
    </row>
    <row r="582" customFormat="false" ht="15" hidden="false" customHeight="false" outlineLevel="0" collapsed="false">
      <c r="M582" s="16"/>
      <c r="N582" s="12"/>
      <c r="O582" s="12"/>
      <c r="P582" s="13"/>
      <c r="Q582" s="19" t="str">
        <f aca="false">IF($N582="","",IFERROR(INDEX($C$5:$C$504,MATCH($N582,$A$5:$A$504,0)),"Invoice not found"))</f>
        <v/>
      </c>
    </row>
    <row r="583" customFormat="false" ht="15" hidden="false" customHeight="false" outlineLevel="0" collapsed="false">
      <c r="M583" s="16"/>
      <c r="N583" s="12"/>
      <c r="O583" s="12"/>
      <c r="P583" s="13"/>
      <c r="Q583" s="19" t="str">
        <f aca="false">IF($N583="","",IFERROR(INDEX($C$5:$C$504,MATCH($N583,$A$5:$A$504,0)),"Invoice not found"))</f>
        <v/>
      </c>
    </row>
    <row r="584" customFormat="false" ht="15" hidden="false" customHeight="false" outlineLevel="0" collapsed="false">
      <c r="M584" s="16"/>
      <c r="N584" s="12"/>
      <c r="O584" s="12"/>
      <c r="P584" s="13"/>
      <c r="Q584" s="19" t="str">
        <f aca="false">IF($N584="","",IFERROR(INDEX($C$5:$C$504,MATCH($N584,$A$5:$A$504,0)),"Invoice not found"))</f>
        <v/>
      </c>
    </row>
    <row r="585" customFormat="false" ht="15" hidden="false" customHeight="false" outlineLevel="0" collapsed="false">
      <c r="M585" s="16"/>
      <c r="N585" s="12"/>
      <c r="O585" s="12"/>
      <c r="P585" s="13"/>
      <c r="Q585" s="19" t="str">
        <f aca="false">IF($N585="","",IFERROR(INDEX($C$5:$C$504,MATCH($N585,$A$5:$A$504,0)),"Invoice not found"))</f>
        <v/>
      </c>
    </row>
    <row r="586" customFormat="false" ht="15" hidden="false" customHeight="false" outlineLevel="0" collapsed="false">
      <c r="M586" s="16"/>
      <c r="N586" s="12"/>
      <c r="O586" s="12"/>
      <c r="P586" s="13"/>
      <c r="Q586" s="19" t="str">
        <f aca="false">IF($N586="","",IFERROR(INDEX($C$5:$C$504,MATCH($N586,$A$5:$A$504,0)),"Invoice not found"))</f>
        <v/>
      </c>
    </row>
    <row r="587" customFormat="false" ht="15" hidden="false" customHeight="false" outlineLevel="0" collapsed="false">
      <c r="M587" s="16"/>
      <c r="N587" s="12"/>
      <c r="O587" s="12"/>
      <c r="P587" s="13"/>
      <c r="Q587" s="19" t="str">
        <f aca="false">IF($N587="","",IFERROR(INDEX($C$5:$C$504,MATCH($N587,$A$5:$A$504,0)),"Invoice not found"))</f>
        <v/>
      </c>
    </row>
    <row r="588" customFormat="false" ht="15" hidden="false" customHeight="false" outlineLevel="0" collapsed="false">
      <c r="M588" s="16"/>
      <c r="N588" s="12"/>
      <c r="O588" s="12"/>
      <c r="P588" s="13"/>
      <c r="Q588" s="19" t="str">
        <f aca="false">IF($N588="","",IFERROR(INDEX($C$5:$C$504,MATCH($N588,$A$5:$A$504,0)),"Invoice not found"))</f>
        <v/>
      </c>
    </row>
    <row r="589" customFormat="false" ht="15" hidden="false" customHeight="false" outlineLevel="0" collapsed="false">
      <c r="M589" s="16"/>
      <c r="N589" s="12"/>
      <c r="O589" s="12"/>
      <c r="P589" s="13"/>
      <c r="Q589" s="19" t="str">
        <f aca="false">IF($N589="","",IFERROR(INDEX($C$5:$C$504,MATCH($N589,$A$5:$A$504,0)),"Invoice not found"))</f>
        <v/>
      </c>
    </row>
    <row r="590" customFormat="false" ht="15" hidden="false" customHeight="false" outlineLevel="0" collapsed="false">
      <c r="M590" s="16"/>
      <c r="N590" s="12"/>
      <c r="O590" s="12"/>
      <c r="P590" s="13"/>
      <c r="Q590" s="19" t="str">
        <f aca="false">IF($N590="","",IFERROR(INDEX($C$5:$C$504,MATCH($N590,$A$5:$A$504,0)),"Invoice not found"))</f>
        <v/>
      </c>
    </row>
    <row r="591" customFormat="false" ht="15" hidden="false" customHeight="false" outlineLevel="0" collapsed="false">
      <c r="M591" s="16"/>
      <c r="N591" s="12"/>
      <c r="O591" s="12"/>
      <c r="P591" s="13"/>
      <c r="Q591" s="19" t="str">
        <f aca="false">IF($N591="","",IFERROR(INDEX($C$5:$C$504,MATCH($N591,$A$5:$A$504,0)),"Invoice not found"))</f>
        <v/>
      </c>
    </row>
    <row r="592" customFormat="false" ht="15" hidden="false" customHeight="false" outlineLevel="0" collapsed="false">
      <c r="M592" s="16"/>
      <c r="N592" s="12"/>
      <c r="O592" s="12"/>
      <c r="P592" s="13"/>
      <c r="Q592" s="19" t="str">
        <f aca="false">IF($N592="","",IFERROR(INDEX($C$5:$C$504,MATCH($N592,$A$5:$A$504,0)),"Invoice not found"))</f>
        <v/>
      </c>
    </row>
    <row r="593" customFormat="false" ht="15" hidden="false" customHeight="false" outlineLevel="0" collapsed="false">
      <c r="M593" s="16"/>
      <c r="N593" s="12"/>
      <c r="O593" s="12"/>
      <c r="P593" s="13"/>
      <c r="Q593" s="19" t="str">
        <f aca="false">IF($N593="","",IFERROR(INDEX($C$5:$C$504,MATCH($N593,$A$5:$A$504,0)),"Invoice not found"))</f>
        <v/>
      </c>
    </row>
    <row r="594" customFormat="false" ht="15" hidden="false" customHeight="false" outlineLevel="0" collapsed="false">
      <c r="M594" s="16"/>
      <c r="N594" s="12"/>
      <c r="O594" s="12"/>
      <c r="P594" s="13"/>
      <c r="Q594" s="19" t="str">
        <f aca="false">IF($N594="","",IFERROR(INDEX($C$5:$C$504,MATCH($N594,$A$5:$A$504,0)),"Invoice not found"))</f>
        <v/>
      </c>
    </row>
    <row r="595" customFormat="false" ht="15" hidden="false" customHeight="false" outlineLevel="0" collapsed="false">
      <c r="M595" s="16"/>
      <c r="N595" s="12"/>
      <c r="O595" s="12"/>
      <c r="P595" s="13"/>
      <c r="Q595" s="19" t="str">
        <f aca="false">IF($N595="","",IFERROR(INDEX($C$5:$C$504,MATCH($N595,$A$5:$A$504,0)),"Invoice not found"))</f>
        <v/>
      </c>
    </row>
    <row r="596" customFormat="false" ht="15" hidden="false" customHeight="false" outlineLevel="0" collapsed="false">
      <c r="M596" s="16"/>
      <c r="N596" s="12"/>
      <c r="O596" s="12"/>
      <c r="P596" s="13"/>
      <c r="Q596" s="19" t="str">
        <f aca="false">IF($N596="","",IFERROR(INDEX($C$5:$C$504,MATCH($N596,$A$5:$A$504,0)),"Invoice not found"))</f>
        <v/>
      </c>
    </row>
    <row r="597" customFormat="false" ht="15" hidden="false" customHeight="false" outlineLevel="0" collapsed="false">
      <c r="M597" s="16"/>
      <c r="N597" s="12"/>
      <c r="O597" s="12"/>
      <c r="P597" s="13"/>
      <c r="Q597" s="19" t="str">
        <f aca="false">IF($N597="","",IFERROR(INDEX($C$5:$C$504,MATCH($N597,$A$5:$A$504,0)),"Invoice not found"))</f>
        <v/>
      </c>
    </row>
    <row r="598" customFormat="false" ht="15" hidden="false" customHeight="false" outlineLevel="0" collapsed="false">
      <c r="M598" s="16"/>
      <c r="N598" s="12"/>
      <c r="O598" s="12"/>
      <c r="P598" s="13"/>
      <c r="Q598" s="19" t="str">
        <f aca="false">IF($N598="","",IFERROR(INDEX($C$5:$C$504,MATCH($N598,$A$5:$A$504,0)),"Invoice not found"))</f>
        <v/>
      </c>
    </row>
    <row r="599" customFormat="false" ht="15" hidden="false" customHeight="false" outlineLevel="0" collapsed="false">
      <c r="M599" s="16"/>
      <c r="N599" s="12"/>
      <c r="O599" s="12"/>
      <c r="P599" s="13"/>
      <c r="Q599" s="19" t="str">
        <f aca="false">IF($N599="","",IFERROR(INDEX($C$5:$C$504,MATCH($N599,$A$5:$A$504,0)),"Invoice not found"))</f>
        <v/>
      </c>
    </row>
    <row r="600" customFormat="false" ht="15" hidden="false" customHeight="false" outlineLevel="0" collapsed="false">
      <c r="M600" s="16"/>
      <c r="N600" s="12"/>
      <c r="O600" s="12"/>
      <c r="P600" s="13"/>
      <c r="Q600" s="19" t="str">
        <f aca="false">IF($N600="","",IFERROR(INDEX($C$5:$C$504,MATCH($N600,$A$5:$A$504,0)),"Invoice not found"))</f>
        <v/>
      </c>
    </row>
    <row r="601" customFormat="false" ht="15" hidden="false" customHeight="false" outlineLevel="0" collapsed="false">
      <c r="M601" s="16"/>
      <c r="N601" s="12"/>
      <c r="O601" s="12"/>
      <c r="P601" s="13"/>
      <c r="Q601" s="19" t="str">
        <f aca="false">IF($N601="","",IFERROR(INDEX($C$5:$C$504,MATCH($N601,$A$5:$A$504,0)),"Invoice not found"))</f>
        <v/>
      </c>
    </row>
    <row r="602" customFormat="false" ht="15" hidden="false" customHeight="false" outlineLevel="0" collapsed="false">
      <c r="M602" s="16"/>
      <c r="N602" s="12"/>
      <c r="O602" s="12"/>
      <c r="P602" s="13"/>
      <c r="Q602" s="19" t="str">
        <f aca="false">IF($N602="","",IFERROR(INDEX($C$5:$C$504,MATCH($N602,$A$5:$A$504,0)),"Invoice not found"))</f>
        <v/>
      </c>
    </row>
    <row r="603" customFormat="false" ht="15" hidden="false" customHeight="false" outlineLevel="0" collapsed="false">
      <c r="M603" s="16"/>
      <c r="N603" s="12"/>
      <c r="O603" s="12"/>
      <c r="P603" s="13"/>
      <c r="Q603" s="19" t="str">
        <f aca="false">IF($N603="","",IFERROR(INDEX($C$5:$C$504,MATCH($N603,$A$5:$A$504,0)),"Invoice not found"))</f>
        <v/>
      </c>
    </row>
    <row r="604" customFormat="false" ht="15" hidden="false" customHeight="false" outlineLevel="0" collapsed="false">
      <c r="M604" s="16"/>
      <c r="N604" s="12"/>
      <c r="O604" s="12"/>
      <c r="P604" s="13"/>
      <c r="Q604" s="19" t="str">
        <f aca="false">IF($N604="","",IFERROR(INDEX($C$5:$C$504,MATCH($N604,$A$5:$A$504,0)),"Invoice not found"))</f>
        <v/>
      </c>
    </row>
    <row r="605" customFormat="false" ht="15" hidden="false" customHeight="false" outlineLevel="0" collapsed="false">
      <c r="M605" s="16"/>
      <c r="N605" s="12"/>
      <c r="O605" s="12"/>
      <c r="P605" s="13"/>
      <c r="Q605" s="19" t="str">
        <f aca="false">IF($N605="","",IFERROR(INDEX($C$5:$C$504,MATCH($N605,$A$5:$A$504,0)),"Invoice not found"))</f>
        <v/>
      </c>
    </row>
    <row r="606" customFormat="false" ht="15" hidden="false" customHeight="false" outlineLevel="0" collapsed="false">
      <c r="M606" s="16"/>
      <c r="N606" s="12"/>
      <c r="O606" s="12"/>
      <c r="P606" s="13"/>
      <c r="Q606" s="19" t="str">
        <f aca="false">IF($N606="","",IFERROR(INDEX($C$5:$C$504,MATCH($N606,$A$5:$A$504,0)),"Invoice not found"))</f>
        <v/>
      </c>
    </row>
    <row r="607" customFormat="false" ht="15" hidden="false" customHeight="false" outlineLevel="0" collapsed="false">
      <c r="M607" s="16"/>
      <c r="N607" s="12"/>
      <c r="O607" s="12"/>
      <c r="P607" s="13"/>
      <c r="Q607" s="19" t="str">
        <f aca="false">IF($N607="","",IFERROR(INDEX($C$5:$C$504,MATCH($N607,$A$5:$A$504,0)),"Invoice not found"))</f>
        <v/>
      </c>
    </row>
    <row r="608" customFormat="false" ht="15" hidden="false" customHeight="false" outlineLevel="0" collapsed="false">
      <c r="M608" s="16"/>
      <c r="N608" s="12"/>
      <c r="O608" s="12"/>
      <c r="P608" s="13"/>
      <c r="Q608" s="19" t="str">
        <f aca="false">IF($N608="","",IFERROR(INDEX($C$5:$C$504,MATCH($N608,$A$5:$A$504,0)),"Invoice not found"))</f>
        <v/>
      </c>
    </row>
    <row r="609" customFormat="false" ht="15" hidden="false" customHeight="false" outlineLevel="0" collapsed="false">
      <c r="M609" s="16"/>
      <c r="N609" s="12"/>
      <c r="O609" s="12"/>
      <c r="P609" s="13"/>
      <c r="Q609" s="19" t="str">
        <f aca="false">IF($N609="","",IFERROR(INDEX($C$5:$C$504,MATCH($N609,$A$5:$A$504,0)),"Invoice not found"))</f>
        <v/>
      </c>
    </row>
    <row r="610" customFormat="false" ht="15" hidden="false" customHeight="false" outlineLevel="0" collapsed="false">
      <c r="M610" s="16"/>
      <c r="N610" s="12"/>
      <c r="O610" s="12"/>
      <c r="P610" s="13"/>
      <c r="Q610" s="19" t="str">
        <f aca="false">IF($N610="","",IFERROR(INDEX($C$5:$C$504,MATCH($N610,$A$5:$A$504,0)),"Invoice not found"))</f>
        <v/>
      </c>
    </row>
    <row r="611" customFormat="false" ht="15" hidden="false" customHeight="false" outlineLevel="0" collapsed="false">
      <c r="M611" s="16"/>
      <c r="N611" s="12"/>
      <c r="O611" s="12"/>
      <c r="P611" s="13"/>
      <c r="Q611" s="19" t="str">
        <f aca="false">IF($N611="","",IFERROR(INDEX($C$5:$C$504,MATCH($N611,$A$5:$A$504,0)),"Invoice not found"))</f>
        <v/>
      </c>
    </row>
    <row r="612" customFormat="false" ht="15" hidden="false" customHeight="false" outlineLevel="0" collapsed="false">
      <c r="M612" s="16"/>
      <c r="N612" s="12"/>
      <c r="O612" s="12"/>
      <c r="P612" s="13"/>
      <c r="Q612" s="19" t="str">
        <f aca="false">IF($N612="","",IFERROR(INDEX($C$5:$C$504,MATCH($N612,$A$5:$A$504,0)),"Invoice not found"))</f>
        <v/>
      </c>
    </row>
    <row r="613" customFormat="false" ht="15" hidden="false" customHeight="false" outlineLevel="0" collapsed="false">
      <c r="M613" s="16"/>
      <c r="N613" s="12"/>
      <c r="O613" s="12"/>
      <c r="P613" s="13"/>
      <c r="Q613" s="19" t="str">
        <f aca="false">IF($N613="","",IFERROR(INDEX($C$5:$C$504,MATCH($N613,$A$5:$A$504,0)),"Invoice not found"))</f>
        <v/>
      </c>
    </row>
    <row r="614" customFormat="false" ht="15" hidden="false" customHeight="false" outlineLevel="0" collapsed="false">
      <c r="M614" s="16"/>
      <c r="N614" s="12"/>
      <c r="O614" s="12"/>
      <c r="P614" s="13"/>
      <c r="Q614" s="19" t="str">
        <f aca="false">IF($N614="","",IFERROR(INDEX($C$5:$C$504,MATCH($N614,$A$5:$A$504,0)),"Invoice not found"))</f>
        <v/>
      </c>
    </row>
    <row r="615" customFormat="false" ht="15" hidden="false" customHeight="false" outlineLevel="0" collapsed="false">
      <c r="M615" s="16"/>
      <c r="N615" s="12"/>
      <c r="O615" s="12"/>
      <c r="P615" s="13"/>
      <c r="Q615" s="19" t="str">
        <f aca="false">IF($N615="","",IFERROR(INDEX($C$5:$C$504,MATCH($N615,$A$5:$A$504,0)),"Invoice not found"))</f>
        <v/>
      </c>
    </row>
    <row r="616" customFormat="false" ht="15" hidden="false" customHeight="false" outlineLevel="0" collapsed="false">
      <c r="M616" s="16"/>
      <c r="N616" s="12"/>
      <c r="O616" s="12"/>
      <c r="P616" s="13"/>
      <c r="Q616" s="19" t="str">
        <f aca="false">IF($N616="","",IFERROR(INDEX($C$5:$C$504,MATCH($N616,$A$5:$A$504,0)),"Invoice not found"))</f>
        <v/>
      </c>
    </row>
    <row r="617" customFormat="false" ht="15" hidden="false" customHeight="false" outlineLevel="0" collapsed="false">
      <c r="M617" s="16"/>
      <c r="N617" s="12"/>
      <c r="O617" s="12"/>
      <c r="P617" s="13"/>
      <c r="Q617" s="19" t="str">
        <f aca="false">IF($N617="","",IFERROR(INDEX($C$5:$C$504,MATCH($N617,$A$5:$A$504,0)),"Invoice not found"))</f>
        <v/>
      </c>
    </row>
    <row r="618" customFormat="false" ht="15" hidden="false" customHeight="false" outlineLevel="0" collapsed="false">
      <c r="M618" s="16"/>
      <c r="N618" s="12"/>
      <c r="O618" s="12"/>
      <c r="P618" s="13"/>
      <c r="Q618" s="19" t="str">
        <f aca="false">IF($N618="","",IFERROR(INDEX($C$5:$C$504,MATCH($N618,$A$5:$A$504,0)),"Invoice not found"))</f>
        <v/>
      </c>
    </row>
    <row r="619" customFormat="false" ht="15" hidden="false" customHeight="false" outlineLevel="0" collapsed="false">
      <c r="M619" s="16"/>
      <c r="N619" s="12"/>
      <c r="O619" s="12"/>
      <c r="P619" s="13"/>
      <c r="Q619" s="19" t="str">
        <f aca="false">IF($N619="","",IFERROR(INDEX($C$5:$C$504,MATCH($N619,$A$5:$A$504,0)),"Invoice not found"))</f>
        <v/>
      </c>
    </row>
    <row r="620" customFormat="false" ht="15" hidden="false" customHeight="false" outlineLevel="0" collapsed="false">
      <c r="M620" s="16"/>
      <c r="N620" s="12"/>
      <c r="O620" s="12"/>
      <c r="P620" s="13"/>
      <c r="Q620" s="19" t="str">
        <f aca="false">IF($N620="","",IFERROR(INDEX($C$5:$C$504,MATCH($N620,$A$5:$A$504,0)),"Invoice not found"))</f>
        <v/>
      </c>
    </row>
    <row r="621" customFormat="false" ht="15" hidden="false" customHeight="false" outlineLevel="0" collapsed="false">
      <c r="M621" s="16"/>
      <c r="N621" s="12"/>
      <c r="O621" s="12"/>
      <c r="P621" s="13"/>
      <c r="Q621" s="19" t="str">
        <f aca="false">IF($N621="","",IFERROR(INDEX($C$5:$C$504,MATCH($N621,$A$5:$A$504,0)),"Invoice not found"))</f>
        <v/>
      </c>
    </row>
    <row r="622" customFormat="false" ht="15" hidden="false" customHeight="false" outlineLevel="0" collapsed="false">
      <c r="M622" s="16"/>
      <c r="N622" s="12"/>
      <c r="O622" s="12"/>
      <c r="P622" s="13"/>
      <c r="Q622" s="19" t="str">
        <f aca="false">IF($N622="","",IFERROR(INDEX($C$5:$C$504,MATCH($N622,$A$5:$A$504,0)),"Invoice not found"))</f>
        <v/>
      </c>
    </row>
    <row r="623" customFormat="false" ht="15" hidden="false" customHeight="false" outlineLevel="0" collapsed="false">
      <c r="M623" s="16"/>
      <c r="N623" s="12"/>
      <c r="O623" s="12"/>
      <c r="P623" s="13"/>
      <c r="Q623" s="19" t="str">
        <f aca="false">IF($N623="","",IFERROR(INDEX($C$5:$C$504,MATCH($N623,$A$5:$A$504,0)),"Invoice not found"))</f>
        <v/>
      </c>
    </row>
    <row r="624" customFormat="false" ht="15" hidden="false" customHeight="false" outlineLevel="0" collapsed="false">
      <c r="M624" s="16"/>
      <c r="N624" s="12"/>
      <c r="O624" s="12"/>
      <c r="P624" s="13"/>
      <c r="Q624" s="19" t="str">
        <f aca="false">IF($N624="","",IFERROR(INDEX($C$5:$C$504,MATCH($N624,$A$5:$A$504,0)),"Invoice not found"))</f>
        <v/>
      </c>
    </row>
    <row r="625" customFormat="false" ht="15" hidden="false" customHeight="false" outlineLevel="0" collapsed="false">
      <c r="M625" s="16"/>
      <c r="N625" s="12"/>
      <c r="O625" s="12"/>
      <c r="P625" s="13"/>
      <c r="Q625" s="19" t="str">
        <f aca="false">IF($N625="","",IFERROR(INDEX($C$5:$C$504,MATCH($N625,$A$5:$A$504,0)),"Invoice not found"))</f>
        <v/>
      </c>
    </row>
    <row r="626" customFormat="false" ht="15" hidden="false" customHeight="false" outlineLevel="0" collapsed="false">
      <c r="M626" s="16"/>
      <c r="N626" s="12"/>
      <c r="O626" s="12"/>
      <c r="P626" s="13"/>
      <c r="Q626" s="19" t="str">
        <f aca="false">IF($N626="","",IFERROR(INDEX($C$5:$C$504,MATCH($N626,$A$5:$A$504,0)),"Invoice not found"))</f>
        <v/>
      </c>
    </row>
    <row r="627" customFormat="false" ht="15" hidden="false" customHeight="false" outlineLevel="0" collapsed="false">
      <c r="M627" s="16"/>
      <c r="N627" s="12"/>
      <c r="O627" s="12"/>
      <c r="P627" s="13"/>
      <c r="Q627" s="19" t="str">
        <f aca="false">IF($N627="","",IFERROR(INDEX($C$5:$C$504,MATCH($N627,$A$5:$A$504,0)),"Invoice not found"))</f>
        <v/>
      </c>
    </row>
    <row r="628" customFormat="false" ht="15" hidden="false" customHeight="false" outlineLevel="0" collapsed="false">
      <c r="M628" s="16"/>
      <c r="N628" s="12"/>
      <c r="O628" s="12"/>
      <c r="P628" s="13"/>
      <c r="Q628" s="19" t="str">
        <f aca="false">IF($N628="","",IFERROR(INDEX($C$5:$C$504,MATCH($N628,$A$5:$A$504,0)),"Invoice not found"))</f>
        <v/>
      </c>
    </row>
    <row r="629" customFormat="false" ht="15" hidden="false" customHeight="false" outlineLevel="0" collapsed="false">
      <c r="M629" s="16"/>
      <c r="N629" s="12"/>
      <c r="O629" s="12"/>
      <c r="P629" s="13"/>
      <c r="Q629" s="19" t="str">
        <f aca="false">IF($N629="","",IFERROR(INDEX($C$5:$C$504,MATCH($N629,$A$5:$A$504,0)),"Invoice not found"))</f>
        <v/>
      </c>
    </row>
    <row r="630" customFormat="false" ht="15" hidden="false" customHeight="false" outlineLevel="0" collapsed="false">
      <c r="M630" s="16"/>
      <c r="N630" s="12"/>
      <c r="O630" s="12"/>
      <c r="P630" s="13"/>
      <c r="Q630" s="19" t="str">
        <f aca="false">IF($N630="","",IFERROR(INDEX($C$5:$C$504,MATCH($N630,$A$5:$A$504,0)),"Invoice not found"))</f>
        <v/>
      </c>
    </row>
    <row r="631" customFormat="false" ht="15" hidden="false" customHeight="false" outlineLevel="0" collapsed="false">
      <c r="M631" s="16"/>
      <c r="N631" s="12"/>
      <c r="O631" s="12"/>
      <c r="P631" s="13"/>
      <c r="Q631" s="19" t="str">
        <f aca="false">IF($N631="","",IFERROR(INDEX($C$5:$C$504,MATCH($N631,$A$5:$A$504,0)),"Invoice not found"))</f>
        <v/>
      </c>
    </row>
    <row r="632" customFormat="false" ht="15" hidden="false" customHeight="false" outlineLevel="0" collapsed="false">
      <c r="M632" s="16"/>
      <c r="N632" s="12"/>
      <c r="O632" s="12"/>
      <c r="P632" s="13"/>
      <c r="Q632" s="19" t="str">
        <f aca="false">IF($N632="","",IFERROR(INDEX($C$5:$C$504,MATCH($N632,$A$5:$A$504,0)),"Invoice not found"))</f>
        <v/>
      </c>
    </row>
    <row r="633" customFormat="false" ht="15" hidden="false" customHeight="false" outlineLevel="0" collapsed="false">
      <c r="M633" s="16"/>
      <c r="N633" s="12"/>
      <c r="O633" s="12"/>
      <c r="P633" s="13"/>
      <c r="Q633" s="19" t="str">
        <f aca="false">IF($N633="","",IFERROR(INDEX($C$5:$C$504,MATCH($N633,$A$5:$A$504,0)),"Invoice not found"))</f>
        <v/>
      </c>
    </row>
    <row r="634" customFormat="false" ht="15" hidden="false" customHeight="false" outlineLevel="0" collapsed="false">
      <c r="M634" s="16"/>
      <c r="N634" s="12"/>
      <c r="O634" s="12"/>
      <c r="P634" s="13"/>
      <c r="Q634" s="19" t="str">
        <f aca="false">IF($N634="","",IFERROR(INDEX($C$5:$C$504,MATCH($N634,$A$5:$A$504,0)),"Invoice not found"))</f>
        <v/>
      </c>
    </row>
    <row r="635" customFormat="false" ht="15" hidden="false" customHeight="false" outlineLevel="0" collapsed="false">
      <c r="M635" s="16"/>
      <c r="N635" s="12"/>
      <c r="O635" s="12"/>
      <c r="P635" s="13"/>
      <c r="Q635" s="19" t="str">
        <f aca="false">IF($N635="","",IFERROR(INDEX($C$5:$C$504,MATCH($N635,$A$5:$A$504,0)),"Invoice not found"))</f>
        <v/>
      </c>
    </row>
    <row r="636" customFormat="false" ht="15" hidden="false" customHeight="false" outlineLevel="0" collapsed="false">
      <c r="M636" s="16"/>
      <c r="N636" s="12"/>
      <c r="O636" s="12"/>
      <c r="P636" s="13"/>
      <c r="Q636" s="19" t="str">
        <f aca="false">IF($N636="","",IFERROR(INDEX($C$5:$C$504,MATCH($N636,$A$5:$A$504,0)),"Invoice not found"))</f>
        <v/>
      </c>
    </row>
    <row r="637" customFormat="false" ht="15" hidden="false" customHeight="false" outlineLevel="0" collapsed="false">
      <c r="M637" s="16"/>
      <c r="N637" s="12"/>
      <c r="O637" s="12"/>
      <c r="P637" s="13"/>
      <c r="Q637" s="19" t="str">
        <f aca="false">IF($N637="","",IFERROR(INDEX($C$5:$C$504,MATCH($N637,$A$5:$A$504,0)),"Invoice not found"))</f>
        <v/>
      </c>
    </row>
    <row r="638" customFormat="false" ht="15" hidden="false" customHeight="false" outlineLevel="0" collapsed="false">
      <c r="M638" s="16"/>
      <c r="N638" s="12"/>
      <c r="O638" s="12"/>
      <c r="P638" s="13"/>
      <c r="Q638" s="19" t="str">
        <f aca="false">IF($N638="","",IFERROR(INDEX($C$5:$C$504,MATCH($N638,$A$5:$A$504,0)),"Invoice not found"))</f>
        <v/>
      </c>
    </row>
    <row r="639" customFormat="false" ht="15" hidden="false" customHeight="false" outlineLevel="0" collapsed="false">
      <c r="M639" s="16"/>
      <c r="N639" s="12"/>
      <c r="O639" s="12"/>
      <c r="P639" s="13"/>
      <c r="Q639" s="19" t="str">
        <f aca="false">IF($N639="","",IFERROR(INDEX($C$5:$C$504,MATCH($N639,$A$5:$A$504,0)),"Invoice not found"))</f>
        <v/>
      </c>
    </row>
    <row r="640" customFormat="false" ht="15" hidden="false" customHeight="false" outlineLevel="0" collapsed="false">
      <c r="M640" s="16"/>
      <c r="N640" s="12"/>
      <c r="O640" s="12"/>
      <c r="P640" s="13"/>
      <c r="Q640" s="19" t="str">
        <f aca="false">IF($N640="","",IFERROR(INDEX($C$5:$C$504,MATCH($N640,$A$5:$A$504,0)),"Invoice not found"))</f>
        <v/>
      </c>
    </row>
    <row r="641" customFormat="false" ht="15" hidden="false" customHeight="false" outlineLevel="0" collapsed="false">
      <c r="M641" s="16"/>
      <c r="N641" s="12"/>
      <c r="O641" s="12"/>
      <c r="P641" s="13"/>
      <c r="Q641" s="19" t="str">
        <f aca="false">IF($N641="","",IFERROR(INDEX($C$5:$C$504,MATCH($N641,$A$5:$A$504,0)),"Invoice not found"))</f>
        <v/>
      </c>
    </row>
    <row r="642" customFormat="false" ht="15" hidden="false" customHeight="false" outlineLevel="0" collapsed="false">
      <c r="M642" s="16"/>
      <c r="N642" s="12"/>
      <c r="O642" s="12"/>
      <c r="P642" s="13"/>
      <c r="Q642" s="19" t="str">
        <f aca="false">IF($N642="","",IFERROR(INDEX($C$5:$C$504,MATCH($N642,$A$5:$A$504,0)),"Invoice not found"))</f>
        <v/>
      </c>
    </row>
    <row r="643" customFormat="false" ht="15" hidden="false" customHeight="false" outlineLevel="0" collapsed="false">
      <c r="M643" s="16"/>
      <c r="N643" s="12"/>
      <c r="O643" s="12"/>
      <c r="P643" s="13"/>
      <c r="Q643" s="19" t="str">
        <f aca="false">IF($N643="","",IFERROR(INDEX($C$5:$C$504,MATCH($N643,$A$5:$A$504,0)),"Invoice not found"))</f>
        <v/>
      </c>
    </row>
    <row r="644" customFormat="false" ht="15" hidden="false" customHeight="false" outlineLevel="0" collapsed="false">
      <c r="M644" s="16"/>
      <c r="N644" s="12"/>
      <c r="O644" s="12"/>
      <c r="P644" s="13"/>
      <c r="Q644" s="19" t="str">
        <f aca="false">IF($N644="","",IFERROR(INDEX($C$5:$C$504,MATCH($N644,$A$5:$A$504,0)),"Invoice not found"))</f>
        <v/>
      </c>
    </row>
    <row r="645" customFormat="false" ht="15" hidden="false" customHeight="false" outlineLevel="0" collapsed="false">
      <c r="M645" s="16"/>
      <c r="N645" s="12"/>
      <c r="O645" s="12"/>
      <c r="P645" s="13"/>
      <c r="Q645" s="19" t="str">
        <f aca="false">IF($N645="","",IFERROR(INDEX($C$5:$C$504,MATCH($N645,$A$5:$A$504,0)),"Invoice not found"))</f>
        <v/>
      </c>
    </row>
    <row r="646" customFormat="false" ht="15" hidden="false" customHeight="false" outlineLevel="0" collapsed="false">
      <c r="M646" s="16"/>
      <c r="N646" s="12"/>
      <c r="O646" s="12"/>
      <c r="P646" s="13"/>
      <c r="Q646" s="19" t="str">
        <f aca="false">IF($N646="","",IFERROR(INDEX($C$5:$C$504,MATCH($N646,$A$5:$A$504,0)),"Invoice not found"))</f>
        <v/>
      </c>
    </row>
    <row r="647" customFormat="false" ht="15" hidden="false" customHeight="false" outlineLevel="0" collapsed="false">
      <c r="M647" s="16"/>
      <c r="N647" s="12"/>
      <c r="O647" s="12"/>
      <c r="P647" s="13"/>
      <c r="Q647" s="19" t="str">
        <f aca="false">IF($N647="","",IFERROR(INDEX($C$5:$C$504,MATCH($N647,$A$5:$A$504,0)),"Invoice not found"))</f>
        <v/>
      </c>
    </row>
    <row r="648" customFormat="false" ht="15" hidden="false" customHeight="false" outlineLevel="0" collapsed="false">
      <c r="M648" s="16"/>
      <c r="N648" s="12"/>
      <c r="O648" s="12"/>
      <c r="P648" s="13"/>
      <c r="Q648" s="19" t="str">
        <f aca="false">IF($N648="","",IFERROR(INDEX($C$5:$C$504,MATCH($N648,$A$5:$A$504,0)),"Invoice not found"))</f>
        <v/>
      </c>
    </row>
    <row r="649" customFormat="false" ht="15" hidden="false" customHeight="false" outlineLevel="0" collapsed="false">
      <c r="M649" s="16"/>
      <c r="N649" s="12"/>
      <c r="O649" s="12"/>
      <c r="P649" s="13"/>
      <c r="Q649" s="19" t="str">
        <f aca="false">IF($N649="","",IFERROR(INDEX($C$5:$C$504,MATCH($N649,$A$5:$A$504,0)),"Invoice not found"))</f>
        <v/>
      </c>
    </row>
    <row r="650" customFormat="false" ht="15" hidden="false" customHeight="false" outlineLevel="0" collapsed="false">
      <c r="M650" s="16"/>
      <c r="N650" s="12"/>
      <c r="O650" s="12"/>
      <c r="P650" s="13"/>
      <c r="Q650" s="19" t="str">
        <f aca="false">IF($N650="","",IFERROR(INDEX($C$5:$C$504,MATCH($N650,$A$5:$A$504,0)),"Invoice not found"))</f>
        <v/>
      </c>
    </row>
    <row r="651" customFormat="false" ht="15" hidden="false" customHeight="false" outlineLevel="0" collapsed="false">
      <c r="M651" s="16"/>
      <c r="N651" s="12"/>
      <c r="O651" s="12"/>
      <c r="P651" s="13"/>
      <c r="Q651" s="19" t="str">
        <f aca="false">IF($N651="","",IFERROR(INDEX($C$5:$C$504,MATCH($N651,$A$5:$A$504,0)),"Invoice not found"))</f>
        <v/>
      </c>
    </row>
    <row r="652" customFormat="false" ht="15" hidden="false" customHeight="false" outlineLevel="0" collapsed="false">
      <c r="M652" s="16"/>
      <c r="N652" s="12"/>
      <c r="O652" s="12"/>
      <c r="P652" s="13"/>
      <c r="Q652" s="19" t="str">
        <f aca="false">IF($N652="","",IFERROR(INDEX($C$5:$C$504,MATCH($N652,$A$5:$A$504,0)),"Invoice not found"))</f>
        <v/>
      </c>
    </row>
    <row r="653" customFormat="false" ht="15" hidden="false" customHeight="false" outlineLevel="0" collapsed="false">
      <c r="M653" s="16"/>
      <c r="N653" s="12"/>
      <c r="O653" s="12"/>
      <c r="P653" s="13"/>
      <c r="Q653" s="19" t="str">
        <f aca="false">IF($N653="","",IFERROR(INDEX($C$5:$C$504,MATCH($N653,$A$5:$A$504,0)),"Invoice not found"))</f>
        <v/>
      </c>
    </row>
    <row r="654" customFormat="false" ht="15" hidden="false" customHeight="false" outlineLevel="0" collapsed="false">
      <c r="M654" s="16"/>
      <c r="N654" s="12"/>
      <c r="O654" s="12"/>
      <c r="P654" s="13"/>
      <c r="Q654" s="19" t="str">
        <f aca="false">IF($N654="","",IFERROR(INDEX($C$5:$C$504,MATCH($N654,$A$5:$A$504,0)),"Invoice not found"))</f>
        <v/>
      </c>
    </row>
    <row r="655" customFormat="false" ht="15" hidden="false" customHeight="false" outlineLevel="0" collapsed="false">
      <c r="M655" s="16"/>
      <c r="N655" s="12"/>
      <c r="O655" s="12"/>
      <c r="P655" s="13"/>
      <c r="Q655" s="19" t="str">
        <f aca="false">IF($N655="","",IFERROR(INDEX($C$5:$C$504,MATCH($N655,$A$5:$A$504,0)),"Invoice not found"))</f>
        <v/>
      </c>
    </row>
    <row r="656" customFormat="false" ht="15" hidden="false" customHeight="false" outlineLevel="0" collapsed="false">
      <c r="M656" s="16"/>
      <c r="N656" s="12"/>
      <c r="O656" s="12"/>
      <c r="P656" s="13"/>
      <c r="Q656" s="19" t="str">
        <f aca="false">IF($N656="","",IFERROR(INDEX($C$5:$C$504,MATCH($N656,$A$5:$A$504,0)),"Invoice not found"))</f>
        <v/>
      </c>
    </row>
    <row r="657" customFormat="false" ht="15" hidden="false" customHeight="false" outlineLevel="0" collapsed="false">
      <c r="M657" s="16"/>
      <c r="N657" s="12"/>
      <c r="O657" s="12"/>
      <c r="P657" s="13"/>
      <c r="Q657" s="19" t="str">
        <f aca="false">IF($N657="","",IFERROR(INDEX($C$5:$C$504,MATCH($N657,$A$5:$A$504,0)),"Invoice not found"))</f>
        <v/>
      </c>
    </row>
    <row r="658" customFormat="false" ht="15" hidden="false" customHeight="false" outlineLevel="0" collapsed="false">
      <c r="M658" s="16"/>
      <c r="N658" s="12"/>
      <c r="O658" s="12"/>
      <c r="P658" s="13"/>
      <c r="Q658" s="19" t="str">
        <f aca="false">IF($N658="","",IFERROR(INDEX($C$5:$C$504,MATCH($N658,$A$5:$A$504,0)),"Invoice not found"))</f>
        <v/>
      </c>
    </row>
    <row r="659" customFormat="false" ht="15" hidden="false" customHeight="false" outlineLevel="0" collapsed="false">
      <c r="M659" s="16"/>
      <c r="N659" s="12"/>
      <c r="O659" s="12"/>
      <c r="P659" s="13"/>
      <c r="Q659" s="19" t="str">
        <f aca="false">IF($N659="","",IFERROR(INDEX($C$5:$C$504,MATCH($N659,$A$5:$A$504,0)),"Invoice not found"))</f>
        <v/>
      </c>
    </row>
    <row r="660" customFormat="false" ht="15" hidden="false" customHeight="false" outlineLevel="0" collapsed="false">
      <c r="M660" s="16"/>
      <c r="N660" s="12"/>
      <c r="O660" s="12"/>
      <c r="P660" s="13"/>
      <c r="Q660" s="19" t="str">
        <f aca="false">IF($N660="","",IFERROR(INDEX($C$5:$C$504,MATCH($N660,$A$5:$A$504,0)),"Invoice not found"))</f>
        <v/>
      </c>
    </row>
    <row r="661" customFormat="false" ht="15" hidden="false" customHeight="false" outlineLevel="0" collapsed="false">
      <c r="M661" s="16"/>
      <c r="N661" s="12"/>
      <c r="O661" s="12"/>
      <c r="P661" s="13"/>
      <c r="Q661" s="19" t="str">
        <f aca="false">IF($N661="","",IFERROR(INDEX($C$5:$C$504,MATCH($N661,$A$5:$A$504,0)),"Invoice not found"))</f>
        <v/>
      </c>
    </row>
    <row r="662" customFormat="false" ht="15" hidden="false" customHeight="false" outlineLevel="0" collapsed="false">
      <c r="M662" s="16"/>
      <c r="N662" s="12"/>
      <c r="O662" s="12"/>
      <c r="P662" s="13"/>
      <c r="Q662" s="19" t="str">
        <f aca="false">IF($N662="","",IFERROR(INDEX($C$5:$C$504,MATCH($N662,$A$5:$A$504,0)),"Invoice not found"))</f>
        <v/>
      </c>
    </row>
    <row r="663" customFormat="false" ht="15" hidden="false" customHeight="false" outlineLevel="0" collapsed="false">
      <c r="M663" s="16"/>
      <c r="N663" s="12"/>
      <c r="O663" s="12"/>
      <c r="P663" s="13"/>
      <c r="Q663" s="19" t="str">
        <f aca="false">IF($N663="","",IFERROR(INDEX($C$5:$C$504,MATCH($N663,$A$5:$A$504,0)),"Invoice not found"))</f>
        <v/>
      </c>
    </row>
    <row r="664" customFormat="false" ht="15" hidden="false" customHeight="false" outlineLevel="0" collapsed="false">
      <c r="M664" s="16"/>
      <c r="N664" s="12"/>
      <c r="O664" s="12"/>
      <c r="P664" s="13"/>
      <c r="Q664" s="19" t="str">
        <f aca="false">IF($N664="","",IFERROR(INDEX($C$5:$C$504,MATCH($N664,$A$5:$A$504,0)),"Invoice not found"))</f>
        <v/>
      </c>
    </row>
    <row r="665" customFormat="false" ht="15" hidden="false" customHeight="false" outlineLevel="0" collapsed="false">
      <c r="M665" s="16"/>
      <c r="N665" s="12"/>
      <c r="O665" s="12"/>
      <c r="P665" s="13"/>
      <c r="Q665" s="19" t="str">
        <f aca="false">IF($N665="","",IFERROR(INDEX($C$5:$C$504,MATCH($N665,$A$5:$A$504,0)),"Invoice not found"))</f>
        <v/>
      </c>
    </row>
    <row r="666" customFormat="false" ht="15" hidden="false" customHeight="false" outlineLevel="0" collapsed="false">
      <c r="M666" s="16"/>
      <c r="N666" s="12"/>
      <c r="O666" s="12"/>
      <c r="P666" s="13"/>
      <c r="Q666" s="19" t="str">
        <f aca="false">IF($N666="","",IFERROR(INDEX($C$5:$C$504,MATCH($N666,$A$5:$A$504,0)),"Invoice not found"))</f>
        <v/>
      </c>
    </row>
    <row r="667" customFormat="false" ht="15" hidden="false" customHeight="false" outlineLevel="0" collapsed="false">
      <c r="M667" s="16"/>
      <c r="N667" s="12"/>
      <c r="O667" s="12"/>
      <c r="P667" s="13"/>
      <c r="Q667" s="19" t="str">
        <f aca="false">IF($N667="","",IFERROR(INDEX($C$5:$C$504,MATCH($N667,$A$5:$A$504,0)),"Invoice not found"))</f>
        <v/>
      </c>
    </row>
    <row r="668" customFormat="false" ht="15" hidden="false" customHeight="false" outlineLevel="0" collapsed="false">
      <c r="M668" s="16"/>
      <c r="N668" s="12"/>
      <c r="O668" s="12"/>
      <c r="P668" s="13"/>
      <c r="Q668" s="19" t="str">
        <f aca="false">IF($N668="","",IFERROR(INDEX($C$5:$C$504,MATCH($N668,$A$5:$A$504,0)),"Invoice not found"))</f>
        <v/>
      </c>
    </row>
    <row r="669" customFormat="false" ht="15" hidden="false" customHeight="false" outlineLevel="0" collapsed="false">
      <c r="M669" s="16"/>
      <c r="N669" s="12"/>
      <c r="O669" s="12"/>
      <c r="P669" s="13"/>
      <c r="Q669" s="19" t="str">
        <f aca="false">IF($N669="","",IFERROR(INDEX($C$5:$C$504,MATCH($N669,$A$5:$A$504,0)),"Invoice not found"))</f>
        <v/>
      </c>
    </row>
    <row r="670" customFormat="false" ht="15" hidden="false" customHeight="false" outlineLevel="0" collapsed="false">
      <c r="M670" s="16"/>
      <c r="N670" s="12"/>
      <c r="O670" s="12"/>
      <c r="P670" s="13"/>
      <c r="Q670" s="19" t="str">
        <f aca="false">IF($N670="","",IFERROR(INDEX($C$5:$C$504,MATCH($N670,$A$5:$A$504,0)),"Invoice not found"))</f>
        <v/>
      </c>
    </row>
    <row r="671" customFormat="false" ht="15" hidden="false" customHeight="false" outlineLevel="0" collapsed="false">
      <c r="M671" s="16"/>
      <c r="N671" s="12"/>
      <c r="O671" s="12"/>
      <c r="P671" s="13"/>
      <c r="Q671" s="19" t="str">
        <f aca="false">IF($N671="","",IFERROR(INDEX($C$5:$C$504,MATCH($N671,$A$5:$A$504,0)),"Invoice not found"))</f>
        <v/>
      </c>
    </row>
    <row r="672" customFormat="false" ht="15" hidden="false" customHeight="false" outlineLevel="0" collapsed="false">
      <c r="M672" s="16"/>
      <c r="N672" s="12"/>
      <c r="O672" s="12"/>
      <c r="P672" s="13"/>
      <c r="Q672" s="19" t="str">
        <f aca="false">IF($N672="","",IFERROR(INDEX($C$5:$C$504,MATCH($N672,$A$5:$A$504,0)),"Invoice not found"))</f>
        <v/>
      </c>
    </row>
    <row r="673" customFormat="false" ht="15" hidden="false" customHeight="false" outlineLevel="0" collapsed="false">
      <c r="M673" s="16"/>
      <c r="N673" s="12"/>
      <c r="O673" s="12"/>
      <c r="P673" s="13"/>
      <c r="Q673" s="19" t="str">
        <f aca="false">IF($N673="","",IFERROR(INDEX($C$5:$C$504,MATCH($N673,$A$5:$A$504,0)),"Invoice not found"))</f>
        <v/>
      </c>
    </row>
    <row r="674" customFormat="false" ht="15" hidden="false" customHeight="false" outlineLevel="0" collapsed="false">
      <c r="M674" s="16"/>
      <c r="N674" s="12"/>
      <c r="O674" s="12"/>
      <c r="P674" s="13"/>
      <c r="Q674" s="19" t="str">
        <f aca="false">IF($N674="","",IFERROR(INDEX($C$5:$C$504,MATCH($N674,$A$5:$A$504,0)),"Invoice not found"))</f>
        <v/>
      </c>
    </row>
    <row r="675" customFormat="false" ht="15" hidden="false" customHeight="false" outlineLevel="0" collapsed="false">
      <c r="M675" s="16"/>
      <c r="N675" s="12"/>
      <c r="O675" s="12"/>
      <c r="P675" s="13"/>
      <c r="Q675" s="19" t="str">
        <f aca="false">IF($N675="","",IFERROR(INDEX($C$5:$C$504,MATCH($N675,$A$5:$A$504,0)),"Invoice not found"))</f>
        <v/>
      </c>
    </row>
    <row r="676" customFormat="false" ht="15" hidden="false" customHeight="false" outlineLevel="0" collapsed="false">
      <c r="M676" s="16"/>
      <c r="N676" s="12"/>
      <c r="O676" s="12"/>
      <c r="P676" s="13"/>
      <c r="Q676" s="19" t="str">
        <f aca="false">IF($N676="","",IFERROR(INDEX($C$5:$C$504,MATCH($N676,$A$5:$A$504,0)),"Invoice not found"))</f>
        <v/>
      </c>
    </row>
    <row r="677" customFormat="false" ht="15" hidden="false" customHeight="false" outlineLevel="0" collapsed="false">
      <c r="M677" s="16"/>
      <c r="N677" s="12"/>
      <c r="O677" s="12"/>
      <c r="P677" s="13"/>
      <c r="Q677" s="19" t="str">
        <f aca="false">IF($N677="","",IFERROR(INDEX($C$5:$C$504,MATCH($N677,$A$5:$A$504,0)),"Invoice not found"))</f>
        <v/>
      </c>
    </row>
    <row r="678" customFormat="false" ht="15" hidden="false" customHeight="false" outlineLevel="0" collapsed="false">
      <c r="M678" s="16"/>
      <c r="N678" s="12"/>
      <c r="O678" s="12"/>
      <c r="P678" s="13"/>
      <c r="Q678" s="19" t="str">
        <f aca="false">IF($N678="","",IFERROR(INDEX($C$5:$C$504,MATCH($N678,$A$5:$A$504,0)),"Invoice not found"))</f>
        <v/>
      </c>
    </row>
    <row r="679" customFormat="false" ht="15" hidden="false" customHeight="false" outlineLevel="0" collapsed="false">
      <c r="M679" s="16"/>
      <c r="N679" s="12"/>
      <c r="O679" s="12"/>
      <c r="P679" s="13"/>
      <c r="Q679" s="19" t="str">
        <f aca="false">IF($N679="","",IFERROR(INDEX($C$5:$C$504,MATCH($N679,$A$5:$A$504,0)),"Invoice not found"))</f>
        <v/>
      </c>
    </row>
    <row r="680" customFormat="false" ht="15" hidden="false" customHeight="false" outlineLevel="0" collapsed="false">
      <c r="M680" s="16"/>
      <c r="N680" s="12"/>
      <c r="O680" s="12"/>
      <c r="P680" s="13"/>
      <c r="Q680" s="19" t="str">
        <f aca="false">IF($N680="","",IFERROR(INDEX($C$5:$C$504,MATCH($N680,$A$5:$A$504,0)),"Invoice not found"))</f>
        <v/>
      </c>
    </row>
    <row r="681" customFormat="false" ht="15" hidden="false" customHeight="false" outlineLevel="0" collapsed="false">
      <c r="M681" s="16"/>
      <c r="N681" s="12"/>
      <c r="O681" s="12"/>
      <c r="P681" s="13"/>
      <c r="Q681" s="19" t="str">
        <f aca="false">IF($N681="","",IFERROR(INDEX($C$5:$C$504,MATCH($N681,$A$5:$A$504,0)),"Invoice not found"))</f>
        <v/>
      </c>
    </row>
    <row r="682" customFormat="false" ht="15" hidden="false" customHeight="false" outlineLevel="0" collapsed="false">
      <c r="M682" s="16"/>
      <c r="N682" s="12"/>
      <c r="O682" s="12"/>
      <c r="P682" s="13"/>
      <c r="Q682" s="19" t="str">
        <f aca="false">IF($N682="","",IFERROR(INDEX($C$5:$C$504,MATCH($N682,$A$5:$A$504,0)),"Invoice not found"))</f>
        <v/>
      </c>
    </row>
    <row r="683" customFormat="false" ht="15" hidden="false" customHeight="false" outlineLevel="0" collapsed="false">
      <c r="M683" s="16"/>
      <c r="N683" s="12"/>
      <c r="O683" s="12"/>
      <c r="P683" s="13"/>
      <c r="Q683" s="19" t="str">
        <f aca="false">IF($N683="","",IFERROR(INDEX($C$5:$C$504,MATCH($N683,$A$5:$A$504,0)),"Invoice not found"))</f>
        <v/>
      </c>
    </row>
    <row r="684" customFormat="false" ht="15" hidden="false" customHeight="false" outlineLevel="0" collapsed="false">
      <c r="M684" s="16"/>
      <c r="N684" s="12"/>
      <c r="O684" s="12"/>
      <c r="P684" s="13"/>
      <c r="Q684" s="19" t="str">
        <f aca="false">IF($N684="","",IFERROR(INDEX($C$5:$C$504,MATCH($N684,$A$5:$A$504,0)),"Invoice not found"))</f>
        <v/>
      </c>
    </row>
    <row r="685" customFormat="false" ht="15" hidden="false" customHeight="false" outlineLevel="0" collapsed="false">
      <c r="M685" s="16"/>
      <c r="N685" s="12"/>
      <c r="O685" s="12"/>
      <c r="P685" s="13"/>
      <c r="Q685" s="19" t="str">
        <f aca="false">IF($N685="","",IFERROR(INDEX($C$5:$C$504,MATCH($N685,$A$5:$A$504,0)),"Invoice not found"))</f>
        <v/>
      </c>
    </row>
    <row r="686" customFormat="false" ht="15" hidden="false" customHeight="false" outlineLevel="0" collapsed="false">
      <c r="M686" s="16"/>
      <c r="N686" s="12"/>
      <c r="O686" s="12"/>
      <c r="P686" s="13"/>
      <c r="Q686" s="19" t="str">
        <f aca="false">IF($N686="","",IFERROR(INDEX($C$5:$C$504,MATCH($N686,$A$5:$A$504,0)),"Invoice not found"))</f>
        <v/>
      </c>
    </row>
    <row r="687" customFormat="false" ht="15" hidden="false" customHeight="false" outlineLevel="0" collapsed="false">
      <c r="M687" s="16"/>
      <c r="N687" s="12"/>
      <c r="O687" s="12"/>
      <c r="P687" s="13"/>
      <c r="Q687" s="19" t="str">
        <f aca="false">IF($N687="","",IFERROR(INDEX($C$5:$C$504,MATCH($N687,$A$5:$A$504,0)),"Invoice not found"))</f>
        <v/>
      </c>
    </row>
    <row r="688" customFormat="false" ht="15" hidden="false" customHeight="false" outlineLevel="0" collapsed="false">
      <c r="M688" s="16"/>
      <c r="N688" s="12"/>
      <c r="O688" s="12"/>
      <c r="P688" s="13"/>
      <c r="Q688" s="19" t="str">
        <f aca="false">IF($N688="","",IFERROR(INDEX($C$5:$C$504,MATCH($N688,$A$5:$A$504,0)),"Invoice not found"))</f>
        <v/>
      </c>
    </row>
    <row r="689" customFormat="false" ht="15" hidden="false" customHeight="false" outlineLevel="0" collapsed="false">
      <c r="M689" s="16"/>
      <c r="N689" s="12"/>
      <c r="O689" s="12"/>
      <c r="P689" s="13"/>
      <c r="Q689" s="19" t="str">
        <f aca="false">IF($N689="","",IFERROR(INDEX($C$5:$C$504,MATCH($N689,$A$5:$A$504,0)),"Invoice not found"))</f>
        <v/>
      </c>
    </row>
    <row r="690" customFormat="false" ht="15" hidden="false" customHeight="false" outlineLevel="0" collapsed="false">
      <c r="M690" s="16"/>
      <c r="N690" s="12"/>
      <c r="O690" s="12"/>
      <c r="P690" s="13"/>
      <c r="Q690" s="19" t="str">
        <f aca="false">IF($N690="","",IFERROR(INDEX($C$5:$C$504,MATCH($N690,$A$5:$A$504,0)),"Invoice not found"))</f>
        <v/>
      </c>
    </row>
    <row r="691" customFormat="false" ht="15" hidden="false" customHeight="false" outlineLevel="0" collapsed="false">
      <c r="M691" s="16"/>
      <c r="N691" s="12"/>
      <c r="O691" s="12"/>
      <c r="P691" s="13"/>
      <c r="Q691" s="19" t="str">
        <f aca="false">IF($N691="","",IFERROR(INDEX($C$5:$C$504,MATCH($N691,$A$5:$A$504,0)),"Invoice not found"))</f>
        <v/>
      </c>
    </row>
    <row r="692" customFormat="false" ht="15" hidden="false" customHeight="false" outlineLevel="0" collapsed="false">
      <c r="M692" s="16"/>
      <c r="N692" s="12"/>
      <c r="O692" s="12"/>
      <c r="P692" s="13"/>
      <c r="Q692" s="19" t="str">
        <f aca="false">IF($N692="","",IFERROR(INDEX($C$5:$C$504,MATCH($N692,$A$5:$A$504,0)),"Invoice not found"))</f>
        <v/>
      </c>
    </row>
    <row r="693" customFormat="false" ht="15" hidden="false" customHeight="false" outlineLevel="0" collapsed="false">
      <c r="M693" s="16"/>
      <c r="N693" s="12"/>
      <c r="O693" s="12"/>
      <c r="P693" s="13"/>
      <c r="Q693" s="19" t="str">
        <f aca="false">IF($N693="","",IFERROR(INDEX($C$5:$C$504,MATCH($N693,$A$5:$A$504,0)),"Invoice not found"))</f>
        <v/>
      </c>
    </row>
    <row r="694" customFormat="false" ht="15" hidden="false" customHeight="false" outlineLevel="0" collapsed="false">
      <c r="M694" s="16"/>
      <c r="N694" s="12"/>
      <c r="O694" s="12"/>
      <c r="P694" s="13"/>
      <c r="Q694" s="19" t="str">
        <f aca="false">IF($N694="","",IFERROR(INDEX($C$5:$C$504,MATCH($N694,$A$5:$A$504,0)),"Invoice not found"))</f>
        <v/>
      </c>
    </row>
    <row r="695" customFormat="false" ht="15" hidden="false" customHeight="false" outlineLevel="0" collapsed="false">
      <c r="M695" s="16"/>
      <c r="N695" s="12"/>
      <c r="O695" s="12"/>
      <c r="P695" s="13"/>
      <c r="Q695" s="19" t="str">
        <f aca="false">IF($N695="","",IFERROR(INDEX($C$5:$C$504,MATCH($N695,$A$5:$A$504,0)),"Invoice not found"))</f>
        <v/>
      </c>
    </row>
    <row r="696" customFormat="false" ht="15" hidden="false" customHeight="false" outlineLevel="0" collapsed="false">
      <c r="M696" s="16"/>
      <c r="N696" s="12"/>
      <c r="O696" s="12"/>
      <c r="P696" s="13"/>
      <c r="Q696" s="19" t="str">
        <f aca="false">IF($N696="","",IFERROR(INDEX($C$5:$C$504,MATCH($N696,$A$5:$A$504,0)),"Invoice not found"))</f>
        <v/>
      </c>
    </row>
    <row r="697" customFormat="false" ht="15" hidden="false" customHeight="false" outlineLevel="0" collapsed="false">
      <c r="M697" s="16"/>
      <c r="N697" s="12"/>
      <c r="O697" s="12"/>
      <c r="P697" s="13"/>
      <c r="Q697" s="19" t="str">
        <f aca="false">IF($N697="","",IFERROR(INDEX($C$5:$C$504,MATCH($N697,$A$5:$A$504,0)),"Invoice not found"))</f>
        <v/>
      </c>
    </row>
    <row r="698" customFormat="false" ht="15" hidden="false" customHeight="false" outlineLevel="0" collapsed="false">
      <c r="M698" s="16"/>
      <c r="N698" s="12"/>
      <c r="O698" s="12"/>
      <c r="P698" s="13"/>
      <c r="Q698" s="19" t="str">
        <f aca="false">IF($N698="","",IFERROR(INDEX($C$5:$C$504,MATCH($N698,$A$5:$A$504,0)),"Invoice not found"))</f>
        <v/>
      </c>
    </row>
    <row r="699" customFormat="false" ht="15" hidden="false" customHeight="false" outlineLevel="0" collapsed="false">
      <c r="M699" s="16"/>
      <c r="N699" s="12"/>
      <c r="O699" s="12"/>
      <c r="P699" s="13"/>
      <c r="Q699" s="19" t="str">
        <f aca="false">IF($N699="","",IFERROR(INDEX($C$5:$C$504,MATCH($N699,$A$5:$A$504,0)),"Invoice not found"))</f>
        <v/>
      </c>
    </row>
    <row r="700" customFormat="false" ht="15" hidden="false" customHeight="false" outlineLevel="0" collapsed="false">
      <c r="M700" s="16"/>
      <c r="N700" s="12"/>
      <c r="O700" s="12"/>
      <c r="P700" s="13"/>
      <c r="Q700" s="19" t="str">
        <f aca="false">IF($N700="","",IFERROR(INDEX($C$5:$C$504,MATCH($N700,$A$5:$A$504,0)),"Invoice not found"))</f>
        <v/>
      </c>
    </row>
    <row r="701" customFormat="false" ht="15" hidden="false" customHeight="false" outlineLevel="0" collapsed="false">
      <c r="M701" s="16"/>
      <c r="N701" s="12"/>
      <c r="O701" s="12"/>
      <c r="P701" s="13"/>
      <c r="Q701" s="19" t="str">
        <f aca="false">IF($N701="","",IFERROR(INDEX($C$5:$C$504,MATCH($N701,$A$5:$A$504,0)),"Invoice not found"))</f>
        <v/>
      </c>
    </row>
    <row r="702" customFormat="false" ht="15" hidden="false" customHeight="false" outlineLevel="0" collapsed="false">
      <c r="M702" s="16"/>
      <c r="N702" s="12"/>
      <c r="O702" s="12"/>
      <c r="P702" s="13"/>
      <c r="Q702" s="19" t="str">
        <f aca="false">IF($N702="","",IFERROR(INDEX($C$5:$C$504,MATCH($N702,$A$5:$A$504,0)),"Invoice not found"))</f>
        <v/>
      </c>
    </row>
    <row r="703" customFormat="false" ht="15" hidden="false" customHeight="false" outlineLevel="0" collapsed="false">
      <c r="M703" s="16"/>
      <c r="N703" s="12"/>
      <c r="O703" s="12"/>
      <c r="P703" s="13"/>
      <c r="Q703" s="19" t="str">
        <f aca="false">IF($N703="","",IFERROR(INDEX($C$5:$C$504,MATCH($N703,$A$5:$A$504,0)),"Invoice not found"))</f>
        <v/>
      </c>
    </row>
    <row r="704" customFormat="false" ht="15" hidden="false" customHeight="false" outlineLevel="0" collapsed="false">
      <c r="M704" s="16"/>
      <c r="N704" s="12"/>
      <c r="O704" s="12"/>
      <c r="P704" s="13"/>
      <c r="Q704" s="19" t="str">
        <f aca="false">IF($N704="","",IFERROR(INDEX($C$5:$C$504,MATCH($N704,$A$5:$A$504,0)),"Invoice not found"))</f>
        <v/>
      </c>
    </row>
    <row r="705" customFormat="false" ht="15" hidden="false" customHeight="false" outlineLevel="0" collapsed="false">
      <c r="M705" s="16"/>
      <c r="N705" s="12"/>
      <c r="O705" s="12"/>
      <c r="P705" s="13"/>
      <c r="Q705" s="19" t="str">
        <f aca="false">IF($N705="","",IFERROR(INDEX($C$5:$C$504,MATCH($N705,$A$5:$A$504,0)),"Invoice not found"))</f>
        <v/>
      </c>
    </row>
    <row r="706" customFormat="false" ht="15" hidden="false" customHeight="false" outlineLevel="0" collapsed="false">
      <c r="M706" s="16"/>
      <c r="N706" s="12"/>
      <c r="O706" s="12"/>
      <c r="P706" s="13"/>
      <c r="Q706" s="19" t="str">
        <f aca="false">IF($N706="","",IFERROR(INDEX($C$5:$C$504,MATCH($N706,$A$5:$A$504,0)),"Invoice not found"))</f>
        <v/>
      </c>
    </row>
    <row r="707" customFormat="false" ht="15" hidden="false" customHeight="false" outlineLevel="0" collapsed="false">
      <c r="M707" s="16"/>
      <c r="N707" s="12"/>
      <c r="O707" s="12"/>
      <c r="P707" s="13"/>
      <c r="Q707" s="19" t="str">
        <f aca="false">IF($N707="","",IFERROR(INDEX($C$5:$C$504,MATCH($N707,$A$5:$A$504,0)),"Invoice not found"))</f>
        <v/>
      </c>
    </row>
    <row r="708" customFormat="false" ht="15" hidden="false" customHeight="false" outlineLevel="0" collapsed="false">
      <c r="M708" s="16"/>
      <c r="N708" s="12"/>
      <c r="O708" s="12"/>
      <c r="P708" s="13"/>
      <c r="Q708" s="19" t="str">
        <f aca="false">IF($N708="","",IFERROR(INDEX($C$5:$C$504,MATCH($N708,$A$5:$A$504,0)),"Invoice not found"))</f>
        <v/>
      </c>
    </row>
    <row r="709" customFormat="false" ht="15" hidden="false" customHeight="false" outlineLevel="0" collapsed="false">
      <c r="M709" s="16"/>
      <c r="N709" s="12"/>
      <c r="O709" s="12"/>
      <c r="P709" s="13"/>
      <c r="Q709" s="19" t="str">
        <f aca="false">IF($N709="","",IFERROR(INDEX($C$5:$C$504,MATCH($N709,$A$5:$A$504,0)),"Invoice not found"))</f>
        <v/>
      </c>
    </row>
    <row r="710" customFormat="false" ht="15" hidden="false" customHeight="false" outlineLevel="0" collapsed="false">
      <c r="M710" s="16"/>
      <c r="N710" s="12"/>
      <c r="O710" s="12"/>
      <c r="P710" s="13"/>
      <c r="Q710" s="19" t="str">
        <f aca="false">IF($N710="","",IFERROR(INDEX($C$5:$C$504,MATCH($N710,$A$5:$A$504,0)),"Invoice not found"))</f>
        <v/>
      </c>
    </row>
    <row r="711" customFormat="false" ht="15" hidden="false" customHeight="false" outlineLevel="0" collapsed="false">
      <c r="M711" s="16"/>
      <c r="N711" s="12"/>
      <c r="O711" s="12"/>
      <c r="P711" s="13"/>
      <c r="Q711" s="19" t="str">
        <f aca="false">IF($N711="","",IFERROR(INDEX($C$5:$C$504,MATCH($N711,$A$5:$A$504,0)),"Invoice not found"))</f>
        <v/>
      </c>
    </row>
    <row r="712" customFormat="false" ht="15" hidden="false" customHeight="false" outlineLevel="0" collapsed="false">
      <c r="M712" s="16"/>
      <c r="N712" s="12"/>
      <c r="O712" s="12"/>
      <c r="P712" s="13"/>
      <c r="Q712" s="19" t="str">
        <f aca="false">IF($N712="","",IFERROR(INDEX($C$5:$C$504,MATCH($N712,$A$5:$A$504,0)),"Invoice not found"))</f>
        <v/>
      </c>
    </row>
    <row r="713" customFormat="false" ht="15" hidden="false" customHeight="false" outlineLevel="0" collapsed="false">
      <c r="M713" s="16"/>
      <c r="N713" s="12"/>
      <c r="O713" s="12"/>
      <c r="P713" s="13"/>
      <c r="Q713" s="19" t="str">
        <f aca="false">IF($N713="","",IFERROR(INDEX($C$5:$C$504,MATCH($N713,$A$5:$A$504,0)),"Invoice not found"))</f>
        <v/>
      </c>
    </row>
    <row r="714" customFormat="false" ht="15" hidden="false" customHeight="false" outlineLevel="0" collapsed="false">
      <c r="M714" s="16"/>
      <c r="N714" s="12"/>
      <c r="O714" s="12"/>
      <c r="P714" s="13"/>
      <c r="Q714" s="19" t="str">
        <f aca="false">IF($N714="","",IFERROR(INDEX($C$5:$C$504,MATCH($N714,$A$5:$A$504,0)),"Invoice not found"))</f>
        <v/>
      </c>
    </row>
    <row r="715" customFormat="false" ht="15" hidden="false" customHeight="false" outlineLevel="0" collapsed="false">
      <c r="M715" s="16"/>
      <c r="N715" s="12"/>
      <c r="O715" s="12"/>
      <c r="P715" s="13"/>
      <c r="Q715" s="19" t="str">
        <f aca="false">IF($N715="","",IFERROR(INDEX($C$5:$C$504,MATCH($N715,$A$5:$A$504,0)),"Invoice not found"))</f>
        <v/>
      </c>
    </row>
    <row r="716" customFormat="false" ht="15" hidden="false" customHeight="false" outlineLevel="0" collapsed="false">
      <c r="M716" s="16"/>
      <c r="N716" s="12"/>
      <c r="O716" s="12"/>
      <c r="P716" s="13"/>
      <c r="Q716" s="19" t="str">
        <f aca="false">IF($N716="","",IFERROR(INDEX($C$5:$C$504,MATCH($N716,$A$5:$A$504,0)),"Invoice not found"))</f>
        <v/>
      </c>
    </row>
    <row r="717" customFormat="false" ht="15" hidden="false" customHeight="false" outlineLevel="0" collapsed="false">
      <c r="M717" s="16"/>
      <c r="N717" s="12"/>
      <c r="O717" s="12"/>
      <c r="P717" s="13"/>
      <c r="Q717" s="19" t="str">
        <f aca="false">IF($N717="","",IFERROR(INDEX($C$5:$C$504,MATCH($N717,$A$5:$A$504,0)),"Invoice not found"))</f>
        <v/>
      </c>
    </row>
    <row r="718" customFormat="false" ht="15" hidden="false" customHeight="false" outlineLevel="0" collapsed="false">
      <c r="M718" s="16"/>
      <c r="N718" s="12"/>
      <c r="O718" s="12"/>
      <c r="P718" s="13"/>
      <c r="Q718" s="19" t="str">
        <f aca="false">IF($N718="","",IFERROR(INDEX($C$5:$C$504,MATCH($N718,$A$5:$A$504,0)),"Invoice not found"))</f>
        <v/>
      </c>
    </row>
    <row r="719" customFormat="false" ht="15" hidden="false" customHeight="false" outlineLevel="0" collapsed="false">
      <c r="M719" s="16"/>
      <c r="N719" s="12"/>
      <c r="O719" s="12"/>
      <c r="P719" s="13"/>
      <c r="Q719" s="19" t="str">
        <f aca="false">IF($N719="","",IFERROR(INDEX($C$5:$C$504,MATCH($N719,$A$5:$A$504,0)),"Invoice not found"))</f>
        <v/>
      </c>
    </row>
    <row r="720" customFormat="false" ht="15" hidden="false" customHeight="false" outlineLevel="0" collapsed="false">
      <c r="M720" s="16"/>
      <c r="N720" s="12"/>
      <c r="O720" s="12"/>
      <c r="P720" s="13"/>
      <c r="Q720" s="19" t="str">
        <f aca="false">IF($N720="","",IFERROR(INDEX($C$5:$C$504,MATCH($N720,$A$5:$A$504,0)),"Invoice not found"))</f>
        <v/>
      </c>
    </row>
    <row r="721" customFormat="false" ht="15" hidden="false" customHeight="false" outlineLevel="0" collapsed="false">
      <c r="M721" s="16"/>
      <c r="N721" s="12"/>
      <c r="O721" s="12"/>
      <c r="P721" s="13"/>
      <c r="Q721" s="19" t="str">
        <f aca="false">IF($N721="","",IFERROR(INDEX($C$5:$C$504,MATCH($N721,$A$5:$A$504,0)),"Invoice not found"))</f>
        <v/>
      </c>
    </row>
    <row r="722" customFormat="false" ht="15" hidden="false" customHeight="false" outlineLevel="0" collapsed="false">
      <c r="M722" s="16"/>
      <c r="N722" s="12"/>
      <c r="O722" s="12"/>
      <c r="P722" s="13"/>
      <c r="Q722" s="19" t="str">
        <f aca="false">IF($N722="","",IFERROR(INDEX($C$5:$C$504,MATCH($N722,$A$5:$A$504,0)),"Invoice not found"))</f>
        <v/>
      </c>
    </row>
    <row r="723" customFormat="false" ht="15" hidden="false" customHeight="false" outlineLevel="0" collapsed="false">
      <c r="M723" s="16"/>
      <c r="N723" s="12"/>
      <c r="O723" s="12"/>
      <c r="P723" s="13"/>
      <c r="Q723" s="19" t="str">
        <f aca="false">IF($N723="","",IFERROR(INDEX($C$5:$C$504,MATCH($N723,$A$5:$A$504,0)),"Invoice not found"))</f>
        <v/>
      </c>
    </row>
    <row r="724" customFormat="false" ht="15" hidden="false" customHeight="false" outlineLevel="0" collapsed="false">
      <c r="M724" s="16"/>
      <c r="N724" s="12"/>
      <c r="O724" s="12"/>
      <c r="P724" s="13"/>
      <c r="Q724" s="19" t="str">
        <f aca="false">IF($N724="","",IFERROR(INDEX($C$5:$C$504,MATCH($N724,$A$5:$A$504,0)),"Invoice not found"))</f>
        <v/>
      </c>
    </row>
    <row r="725" customFormat="false" ht="15" hidden="false" customHeight="false" outlineLevel="0" collapsed="false">
      <c r="M725" s="16"/>
      <c r="N725" s="12"/>
      <c r="O725" s="12"/>
      <c r="P725" s="13"/>
      <c r="Q725" s="19" t="str">
        <f aca="false">IF($N725="","",IFERROR(INDEX($C$5:$C$504,MATCH($N725,$A$5:$A$504,0)),"Invoice not found"))</f>
        <v/>
      </c>
    </row>
    <row r="726" customFormat="false" ht="15" hidden="false" customHeight="false" outlineLevel="0" collapsed="false">
      <c r="M726" s="16"/>
      <c r="N726" s="12"/>
      <c r="O726" s="12"/>
      <c r="P726" s="13"/>
      <c r="Q726" s="19" t="str">
        <f aca="false">IF($N726="","",IFERROR(INDEX($C$5:$C$504,MATCH($N726,$A$5:$A$504,0)),"Invoice not found"))</f>
        <v/>
      </c>
    </row>
    <row r="727" customFormat="false" ht="15" hidden="false" customHeight="false" outlineLevel="0" collapsed="false">
      <c r="M727" s="16"/>
      <c r="N727" s="12"/>
      <c r="O727" s="12"/>
      <c r="P727" s="13"/>
      <c r="Q727" s="19" t="str">
        <f aca="false">IF($N727="","",IFERROR(INDEX($C$5:$C$504,MATCH($N727,$A$5:$A$504,0)),"Invoice not found"))</f>
        <v/>
      </c>
    </row>
    <row r="728" customFormat="false" ht="15" hidden="false" customHeight="false" outlineLevel="0" collapsed="false">
      <c r="M728" s="16"/>
      <c r="N728" s="12"/>
      <c r="O728" s="12"/>
      <c r="P728" s="13"/>
      <c r="Q728" s="19" t="str">
        <f aca="false">IF($N728="","",IFERROR(INDEX($C$5:$C$504,MATCH($N728,$A$5:$A$504,0)),"Invoice not found"))</f>
        <v/>
      </c>
    </row>
    <row r="729" customFormat="false" ht="15" hidden="false" customHeight="false" outlineLevel="0" collapsed="false">
      <c r="M729" s="16"/>
      <c r="N729" s="12"/>
      <c r="O729" s="12"/>
      <c r="P729" s="13"/>
      <c r="Q729" s="19" t="str">
        <f aca="false">IF($N729="","",IFERROR(INDEX($C$5:$C$504,MATCH($N729,$A$5:$A$504,0)),"Invoice not found"))</f>
        <v/>
      </c>
    </row>
    <row r="730" customFormat="false" ht="15" hidden="false" customHeight="false" outlineLevel="0" collapsed="false">
      <c r="M730" s="16"/>
      <c r="N730" s="12"/>
      <c r="O730" s="12"/>
      <c r="P730" s="13"/>
      <c r="Q730" s="19" t="str">
        <f aca="false">IF($N730="","",IFERROR(INDEX($C$5:$C$504,MATCH($N730,$A$5:$A$504,0)),"Invoice not found"))</f>
        <v/>
      </c>
    </row>
    <row r="731" customFormat="false" ht="15" hidden="false" customHeight="false" outlineLevel="0" collapsed="false">
      <c r="M731" s="16"/>
      <c r="N731" s="12"/>
      <c r="O731" s="12"/>
      <c r="P731" s="13"/>
      <c r="Q731" s="19" t="str">
        <f aca="false">IF($N731="","",IFERROR(INDEX($C$5:$C$504,MATCH($N731,$A$5:$A$504,0)),"Invoice not found"))</f>
        <v/>
      </c>
    </row>
    <row r="732" customFormat="false" ht="15" hidden="false" customHeight="false" outlineLevel="0" collapsed="false">
      <c r="M732" s="16"/>
      <c r="N732" s="12"/>
      <c r="O732" s="12"/>
      <c r="P732" s="13"/>
      <c r="Q732" s="19" t="str">
        <f aca="false">IF($N732="","",IFERROR(INDEX($C$5:$C$504,MATCH($N732,$A$5:$A$504,0)),"Invoice not found"))</f>
        <v/>
      </c>
    </row>
    <row r="733" customFormat="false" ht="15" hidden="false" customHeight="false" outlineLevel="0" collapsed="false">
      <c r="M733" s="16"/>
      <c r="N733" s="12"/>
      <c r="O733" s="12"/>
      <c r="P733" s="13"/>
      <c r="Q733" s="19" t="str">
        <f aca="false">IF($N733="","",IFERROR(INDEX($C$5:$C$504,MATCH($N733,$A$5:$A$504,0)),"Invoice not found"))</f>
        <v/>
      </c>
    </row>
    <row r="734" customFormat="false" ht="15" hidden="false" customHeight="false" outlineLevel="0" collapsed="false">
      <c r="M734" s="16"/>
      <c r="N734" s="12"/>
      <c r="O734" s="12"/>
      <c r="P734" s="13"/>
      <c r="Q734" s="19" t="str">
        <f aca="false">IF($N734="","",IFERROR(INDEX($C$5:$C$504,MATCH($N734,$A$5:$A$504,0)),"Invoice not found"))</f>
        <v/>
      </c>
    </row>
    <row r="735" customFormat="false" ht="15" hidden="false" customHeight="false" outlineLevel="0" collapsed="false">
      <c r="M735" s="16"/>
      <c r="N735" s="12"/>
      <c r="O735" s="12"/>
      <c r="P735" s="13"/>
      <c r="Q735" s="19" t="str">
        <f aca="false">IF($N735="","",IFERROR(INDEX($C$5:$C$504,MATCH($N735,$A$5:$A$504,0)),"Invoice not found"))</f>
        <v/>
      </c>
    </row>
    <row r="736" customFormat="false" ht="15" hidden="false" customHeight="false" outlineLevel="0" collapsed="false">
      <c r="M736" s="16"/>
      <c r="N736" s="12"/>
      <c r="O736" s="12"/>
      <c r="P736" s="13"/>
      <c r="Q736" s="19" t="str">
        <f aca="false">IF($N736="","",IFERROR(INDEX($C$5:$C$504,MATCH($N736,$A$5:$A$504,0)),"Invoice not found"))</f>
        <v/>
      </c>
    </row>
    <row r="737" customFormat="false" ht="15" hidden="false" customHeight="false" outlineLevel="0" collapsed="false">
      <c r="M737" s="16"/>
      <c r="N737" s="12"/>
      <c r="O737" s="12"/>
      <c r="P737" s="13"/>
      <c r="Q737" s="19" t="str">
        <f aca="false">IF($N737="","",IFERROR(INDEX($C$5:$C$504,MATCH($N737,$A$5:$A$504,0)),"Invoice not found"))</f>
        <v/>
      </c>
    </row>
    <row r="738" customFormat="false" ht="15" hidden="false" customHeight="false" outlineLevel="0" collapsed="false">
      <c r="M738" s="16"/>
      <c r="N738" s="12"/>
      <c r="O738" s="12"/>
      <c r="P738" s="13"/>
      <c r="Q738" s="19" t="str">
        <f aca="false">IF($N738="","",IFERROR(INDEX($C$5:$C$504,MATCH($N738,$A$5:$A$504,0)),"Invoice not found"))</f>
        <v/>
      </c>
    </row>
    <row r="739" customFormat="false" ht="15" hidden="false" customHeight="false" outlineLevel="0" collapsed="false">
      <c r="M739" s="16"/>
      <c r="N739" s="12"/>
      <c r="O739" s="12"/>
      <c r="P739" s="13"/>
      <c r="Q739" s="19" t="str">
        <f aca="false">IF($N739="","",IFERROR(INDEX($C$5:$C$504,MATCH($N739,$A$5:$A$504,0)),"Invoice not found"))</f>
        <v/>
      </c>
    </row>
    <row r="740" customFormat="false" ht="15" hidden="false" customHeight="false" outlineLevel="0" collapsed="false">
      <c r="M740" s="16"/>
      <c r="N740" s="12"/>
      <c r="O740" s="12"/>
      <c r="P740" s="13"/>
      <c r="Q740" s="19" t="str">
        <f aca="false">IF($N740="","",IFERROR(INDEX($C$5:$C$504,MATCH($N740,$A$5:$A$504,0)),"Invoice not found"))</f>
        <v/>
      </c>
    </row>
    <row r="741" customFormat="false" ht="15" hidden="false" customHeight="false" outlineLevel="0" collapsed="false">
      <c r="M741" s="16"/>
      <c r="N741" s="12"/>
      <c r="O741" s="12"/>
      <c r="P741" s="13"/>
      <c r="Q741" s="19" t="str">
        <f aca="false">IF($N741="","",IFERROR(INDEX($C$5:$C$504,MATCH($N741,$A$5:$A$504,0)),"Invoice not found"))</f>
        <v/>
      </c>
    </row>
    <row r="742" customFormat="false" ht="15" hidden="false" customHeight="false" outlineLevel="0" collapsed="false">
      <c r="M742" s="16"/>
      <c r="N742" s="12"/>
      <c r="O742" s="12"/>
      <c r="P742" s="13"/>
      <c r="Q742" s="19" t="str">
        <f aca="false">IF($N742="","",IFERROR(INDEX($C$5:$C$504,MATCH($N742,$A$5:$A$504,0)),"Invoice not found"))</f>
        <v/>
      </c>
    </row>
    <row r="743" customFormat="false" ht="15" hidden="false" customHeight="false" outlineLevel="0" collapsed="false">
      <c r="M743" s="16"/>
      <c r="N743" s="12"/>
      <c r="O743" s="12"/>
      <c r="P743" s="13"/>
      <c r="Q743" s="19" t="str">
        <f aca="false">IF($N743="","",IFERROR(INDEX($C$5:$C$504,MATCH($N743,$A$5:$A$504,0)),"Invoice not found"))</f>
        <v/>
      </c>
    </row>
    <row r="744" customFormat="false" ht="15" hidden="false" customHeight="false" outlineLevel="0" collapsed="false">
      <c r="M744" s="16"/>
      <c r="N744" s="12"/>
      <c r="O744" s="12"/>
      <c r="P744" s="13"/>
      <c r="Q744" s="19" t="str">
        <f aca="false">IF($N744="","",IFERROR(INDEX($C$5:$C$504,MATCH($N744,$A$5:$A$504,0)),"Invoice not found"))</f>
        <v/>
      </c>
    </row>
    <row r="745" customFormat="false" ht="15" hidden="false" customHeight="false" outlineLevel="0" collapsed="false">
      <c r="M745" s="16"/>
      <c r="N745" s="12"/>
      <c r="O745" s="12"/>
      <c r="P745" s="13"/>
      <c r="Q745" s="19" t="str">
        <f aca="false">IF($N745="","",IFERROR(INDEX($C$5:$C$504,MATCH($N745,$A$5:$A$504,0)),"Invoice not found"))</f>
        <v/>
      </c>
    </row>
    <row r="746" customFormat="false" ht="15" hidden="false" customHeight="false" outlineLevel="0" collapsed="false">
      <c r="M746" s="16"/>
      <c r="N746" s="12"/>
      <c r="O746" s="12"/>
      <c r="P746" s="13"/>
      <c r="Q746" s="19" t="str">
        <f aca="false">IF($N746="","",IFERROR(INDEX($C$5:$C$504,MATCH($N746,$A$5:$A$504,0)),"Invoice not found"))</f>
        <v/>
      </c>
    </row>
    <row r="747" customFormat="false" ht="15" hidden="false" customHeight="false" outlineLevel="0" collapsed="false">
      <c r="M747" s="16"/>
      <c r="N747" s="12"/>
      <c r="O747" s="12"/>
      <c r="P747" s="13"/>
      <c r="Q747" s="19" t="str">
        <f aca="false">IF($N747="","",IFERROR(INDEX($C$5:$C$504,MATCH($N747,$A$5:$A$504,0)),"Invoice not found"))</f>
        <v/>
      </c>
    </row>
    <row r="748" customFormat="false" ht="15" hidden="false" customHeight="false" outlineLevel="0" collapsed="false">
      <c r="M748" s="16"/>
      <c r="N748" s="12"/>
      <c r="O748" s="12"/>
      <c r="P748" s="13"/>
      <c r="Q748" s="19" t="str">
        <f aca="false">IF($N748="","",IFERROR(INDEX($C$5:$C$504,MATCH($N748,$A$5:$A$504,0)),"Invoice not found"))</f>
        <v/>
      </c>
    </row>
    <row r="749" customFormat="false" ht="15" hidden="false" customHeight="false" outlineLevel="0" collapsed="false">
      <c r="M749" s="16"/>
      <c r="N749" s="12"/>
      <c r="O749" s="12"/>
      <c r="P749" s="13"/>
      <c r="Q749" s="19" t="str">
        <f aca="false">IF($N749="","",IFERROR(INDEX($C$5:$C$504,MATCH($N749,$A$5:$A$504,0)),"Invoice not found"))</f>
        <v/>
      </c>
    </row>
    <row r="750" customFormat="false" ht="15" hidden="false" customHeight="false" outlineLevel="0" collapsed="false">
      <c r="M750" s="16"/>
      <c r="N750" s="12"/>
      <c r="O750" s="12"/>
      <c r="P750" s="13"/>
      <c r="Q750" s="19" t="str">
        <f aca="false">IF($N750="","",IFERROR(INDEX($C$5:$C$504,MATCH($N750,$A$5:$A$504,0)),"Invoice not found"))</f>
        <v/>
      </c>
    </row>
    <row r="751" customFormat="false" ht="15" hidden="false" customHeight="false" outlineLevel="0" collapsed="false">
      <c r="M751" s="16"/>
      <c r="N751" s="12"/>
      <c r="O751" s="12"/>
      <c r="P751" s="13"/>
      <c r="Q751" s="19" t="str">
        <f aca="false">IF($N751="","",IFERROR(INDEX($C$5:$C$504,MATCH($N751,$A$5:$A$504,0)),"Invoice not found"))</f>
        <v/>
      </c>
    </row>
    <row r="752" customFormat="false" ht="15" hidden="false" customHeight="false" outlineLevel="0" collapsed="false">
      <c r="M752" s="16"/>
      <c r="N752" s="12"/>
      <c r="O752" s="12"/>
      <c r="P752" s="13"/>
      <c r="Q752" s="19" t="str">
        <f aca="false">IF($N752="","",IFERROR(INDEX($C$5:$C$504,MATCH($N752,$A$5:$A$504,0)),"Invoice not found"))</f>
        <v/>
      </c>
    </row>
    <row r="753" customFormat="false" ht="15" hidden="false" customHeight="false" outlineLevel="0" collapsed="false">
      <c r="M753" s="16"/>
      <c r="N753" s="12"/>
      <c r="O753" s="12"/>
      <c r="P753" s="13"/>
      <c r="Q753" s="19" t="str">
        <f aca="false">IF($N753="","",IFERROR(INDEX($C$5:$C$504,MATCH($N753,$A$5:$A$504,0)),"Invoice not found"))</f>
        <v/>
      </c>
    </row>
    <row r="754" customFormat="false" ht="15" hidden="false" customHeight="false" outlineLevel="0" collapsed="false">
      <c r="M754" s="16"/>
      <c r="N754" s="12"/>
      <c r="O754" s="12"/>
      <c r="P754" s="13"/>
      <c r="Q754" s="19" t="str">
        <f aca="false">IF($N754="","",IFERROR(INDEX($C$5:$C$504,MATCH($N754,$A$5:$A$504,0)),"Invoice not found"))</f>
        <v/>
      </c>
    </row>
    <row r="755" customFormat="false" ht="15" hidden="false" customHeight="false" outlineLevel="0" collapsed="false">
      <c r="M755" s="16"/>
      <c r="N755" s="12"/>
      <c r="O755" s="12"/>
      <c r="P755" s="13"/>
      <c r="Q755" s="19" t="str">
        <f aca="false">IF($N755="","",IFERROR(INDEX($C$5:$C$504,MATCH($N755,$A$5:$A$504,0)),"Invoice not found"))</f>
        <v/>
      </c>
    </row>
    <row r="756" customFormat="false" ht="15" hidden="false" customHeight="false" outlineLevel="0" collapsed="false">
      <c r="M756" s="16"/>
      <c r="N756" s="12"/>
      <c r="O756" s="12"/>
      <c r="P756" s="13"/>
      <c r="Q756" s="19" t="str">
        <f aca="false">IF($N756="","",IFERROR(INDEX($C$5:$C$504,MATCH($N756,$A$5:$A$504,0)),"Invoice not found"))</f>
        <v/>
      </c>
    </row>
    <row r="757" customFormat="false" ht="15" hidden="false" customHeight="false" outlineLevel="0" collapsed="false">
      <c r="M757" s="16"/>
      <c r="N757" s="12"/>
      <c r="O757" s="12"/>
      <c r="P757" s="13"/>
      <c r="Q757" s="19" t="str">
        <f aca="false">IF($N757="","",IFERROR(INDEX($C$5:$C$504,MATCH($N757,$A$5:$A$504,0)),"Invoice not found"))</f>
        <v/>
      </c>
    </row>
    <row r="758" customFormat="false" ht="15" hidden="false" customHeight="false" outlineLevel="0" collapsed="false">
      <c r="M758" s="16"/>
      <c r="N758" s="12"/>
      <c r="O758" s="12"/>
      <c r="P758" s="13"/>
      <c r="Q758" s="19" t="str">
        <f aca="false">IF($N758="","",IFERROR(INDEX($C$5:$C$504,MATCH($N758,$A$5:$A$504,0)),"Invoice not found"))</f>
        <v/>
      </c>
    </row>
    <row r="759" customFormat="false" ht="15" hidden="false" customHeight="false" outlineLevel="0" collapsed="false">
      <c r="M759" s="16"/>
      <c r="N759" s="12"/>
      <c r="O759" s="12"/>
      <c r="P759" s="13"/>
      <c r="Q759" s="19" t="str">
        <f aca="false">IF($N759="","",IFERROR(INDEX($C$5:$C$504,MATCH($N759,$A$5:$A$504,0)),"Invoice not found"))</f>
        <v/>
      </c>
    </row>
    <row r="760" customFormat="false" ht="15" hidden="false" customHeight="false" outlineLevel="0" collapsed="false">
      <c r="M760" s="16"/>
      <c r="N760" s="12"/>
      <c r="O760" s="12"/>
      <c r="P760" s="13"/>
      <c r="Q760" s="19" t="str">
        <f aca="false">IF($N760="","",IFERROR(INDEX($C$5:$C$504,MATCH($N760,$A$5:$A$504,0)),"Invoice not found"))</f>
        <v/>
      </c>
    </row>
    <row r="761" customFormat="false" ht="15" hidden="false" customHeight="false" outlineLevel="0" collapsed="false">
      <c r="M761" s="16"/>
      <c r="N761" s="12"/>
      <c r="O761" s="12"/>
      <c r="P761" s="13"/>
      <c r="Q761" s="19" t="str">
        <f aca="false">IF($N761="","",IFERROR(INDEX($C$5:$C$504,MATCH($N761,$A$5:$A$504,0)),"Invoice not found"))</f>
        <v/>
      </c>
    </row>
    <row r="762" customFormat="false" ht="15" hidden="false" customHeight="false" outlineLevel="0" collapsed="false">
      <c r="M762" s="16"/>
      <c r="N762" s="12"/>
      <c r="O762" s="12"/>
      <c r="P762" s="13"/>
      <c r="Q762" s="19" t="str">
        <f aca="false">IF($N762="","",IFERROR(INDEX($C$5:$C$504,MATCH($N762,$A$5:$A$504,0)),"Invoice not found"))</f>
        <v/>
      </c>
    </row>
    <row r="763" customFormat="false" ht="15" hidden="false" customHeight="false" outlineLevel="0" collapsed="false">
      <c r="M763" s="16"/>
      <c r="N763" s="12"/>
      <c r="O763" s="12"/>
      <c r="P763" s="13"/>
      <c r="Q763" s="19" t="str">
        <f aca="false">IF($N763="","",IFERROR(INDEX($C$5:$C$504,MATCH($N763,$A$5:$A$504,0)),"Invoice not found"))</f>
        <v/>
      </c>
    </row>
    <row r="764" customFormat="false" ht="15" hidden="false" customHeight="false" outlineLevel="0" collapsed="false">
      <c r="M764" s="16"/>
      <c r="N764" s="12"/>
      <c r="O764" s="12"/>
      <c r="P764" s="13"/>
      <c r="Q764" s="19" t="str">
        <f aca="false">IF($N764="","",IFERROR(INDEX($C$5:$C$504,MATCH($N764,$A$5:$A$504,0)),"Invoice not found"))</f>
        <v/>
      </c>
    </row>
    <row r="765" customFormat="false" ht="15" hidden="false" customHeight="false" outlineLevel="0" collapsed="false">
      <c r="M765" s="16"/>
      <c r="N765" s="12"/>
      <c r="O765" s="12"/>
      <c r="P765" s="13"/>
      <c r="Q765" s="19" t="str">
        <f aca="false">IF($N765="","",IFERROR(INDEX($C$5:$C$504,MATCH($N765,$A$5:$A$504,0)),"Invoice not found"))</f>
        <v/>
      </c>
    </row>
    <row r="766" customFormat="false" ht="15" hidden="false" customHeight="false" outlineLevel="0" collapsed="false">
      <c r="M766" s="16"/>
      <c r="N766" s="12"/>
      <c r="O766" s="12"/>
      <c r="P766" s="13"/>
      <c r="Q766" s="19" t="str">
        <f aca="false">IF($N766="","",IFERROR(INDEX($C$5:$C$504,MATCH($N766,$A$5:$A$504,0)),"Invoice not found"))</f>
        <v/>
      </c>
    </row>
    <row r="767" customFormat="false" ht="15" hidden="false" customHeight="false" outlineLevel="0" collapsed="false">
      <c r="M767" s="16"/>
      <c r="N767" s="12"/>
      <c r="O767" s="12"/>
      <c r="P767" s="13"/>
      <c r="Q767" s="19" t="str">
        <f aca="false">IF($N767="","",IFERROR(INDEX($C$5:$C$504,MATCH($N767,$A$5:$A$504,0)),"Invoice not found"))</f>
        <v/>
      </c>
    </row>
    <row r="768" customFormat="false" ht="15" hidden="false" customHeight="false" outlineLevel="0" collapsed="false">
      <c r="M768" s="16"/>
      <c r="N768" s="12"/>
      <c r="O768" s="12"/>
      <c r="P768" s="13"/>
      <c r="Q768" s="19" t="str">
        <f aca="false">IF($N768="","",IFERROR(INDEX($C$5:$C$504,MATCH($N768,$A$5:$A$504,0)),"Invoice not found"))</f>
        <v/>
      </c>
    </row>
    <row r="769" customFormat="false" ht="15" hidden="false" customHeight="false" outlineLevel="0" collapsed="false">
      <c r="M769" s="16"/>
      <c r="N769" s="12"/>
      <c r="O769" s="12"/>
      <c r="P769" s="13"/>
      <c r="Q769" s="19" t="str">
        <f aca="false">IF($N769="","",IFERROR(INDEX($C$5:$C$504,MATCH($N769,$A$5:$A$504,0)),"Invoice not found"))</f>
        <v/>
      </c>
    </row>
    <row r="770" customFormat="false" ht="15" hidden="false" customHeight="false" outlineLevel="0" collapsed="false">
      <c r="M770" s="16"/>
      <c r="N770" s="12"/>
      <c r="O770" s="12"/>
      <c r="P770" s="13"/>
      <c r="Q770" s="19" t="str">
        <f aca="false">IF($N770="","",IFERROR(INDEX($C$5:$C$504,MATCH($N770,$A$5:$A$504,0)),"Invoice not found"))</f>
        <v/>
      </c>
    </row>
    <row r="771" customFormat="false" ht="15" hidden="false" customHeight="false" outlineLevel="0" collapsed="false">
      <c r="M771" s="16"/>
      <c r="N771" s="12"/>
      <c r="O771" s="12"/>
      <c r="P771" s="13"/>
      <c r="Q771" s="19" t="str">
        <f aca="false">IF($N771="","",IFERROR(INDEX($C$5:$C$504,MATCH($N771,$A$5:$A$504,0)),"Invoice not found"))</f>
        <v/>
      </c>
    </row>
    <row r="772" customFormat="false" ht="15" hidden="false" customHeight="false" outlineLevel="0" collapsed="false">
      <c r="M772" s="16"/>
      <c r="N772" s="12"/>
      <c r="O772" s="12"/>
      <c r="P772" s="13"/>
      <c r="Q772" s="19" t="str">
        <f aca="false">IF($N772="","",IFERROR(INDEX($C$5:$C$504,MATCH($N772,$A$5:$A$504,0)),"Invoice not found"))</f>
        <v/>
      </c>
    </row>
    <row r="773" customFormat="false" ht="15" hidden="false" customHeight="false" outlineLevel="0" collapsed="false">
      <c r="M773" s="16"/>
      <c r="N773" s="12"/>
      <c r="O773" s="12"/>
      <c r="P773" s="13"/>
      <c r="Q773" s="19" t="str">
        <f aca="false">IF($N773="","",IFERROR(INDEX($C$5:$C$504,MATCH($N773,$A$5:$A$504,0)),"Invoice not found"))</f>
        <v/>
      </c>
    </row>
    <row r="774" customFormat="false" ht="15" hidden="false" customHeight="false" outlineLevel="0" collapsed="false">
      <c r="M774" s="16"/>
      <c r="N774" s="12"/>
      <c r="O774" s="12"/>
      <c r="P774" s="13"/>
      <c r="Q774" s="19" t="str">
        <f aca="false">IF($N774="","",IFERROR(INDEX($C$5:$C$504,MATCH($N774,$A$5:$A$504,0)),"Invoice not found"))</f>
        <v/>
      </c>
    </row>
    <row r="775" customFormat="false" ht="15" hidden="false" customHeight="false" outlineLevel="0" collapsed="false">
      <c r="M775" s="16"/>
      <c r="N775" s="12"/>
      <c r="O775" s="12"/>
      <c r="P775" s="13"/>
      <c r="Q775" s="19" t="str">
        <f aca="false">IF($N775="","",IFERROR(INDEX($C$5:$C$504,MATCH($N775,$A$5:$A$504,0)),"Invoice not found"))</f>
        <v/>
      </c>
    </row>
    <row r="776" customFormat="false" ht="15" hidden="false" customHeight="false" outlineLevel="0" collapsed="false">
      <c r="M776" s="16"/>
      <c r="N776" s="12"/>
      <c r="O776" s="12"/>
      <c r="P776" s="13"/>
      <c r="Q776" s="19" t="str">
        <f aca="false">IF($N776="","",IFERROR(INDEX($C$5:$C$504,MATCH($N776,$A$5:$A$504,0)),"Invoice not found"))</f>
        <v/>
      </c>
    </row>
    <row r="777" customFormat="false" ht="15" hidden="false" customHeight="false" outlineLevel="0" collapsed="false">
      <c r="M777" s="16"/>
      <c r="N777" s="12"/>
      <c r="O777" s="12"/>
      <c r="P777" s="13"/>
      <c r="Q777" s="19" t="str">
        <f aca="false">IF($N777="","",IFERROR(INDEX($C$5:$C$504,MATCH($N777,$A$5:$A$504,0)),"Invoice not found"))</f>
        <v/>
      </c>
    </row>
    <row r="778" customFormat="false" ht="15" hidden="false" customHeight="false" outlineLevel="0" collapsed="false">
      <c r="M778" s="16"/>
      <c r="N778" s="12"/>
      <c r="O778" s="12"/>
      <c r="P778" s="13"/>
      <c r="Q778" s="19" t="str">
        <f aca="false">IF($N778="","",IFERROR(INDEX($C$5:$C$504,MATCH($N778,$A$5:$A$504,0)),"Invoice not found"))</f>
        <v/>
      </c>
    </row>
    <row r="779" customFormat="false" ht="15" hidden="false" customHeight="false" outlineLevel="0" collapsed="false">
      <c r="M779" s="16"/>
      <c r="N779" s="12"/>
      <c r="O779" s="12"/>
      <c r="P779" s="13"/>
      <c r="Q779" s="19" t="str">
        <f aca="false">IF($N779="","",IFERROR(INDEX($C$5:$C$504,MATCH($N779,$A$5:$A$504,0)),"Invoice not found"))</f>
        <v/>
      </c>
    </row>
    <row r="780" customFormat="false" ht="15" hidden="false" customHeight="false" outlineLevel="0" collapsed="false">
      <c r="M780" s="16"/>
      <c r="N780" s="12"/>
      <c r="O780" s="12"/>
      <c r="P780" s="13"/>
      <c r="Q780" s="19" t="str">
        <f aca="false">IF($N780="","",IFERROR(INDEX($C$5:$C$504,MATCH($N780,$A$5:$A$504,0)),"Invoice not found"))</f>
        <v/>
      </c>
    </row>
    <row r="781" customFormat="false" ht="15" hidden="false" customHeight="false" outlineLevel="0" collapsed="false">
      <c r="M781" s="16"/>
      <c r="N781" s="12"/>
      <c r="O781" s="12"/>
      <c r="P781" s="13"/>
      <c r="Q781" s="19" t="str">
        <f aca="false">IF($N781="","",IFERROR(INDEX($C$5:$C$504,MATCH($N781,$A$5:$A$504,0)),"Invoice not found"))</f>
        <v/>
      </c>
    </row>
    <row r="782" customFormat="false" ht="15" hidden="false" customHeight="false" outlineLevel="0" collapsed="false">
      <c r="M782" s="16"/>
      <c r="N782" s="12"/>
      <c r="O782" s="12"/>
      <c r="P782" s="13"/>
      <c r="Q782" s="19" t="str">
        <f aca="false">IF($N782="","",IFERROR(INDEX($C$5:$C$504,MATCH($N782,$A$5:$A$504,0)),"Invoice not found"))</f>
        <v/>
      </c>
    </row>
    <row r="783" customFormat="false" ht="15" hidden="false" customHeight="false" outlineLevel="0" collapsed="false">
      <c r="M783" s="16"/>
      <c r="N783" s="12"/>
      <c r="O783" s="12"/>
      <c r="P783" s="13"/>
      <c r="Q783" s="19" t="str">
        <f aca="false">IF($N783="","",IFERROR(INDEX($C$5:$C$504,MATCH($N783,$A$5:$A$504,0)),"Invoice not found"))</f>
        <v/>
      </c>
    </row>
    <row r="784" customFormat="false" ht="15" hidden="false" customHeight="false" outlineLevel="0" collapsed="false">
      <c r="M784" s="16"/>
      <c r="N784" s="12"/>
      <c r="O784" s="12"/>
      <c r="P784" s="13"/>
      <c r="Q784" s="19" t="str">
        <f aca="false">IF($N784="","",IFERROR(INDEX($C$5:$C$504,MATCH($N784,$A$5:$A$504,0)),"Invoice not found"))</f>
        <v/>
      </c>
    </row>
    <row r="785" customFormat="false" ht="15" hidden="false" customHeight="false" outlineLevel="0" collapsed="false">
      <c r="M785" s="16"/>
      <c r="N785" s="12"/>
      <c r="O785" s="12"/>
      <c r="P785" s="13"/>
      <c r="Q785" s="19" t="str">
        <f aca="false">IF($N785="","",IFERROR(INDEX($C$5:$C$504,MATCH($N785,$A$5:$A$504,0)),"Invoice not found"))</f>
        <v/>
      </c>
    </row>
    <row r="786" customFormat="false" ht="15" hidden="false" customHeight="false" outlineLevel="0" collapsed="false">
      <c r="M786" s="16"/>
      <c r="N786" s="12"/>
      <c r="O786" s="12"/>
      <c r="P786" s="13"/>
      <c r="Q786" s="19" t="str">
        <f aca="false">IF($N786="","",IFERROR(INDEX($C$5:$C$504,MATCH($N786,$A$5:$A$504,0)),"Invoice not found"))</f>
        <v/>
      </c>
    </row>
    <row r="787" customFormat="false" ht="15" hidden="false" customHeight="false" outlineLevel="0" collapsed="false">
      <c r="M787" s="16"/>
      <c r="N787" s="12"/>
      <c r="O787" s="12"/>
      <c r="P787" s="13"/>
      <c r="Q787" s="19" t="str">
        <f aca="false">IF($N787="","",IFERROR(INDEX($C$5:$C$504,MATCH($N787,$A$5:$A$504,0)),"Invoice not found"))</f>
        <v/>
      </c>
    </row>
    <row r="788" customFormat="false" ht="15" hidden="false" customHeight="false" outlineLevel="0" collapsed="false">
      <c r="M788" s="16"/>
      <c r="N788" s="12"/>
      <c r="O788" s="12"/>
      <c r="P788" s="13"/>
      <c r="Q788" s="19" t="str">
        <f aca="false">IF($N788="","",IFERROR(INDEX($C$5:$C$504,MATCH($N788,$A$5:$A$504,0)),"Invoice not found"))</f>
        <v/>
      </c>
    </row>
    <row r="789" customFormat="false" ht="15" hidden="false" customHeight="false" outlineLevel="0" collapsed="false">
      <c r="M789" s="16"/>
      <c r="N789" s="12"/>
      <c r="O789" s="12"/>
      <c r="P789" s="13"/>
      <c r="Q789" s="19" t="str">
        <f aca="false">IF($N789="","",IFERROR(INDEX($C$5:$C$504,MATCH($N789,$A$5:$A$504,0)),"Invoice not found"))</f>
        <v/>
      </c>
    </row>
    <row r="790" customFormat="false" ht="15" hidden="false" customHeight="false" outlineLevel="0" collapsed="false">
      <c r="M790" s="16"/>
      <c r="N790" s="12"/>
      <c r="O790" s="12"/>
      <c r="P790" s="13"/>
      <c r="Q790" s="19" t="str">
        <f aca="false">IF($N790="","",IFERROR(INDEX($C$5:$C$504,MATCH($N790,$A$5:$A$504,0)),"Invoice not found"))</f>
        <v/>
      </c>
    </row>
    <row r="791" customFormat="false" ht="15" hidden="false" customHeight="false" outlineLevel="0" collapsed="false">
      <c r="M791" s="16"/>
      <c r="N791" s="12"/>
      <c r="O791" s="12"/>
      <c r="P791" s="13"/>
      <c r="Q791" s="19" t="str">
        <f aca="false">IF($N791="","",IFERROR(INDEX($C$5:$C$504,MATCH($N791,$A$5:$A$504,0)),"Invoice not found"))</f>
        <v/>
      </c>
    </row>
    <row r="792" customFormat="false" ht="15" hidden="false" customHeight="false" outlineLevel="0" collapsed="false">
      <c r="M792" s="16"/>
      <c r="N792" s="12"/>
      <c r="O792" s="12"/>
      <c r="P792" s="13"/>
      <c r="Q792" s="19" t="str">
        <f aca="false">IF($N792="","",IFERROR(INDEX($C$5:$C$504,MATCH($N792,$A$5:$A$504,0)),"Invoice not found"))</f>
        <v/>
      </c>
    </row>
    <row r="793" customFormat="false" ht="15" hidden="false" customHeight="false" outlineLevel="0" collapsed="false">
      <c r="M793" s="16"/>
      <c r="N793" s="12"/>
      <c r="O793" s="12"/>
      <c r="P793" s="13"/>
      <c r="Q793" s="19" t="str">
        <f aca="false">IF($N793="","",IFERROR(INDEX($C$5:$C$504,MATCH($N793,$A$5:$A$504,0)),"Invoice not found"))</f>
        <v/>
      </c>
    </row>
    <row r="794" customFormat="false" ht="15" hidden="false" customHeight="false" outlineLevel="0" collapsed="false">
      <c r="M794" s="16"/>
      <c r="N794" s="12"/>
      <c r="O794" s="12"/>
      <c r="P794" s="13"/>
      <c r="Q794" s="19" t="str">
        <f aca="false">IF($N794="","",IFERROR(INDEX($C$5:$C$504,MATCH($N794,$A$5:$A$504,0)),"Invoice not found"))</f>
        <v/>
      </c>
    </row>
    <row r="795" customFormat="false" ht="15" hidden="false" customHeight="false" outlineLevel="0" collapsed="false">
      <c r="M795" s="16"/>
      <c r="N795" s="12"/>
      <c r="O795" s="12"/>
      <c r="P795" s="13"/>
      <c r="Q795" s="19" t="str">
        <f aca="false">IF($N795="","",IFERROR(INDEX($C$5:$C$504,MATCH($N795,$A$5:$A$504,0)),"Invoice not found"))</f>
        <v/>
      </c>
    </row>
    <row r="796" customFormat="false" ht="15" hidden="false" customHeight="false" outlineLevel="0" collapsed="false">
      <c r="M796" s="16"/>
      <c r="N796" s="12"/>
      <c r="O796" s="12"/>
      <c r="P796" s="13"/>
      <c r="Q796" s="19" t="str">
        <f aca="false">IF($N796="","",IFERROR(INDEX($C$5:$C$504,MATCH($N796,$A$5:$A$504,0)),"Invoice not found"))</f>
        <v/>
      </c>
    </row>
    <row r="797" customFormat="false" ht="15" hidden="false" customHeight="false" outlineLevel="0" collapsed="false">
      <c r="M797" s="16"/>
      <c r="N797" s="12"/>
      <c r="O797" s="12"/>
      <c r="P797" s="13"/>
      <c r="Q797" s="19" t="str">
        <f aca="false">IF($N797="","",IFERROR(INDEX($C$5:$C$504,MATCH($N797,$A$5:$A$504,0)),"Invoice not found"))</f>
        <v/>
      </c>
    </row>
    <row r="798" customFormat="false" ht="15" hidden="false" customHeight="false" outlineLevel="0" collapsed="false">
      <c r="M798" s="16"/>
      <c r="N798" s="12"/>
      <c r="O798" s="12"/>
      <c r="P798" s="13"/>
      <c r="Q798" s="19" t="str">
        <f aca="false">IF($N798="","",IFERROR(INDEX($C$5:$C$504,MATCH($N798,$A$5:$A$504,0)),"Invoice not found"))</f>
        <v/>
      </c>
    </row>
    <row r="799" customFormat="false" ht="15" hidden="false" customHeight="false" outlineLevel="0" collapsed="false">
      <c r="M799" s="16"/>
      <c r="N799" s="12"/>
      <c r="O799" s="12"/>
      <c r="P799" s="13"/>
      <c r="Q799" s="19" t="str">
        <f aca="false">IF($N799="","",IFERROR(INDEX($C$5:$C$504,MATCH($N799,$A$5:$A$504,0)),"Invoice not found"))</f>
        <v/>
      </c>
    </row>
    <row r="800" customFormat="false" ht="15" hidden="false" customHeight="false" outlineLevel="0" collapsed="false">
      <c r="M800" s="16"/>
      <c r="N800" s="12"/>
      <c r="O800" s="12"/>
      <c r="P800" s="13"/>
      <c r="Q800" s="19" t="str">
        <f aca="false">IF($N800="","",IFERROR(INDEX($C$5:$C$504,MATCH($N800,$A$5:$A$504,0)),"Invoice not found"))</f>
        <v/>
      </c>
    </row>
    <row r="801" customFormat="false" ht="15" hidden="false" customHeight="false" outlineLevel="0" collapsed="false">
      <c r="M801" s="16"/>
      <c r="N801" s="12"/>
      <c r="O801" s="12"/>
      <c r="P801" s="13"/>
      <c r="Q801" s="19" t="str">
        <f aca="false">IF($N801="","",IFERROR(INDEX($C$5:$C$504,MATCH($N801,$A$5:$A$504,0)),"Invoice not found"))</f>
        <v/>
      </c>
    </row>
    <row r="802" customFormat="false" ht="15" hidden="false" customHeight="false" outlineLevel="0" collapsed="false">
      <c r="M802" s="16"/>
      <c r="N802" s="12"/>
      <c r="O802" s="12"/>
      <c r="P802" s="13"/>
      <c r="Q802" s="19" t="str">
        <f aca="false">IF($N802="","",IFERROR(INDEX($C$5:$C$504,MATCH($N802,$A$5:$A$504,0)),"Invoice not found"))</f>
        <v/>
      </c>
    </row>
    <row r="803" customFormat="false" ht="15" hidden="false" customHeight="false" outlineLevel="0" collapsed="false">
      <c r="M803" s="16"/>
      <c r="N803" s="12"/>
      <c r="O803" s="12"/>
      <c r="P803" s="13"/>
      <c r="Q803" s="19" t="str">
        <f aca="false">IF($N803="","",IFERROR(INDEX($C$5:$C$504,MATCH($N803,$A$5:$A$504,0)),"Invoice not found"))</f>
        <v/>
      </c>
    </row>
    <row r="804" customFormat="false" ht="15" hidden="false" customHeight="false" outlineLevel="0" collapsed="false">
      <c r="M804" s="16"/>
      <c r="N804" s="12"/>
      <c r="O804" s="12"/>
      <c r="P804" s="13"/>
      <c r="Q804" s="19" t="str">
        <f aca="false">IF($N804="","",IFERROR(INDEX($C$5:$C$504,MATCH($N804,$A$5:$A$504,0)),"Invoice not found"))</f>
        <v/>
      </c>
    </row>
    <row r="805" customFormat="false" ht="15" hidden="false" customHeight="false" outlineLevel="0" collapsed="false">
      <c r="M805" s="16"/>
      <c r="N805" s="12"/>
      <c r="O805" s="12"/>
      <c r="P805" s="13"/>
      <c r="Q805" s="19" t="str">
        <f aca="false">IF($N805="","",IFERROR(INDEX($C$5:$C$504,MATCH($N805,$A$5:$A$504,0)),"Invoice not found"))</f>
        <v/>
      </c>
    </row>
    <row r="806" customFormat="false" ht="15" hidden="false" customHeight="false" outlineLevel="0" collapsed="false">
      <c r="M806" s="16"/>
      <c r="N806" s="12"/>
      <c r="O806" s="12"/>
      <c r="P806" s="13"/>
      <c r="Q806" s="19" t="str">
        <f aca="false">IF($N806="","",IFERROR(INDEX($C$5:$C$504,MATCH($N806,$A$5:$A$504,0)),"Invoice not found"))</f>
        <v/>
      </c>
    </row>
    <row r="807" customFormat="false" ht="15" hidden="false" customHeight="false" outlineLevel="0" collapsed="false">
      <c r="M807" s="16"/>
      <c r="N807" s="12"/>
      <c r="O807" s="12"/>
      <c r="P807" s="13"/>
      <c r="Q807" s="19" t="str">
        <f aca="false">IF($N807="","",IFERROR(INDEX($C$5:$C$504,MATCH($N807,$A$5:$A$504,0)),"Invoice not found"))</f>
        <v/>
      </c>
    </row>
    <row r="808" customFormat="false" ht="15" hidden="false" customHeight="false" outlineLevel="0" collapsed="false">
      <c r="M808" s="16"/>
      <c r="N808" s="12"/>
      <c r="O808" s="12"/>
      <c r="P808" s="13"/>
      <c r="Q808" s="19" t="str">
        <f aca="false">IF($N808="","",IFERROR(INDEX($C$5:$C$504,MATCH($N808,$A$5:$A$504,0)),"Invoice not found"))</f>
        <v/>
      </c>
    </row>
    <row r="809" customFormat="false" ht="15" hidden="false" customHeight="false" outlineLevel="0" collapsed="false">
      <c r="M809" s="16"/>
      <c r="N809" s="12"/>
      <c r="O809" s="12"/>
      <c r="P809" s="13"/>
      <c r="Q809" s="19" t="str">
        <f aca="false">IF($N809="","",IFERROR(INDEX($C$5:$C$504,MATCH($N809,$A$5:$A$504,0)),"Invoice not found"))</f>
        <v/>
      </c>
    </row>
    <row r="810" customFormat="false" ht="15" hidden="false" customHeight="false" outlineLevel="0" collapsed="false">
      <c r="M810" s="16"/>
      <c r="N810" s="12"/>
      <c r="O810" s="12"/>
      <c r="P810" s="13"/>
      <c r="Q810" s="19" t="str">
        <f aca="false">IF($N810="","",IFERROR(INDEX($C$5:$C$504,MATCH($N810,$A$5:$A$504,0)),"Invoice not found"))</f>
        <v/>
      </c>
    </row>
    <row r="811" customFormat="false" ht="15" hidden="false" customHeight="false" outlineLevel="0" collapsed="false">
      <c r="M811" s="16"/>
      <c r="N811" s="12"/>
      <c r="O811" s="12"/>
      <c r="P811" s="13"/>
      <c r="Q811" s="19" t="str">
        <f aca="false">IF($N811="","",IFERROR(INDEX($C$5:$C$504,MATCH($N811,$A$5:$A$504,0)),"Invoice not found"))</f>
        <v/>
      </c>
    </row>
    <row r="812" customFormat="false" ht="15" hidden="false" customHeight="false" outlineLevel="0" collapsed="false">
      <c r="M812" s="16"/>
      <c r="N812" s="12"/>
      <c r="O812" s="12"/>
      <c r="P812" s="13"/>
      <c r="Q812" s="19" t="str">
        <f aca="false">IF($N812="","",IFERROR(INDEX($C$5:$C$504,MATCH($N812,$A$5:$A$504,0)),"Invoice not found"))</f>
        <v/>
      </c>
    </row>
    <row r="813" customFormat="false" ht="15" hidden="false" customHeight="false" outlineLevel="0" collapsed="false">
      <c r="M813" s="16"/>
      <c r="N813" s="12"/>
      <c r="O813" s="12"/>
      <c r="P813" s="13"/>
      <c r="Q813" s="19" t="str">
        <f aca="false">IF($N813="","",IFERROR(INDEX($C$5:$C$504,MATCH($N813,$A$5:$A$504,0)),"Invoice not found"))</f>
        <v/>
      </c>
    </row>
    <row r="814" customFormat="false" ht="15" hidden="false" customHeight="false" outlineLevel="0" collapsed="false">
      <c r="M814" s="16"/>
      <c r="N814" s="12"/>
      <c r="O814" s="12"/>
      <c r="P814" s="13"/>
      <c r="Q814" s="19" t="str">
        <f aca="false">IF($N814="","",IFERROR(INDEX($C$5:$C$504,MATCH($N814,$A$5:$A$504,0)),"Invoice not found"))</f>
        <v/>
      </c>
    </row>
    <row r="815" customFormat="false" ht="15" hidden="false" customHeight="false" outlineLevel="0" collapsed="false">
      <c r="M815" s="16"/>
      <c r="N815" s="12"/>
      <c r="O815" s="12"/>
      <c r="P815" s="13"/>
      <c r="Q815" s="19" t="str">
        <f aca="false">IF($N815="","",IFERROR(INDEX($C$5:$C$504,MATCH($N815,$A$5:$A$504,0)),"Invoice not found"))</f>
        <v/>
      </c>
    </row>
    <row r="816" customFormat="false" ht="15" hidden="false" customHeight="false" outlineLevel="0" collapsed="false">
      <c r="M816" s="16"/>
      <c r="N816" s="12"/>
      <c r="O816" s="12"/>
      <c r="P816" s="13"/>
      <c r="Q816" s="19" t="str">
        <f aca="false">IF($N816="","",IFERROR(INDEX($C$5:$C$504,MATCH($N816,$A$5:$A$504,0)),"Invoice not found"))</f>
        <v/>
      </c>
    </row>
    <row r="817" customFormat="false" ht="15" hidden="false" customHeight="false" outlineLevel="0" collapsed="false">
      <c r="M817" s="16"/>
      <c r="N817" s="12"/>
      <c r="O817" s="12"/>
      <c r="P817" s="13"/>
      <c r="Q817" s="19" t="str">
        <f aca="false">IF($N817="","",IFERROR(INDEX($C$5:$C$504,MATCH($N817,$A$5:$A$504,0)),"Invoice not found"))</f>
        <v/>
      </c>
    </row>
    <row r="818" customFormat="false" ht="15" hidden="false" customHeight="false" outlineLevel="0" collapsed="false">
      <c r="M818" s="16"/>
      <c r="N818" s="12"/>
      <c r="O818" s="12"/>
      <c r="P818" s="13"/>
      <c r="Q818" s="19" t="str">
        <f aca="false">IF($N818="","",IFERROR(INDEX($C$5:$C$504,MATCH($N818,$A$5:$A$504,0)),"Invoice not found"))</f>
        <v/>
      </c>
    </row>
    <row r="819" customFormat="false" ht="15" hidden="false" customHeight="false" outlineLevel="0" collapsed="false">
      <c r="M819" s="16"/>
      <c r="N819" s="12"/>
      <c r="O819" s="12"/>
      <c r="P819" s="13"/>
      <c r="Q819" s="19" t="str">
        <f aca="false">IF($N819="","",IFERROR(INDEX($C$5:$C$504,MATCH($N819,$A$5:$A$504,0)),"Invoice not found"))</f>
        <v/>
      </c>
    </row>
    <row r="820" customFormat="false" ht="15" hidden="false" customHeight="false" outlineLevel="0" collapsed="false">
      <c r="M820" s="16"/>
      <c r="N820" s="12"/>
      <c r="O820" s="12"/>
      <c r="P820" s="13"/>
      <c r="Q820" s="19" t="str">
        <f aca="false">IF($N820="","",IFERROR(INDEX($C$5:$C$504,MATCH($N820,$A$5:$A$504,0)),"Invoice not found"))</f>
        <v/>
      </c>
    </row>
    <row r="821" customFormat="false" ht="15" hidden="false" customHeight="false" outlineLevel="0" collapsed="false">
      <c r="M821" s="16"/>
      <c r="N821" s="12"/>
      <c r="O821" s="12"/>
      <c r="P821" s="13"/>
      <c r="Q821" s="19" t="str">
        <f aca="false">IF($N821="","",IFERROR(INDEX($C$5:$C$504,MATCH($N821,$A$5:$A$504,0)),"Invoice not found"))</f>
        <v/>
      </c>
    </row>
    <row r="822" customFormat="false" ht="15" hidden="false" customHeight="false" outlineLevel="0" collapsed="false">
      <c r="M822" s="16"/>
      <c r="N822" s="12"/>
      <c r="O822" s="12"/>
      <c r="P822" s="13"/>
      <c r="Q822" s="19" t="str">
        <f aca="false">IF($N822="","",IFERROR(INDEX($C$5:$C$504,MATCH($N822,$A$5:$A$504,0)),"Invoice not found"))</f>
        <v/>
      </c>
    </row>
    <row r="823" customFormat="false" ht="15" hidden="false" customHeight="false" outlineLevel="0" collapsed="false">
      <c r="M823" s="16"/>
      <c r="N823" s="12"/>
      <c r="O823" s="12"/>
      <c r="P823" s="13"/>
      <c r="Q823" s="19" t="str">
        <f aca="false">IF($N823="","",IFERROR(INDEX($C$5:$C$504,MATCH($N823,$A$5:$A$504,0)),"Invoice not found"))</f>
        <v/>
      </c>
    </row>
    <row r="824" customFormat="false" ht="15" hidden="false" customHeight="false" outlineLevel="0" collapsed="false">
      <c r="M824" s="16"/>
      <c r="N824" s="12"/>
      <c r="O824" s="12"/>
      <c r="P824" s="13"/>
      <c r="Q824" s="19" t="str">
        <f aca="false">IF($N824="","",IFERROR(INDEX($C$5:$C$504,MATCH($N824,$A$5:$A$504,0)),"Invoice not found"))</f>
        <v/>
      </c>
    </row>
    <row r="825" customFormat="false" ht="15" hidden="false" customHeight="false" outlineLevel="0" collapsed="false">
      <c r="M825" s="16"/>
      <c r="N825" s="12"/>
      <c r="O825" s="12"/>
      <c r="P825" s="13"/>
      <c r="Q825" s="19" t="str">
        <f aca="false">IF($N825="","",IFERROR(INDEX($C$5:$C$504,MATCH($N825,$A$5:$A$504,0)),"Invoice not found"))</f>
        <v/>
      </c>
    </row>
    <row r="826" customFormat="false" ht="15" hidden="false" customHeight="false" outlineLevel="0" collapsed="false">
      <c r="M826" s="16"/>
      <c r="N826" s="12"/>
      <c r="O826" s="12"/>
      <c r="P826" s="13"/>
      <c r="Q826" s="19" t="str">
        <f aca="false">IF($N826="","",IFERROR(INDEX($C$5:$C$504,MATCH($N826,$A$5:$A$504,0)),"Invoice not found"))</f>
        <v/>
      </c>
    </row>
    <row r="827" customFormat="false" ht="15" hidden="false" customHeight="false" outlineLevel="0" collapsed="false">
      <c r="M827" s="16"/>
      <c r="N827" s="12"/>
      <c r="O827" s="12"/>
      <c r="P827" s="13"/>
      <c r="Q827" s="19" t="str">
        <f aca="false">IF($N827="","",IFERROR(INDEX($C$5:$C$504,MATCH($N827,$A$5:$A$504,0)),"Invoice not found"))</f>
        <v/>
      </c>
    </row>
    <row r="828" customFormat="false" ht="15" hidden="false" customHeight="false" outlineLevel="0" collapsed="false">
      <c r="M828" s="16"/>
      <c r="N828" s="12"/>
      <c r="O828" s="12"/>
      <c r="P828" s="13"/>
      <c r="Q828" s="19" t="str">
        <f aca="false">IF($N828="","",IFERROR(INDEX($C$5:$C$504,MATCH($N828,$A$5:$A$504,0)),"Invoice not found"))</f>
        <v/>
      </c>
    </row>
    <row r="829" customFormat="false" ht="15" hidden="false" customHeight="false" outlineLevel="0" collapsed="false">
      <c r="M829" s="16"/>
      <c r="N829" s="12"/>
      <c r="O829" s="12"/>
      <c r="P829" s="13"/>
      <c r="Q829" s="19" t="str">
        <f aca="false">IF($N829="","",IFERROR(INDEX($C$5:$C$504,MATCH($N829,$A$5:$A$504,0)),"Invoice not found"))</f>
        <v/>
      </c>
    </row>
    <row r="830" customFormat="false" ht="15" hidden="false" customHeight="false" outlineLevel="0" collapsed="false">
      <c r="M830" s="16"/>
      <c r="N830" s="12"/>
      <c r="O830" s="12"/>
      <c r="P830" s="13"/>
      <c r="Q830" s="19" t="str">
        <f aca="false">IF($N830="","",IFERROR(INDEX($C$5:$C$504,MATCH($N830,$A$5:$A$504,0)),"Invoice not found"))</f>
        <v/>
      </c>
    </row>
    <row r="831" customFormat="false" ht="15" hidden="false" customHeight="false" outlineLevel="0" collapsed="false">
      <c r="M831" s="16"/>
      <c r="N831" s="12"/>
      <c r="O831" s="12"/>
      <c r="P831" s="13"/>
      <c r="Q831" s="19" t="str">
        <f aca="false">IF($N831="","",IFERROR(INDEX($C$5:$C$504,MATCH($N831,$A$5:$A$504,0)),"Invoice not found"))</f>
        <v/>
      </c>
    </row>
    <row r="832" customFormat="false" ht="15" hidden="false" customHeight="false" outlineLevel="0" collapsed="false">
      <c r="M832" s="16"/>
      <c r="N832" s="12"/>
      <c r="O832" s="12"/>
      <c r="P832" s="13"/>
      <c r="Q832" s="19" t="str">
        <f aca="false">IF($N832="","",IFERROR(INDEX($C$5:$C$504,MATCH($N832,$A$5:$A$504,0)),"Invoice not found"))</f>
        <v/>
      </c>
    </row>
    <row r="833" customFormat="false" ht="15" hidden="false" customHeight="false" outlineLevel="0" collapsed="false">
      <c r="M833" s="16"/>
      <c r="N833" s="12"/>
      <c r="O833" s="12"/>
      <c r="P833" s="13"/>
      <c r="Q833" s="19" t="str">
        <f aca="false">IF($N833="","",IFERROR(INDEX($C$5:$C$504,MATCH($N833,$A$5:$A$504,0)),"Invoice not found"))</f>
        <v/>
      </c>
    </row>
    <row r="834" customFormat="false" ht="15" hidden="false" customHeight="false" outlineLevel="0" collapsed="false">
      <c r="M834" s="16"/>
      <c r="N834" s="12"/>
      <c r="O834" s="12"/>
      <c r="P834" s="13"/>
      <c r="Q834" s="19" t="str">
        <f aca="false">IF($N834="","",IFERROR(INDEX($C$5:$C$504,MATCH($N834,$A$5:$A$504,0)),"Invoice not found"))</f>
        <v/>
      </c>
    </row>
    <row r="835" customFormat="false" ht="15" hidden="false" customHeight="false" outlineLevel="0" collapsed="false">
      <c r="M835" s="16"/>
      <c r="N835" s="12"/>
      <c r="O835" s="12"/>
      <c r="P835" s="13"/>
      <c r="Q835" s="19" t="str">
        <f aca="false">IF($N835="","",IFERROR(INDEX($C$5:$C$504,MATCH($N835,$A$5:$A$504,0)),"Invoice not found"))</f>
        <v/>
      </c>
    </row>
    <row r="836" customFormat="false" ht="15" hidden="false" customHeight="false" outlineLevel="0" collapsed="false">
      <c r="M836" s="16"/>
      <c r="N836" s="12"/>
      <c r="O836" s="12"/>
      <c r="P836" s="13"/>
      <c r="Q836" s="19" t="str">
        <f aca="false">IF($N836="","",IFERROR(INDEX($C$5:$C$504,MATCH($N836,$A$5:$A$504,0)),"Invoice not found"))</f>
        <v/>
      </c>
    </row>
    <row r="837" customFormat="false" ht="15" hidden="false" customHeight="false" outlineLevel="0" collapsed="false">
      <c r="M837" s="16"/>
      <c r="N837" s="12"/>
      <c r="O837" s="12"/>
      <c r="P837" s="13"/>
      <c r="Q837" s="19" t="str">
        <f aca="false">IF($N837="","",IFERROR(INDEX($C$5:$C$504,MATCH($N837,$A$5:$A$504,0)),"Invoice not found"))</f>
        <v/>
      </c>
    </row>
    <row r="838" customFormat="false" ht="15" hidden="false" customHeight="false" outlineLevel="0" collapsed="false">
      <c r="M838" s="16"/>
      <c r="N838" s="12"/>
      <c r="O838" s="12"/>
      <c r="P838" s="13"/>
      <c r="Q838" s="19" t="str">
        <f aca="false">IF($N838="","",IFERROR(INDEX($C$5:$C$504,MATCH($N838,$A$5:$A$504,0)),"Invoice not found"))</f>
        <v/>
      </c>
    </row>
    <row r="839" customFormat="false" ht="15" hidden="false" customHeight="false" outlineLevel="0" collapsed="false">
      <c r="M839" s="16"/>
      <c r="N839" s="12"/>
      <c r="O839" s="12"/>
      <c r="P839" s="13"/>
      <c r="Q839" s="19" t="str">
        <f aca="false">IF($N839="","",IFERROR(INDEX($C$5:$C$504,MATCH($N839,$A$5:$A$504,0)),"Invoice not found"))</f>
        <v/>
      </c>
    </row>
    <row r="840" customFormat="false" ht="15" hidden="false" customHeight="false" outlineLevel="0" collapsed="false">
      <c r="M840" s="16"/>
      <c r="N840" s="12"/>
      <c r="O840" s="12"/>
      <c r="P840" s="13"/>
      <c r="Q840" s="19" t="str">
        <f aca="false">IF($N840="","",IFERROR(INDEX($C$5:$C$504,MATCH($N840,$A$5:$A$504,0)),"Invoice not found"))</f>
        <v/>
      </c>
    </row>
    <row r="841" customFormat="false" ht="15" hidden="false" customHeight="false" outlineLevel="0" collapsed="false">
      <c r="M841" s="16"/>
      <c r="N841" s="12"/>
      <c r="O841" s="12"/>
      <c r="P841" s="13"/>
      <c r="Q841" s="19" t="str">
        <f aca="false">IF($N841="","",IFERROR(INDEX($C$5:$C$504,MATCH($N841,$A$5:$A$504,0)),"Invoice not found"))</f>
        <v/>
      </c>
    </row>
    <row r="842" customFormat="false" ht="15" hidden="false" customHeight="false" outlineLevel="0" collapsed="false">
      <c r="M842" s="16"/>
      <c r="N842" s="12"/>
      <c r="O842" s="12"/>
      <c r="P842" s="13"/>
      <c r="Q842" s="19" t="str">
        <f aca="false">IF($N842="","",IFERROR(INDEX($C$5:$C$504,MATCH($N842,$A$5:$A$504,0)),"Invoice not found"))</f>
        <v/>
      </c>
    </row>
    <row r="843" customFormat="false" ht="15" hidden="false" customHeight="false" outlineLevel="0" collapsed="false">
      <c r="M843" s="16"/>
      <c r="N843" s="12"/>
      <c r="O843" s="12"/>
      <c r="P843" s="13"/>
      <c r="Q843" s="19" t="str">
        <f aca="false">IF($N843="","",IFERROR(INDEX($C$5:$C$504,MATCH($N843,$A$5:$A$504,0)),"Invoice not found"))</f>
        <v/>
      </c>
    </row>
    <row r="844" customFormat="false" ht="15" hidden="false" customHeight="false" outlineLevel="0" collapsed="false">
      <c r="M844" s="16"/>
      <c r="N844" s="12"/>
      <c r="O844" s="12"/>
      <c r="P844" s="13"/>
      <c r="Q844" s="19" t="str">
        <f aca="false">IF($N844="","",IFERROR(INDEX($C$5:$C$504,MATCH($N844,$A$5:$A$504,0)),"Invoice not found"))</f>
        <v/>
      </c>
    </row>
    <row r="845" customFormat="false" ht="15" hidden="false" customHeight="false" outlineLevel="0" collapsed="false">
      <c r="M845" s="16"/>
      <c r="N845" s="12"/>
      <c r="O845" s="12"/>
      <c r="P845" s="13"/>
      <c r="Q845" s="19" t="str">
        <f aca="false">IF($N845="","",IFERROR(INDEX($C$5:$C$504,MATCH($N845,$A$5:$A$504,0)),"Invoice not found"))</f>
        <v/>
      </c>
    </row>
    <row r="846" customFormat="false" ht="15" hidden="false" customHeight="false" outlineLevel="0" collapsed="false">
      <c r="M846" s="16"/>
      <c r="N846" s="12"/>
      <c r="O846" s="12"/>
      <c r="P846" s="13"/>
      <c r="Q846" s="19" t="str">
        <f aca="false">IF($N846="","",IFERROR(INDEX($C$5:$C$504,MATCH($N846,$A$5:$A$504,0)),"Invoice not found"))</f>
        <v/>
      </c>
    </row>
    <row r="847" customFormat="false" ht="15" hidden="false" customHeight="false" outlineLevel="0" collapsed="false">
      <c r="M847" s="16"/>
      <c r="N847" s="12"/>
      <c r="O847" s="12"/>
      <c r="P847" s="13"/>
      <c r="Q847" s="19" t="str">
        <f aca="false">IF($N847="","",IFERROR(INDEX($C$5:$C$504,MATCH($N847,$A$5:$A$504,0)),"Invoice not found"))</f>
        <v/>
      </c>
    </row>
    <row r="848" customFormat="false" ht="15" hidden="false" customHeight="false" outlineLevel="0" collapsed="false">
      <c r="M848" s="16"/>
      <c r="N848" s="12"/>
      <c r="O848" s="12"/>
      <c r="P848" s="13"/>
      <c r="Q848" s="19" t="str">
        <f aca="false">IF($N848="","",IFERROR(INDEX($C$5:$C$504,MATCH($N848,$A$5:$A$504,0)),"Invoice not found"))</f>
        <v/>
      </c>
    </row>
    <row r="849" customFormat="false" ht="15" hidden="false" customHeight="false" outlineLevel="0" collapsed="false">
      <c r="M849" s="16"/>
      <c r="N849" s="12"/>
      <c r="O849" s="12"/>
      <c r="P849" s="13"/>
      <c r="Q849" s="19" t="str">
        <f aca="false">IF($N849="","",IFERROR(INDEX($C$5:$C$504,MATCH($N849,$A$5:$A$504,0)),"Invoice not found"))</f>
        <v/>
      </c>
    </row>
    <row r="850" customFormat="false" ht="15" hidden="false" customHeight="false" outlineLevel="0" collapsed="false">
      <c r="M850" s="16"/>
      <c r="N850" s="12"/>
      <c r="O850" s="12"/>
      <c r="P850" s="13"/>
      <c r="Q850" s="19" t="str">
        <f aca="false">IF($N850="","",IFERROR(INDEX($C$5:$C$504,MATCH($N850,$A$5:$A$504,0)),"Invoice not found"))</f>
        <v/>
      </c>
    </row>
    <row r="851" customFormat="false" ht="15" hidden="false" customHeight="false" outlineLevel="0" collapsed="false">
      <c r="M851" s="16"/>
      <c r="N851" s="12"/>
      <c r="O851" s="12"/>
      <c r="P851" s="13"/>
      <c r="Q851" s="19" t="str">
        <f aca="false">IF($N851="","",IFERROR(INDEX($C$5:$C$504,MATCH($N851,$A$5:$A$504,0)),"Invoice not found"))</f>
        <v/>
      </c>
    </row>
    <row r="852" customFormat="false" ht="15" hidden="false" customHeight="false" outlineLevel="0" collapsed="false">
      <c r="M852" s="16"/>
      <c r="N852" s="12"/>
      <c r="O852" s="12"/>
      <c r="P852" s="13"/>
      <c r="Q852" s="19" t="str">
        <f aca="false">IF($N852="","",IFERROR(INDEX($C$5:$C$504,MATCH($N852,$A$5:$A$504,0)),"Invoice not found"))</f>
        <v/>
      </c>
    </row>
    <row r="853" customFormat="false" ht="15" hidden="false" customHeight="false" outlineLevel="0" collapsed="false">
      <c r="M853" s="16"/>
      <c r="N853" s="12"/>
      <c r="O853" s="12"/>
      <c r="P853" s="13"/>
      <c r="Q853" s="19" t="str">
        <f aca="false">IF($N853="","",IFERROR(INDEX($C$5:$C$504,MATCH($N853,$A$5:$A$504,0)),"Invoice not found"))</f>
        <v/>
      </c>
    </row>
    <row r="854" customFormat="false" ht="15" hidden="false" customHeight="false" outlineLevel="0" collapsed="false">
      <c r="M854" s="16"/>
      <c r="N854" s="12"/>
      <c r="O854" s="12"/>
      <c r="P854" s="13"/>
      <c r="Q854" s="19" t="str">
        <f aca="false">IF($N854="","",IFERROR(INDEX($C$5:$C$504,MATCH($N854,$A$5:$A$504,0)),"Invoice not found"))</f>
        <v/>
      </c>
    </row>
    <row r="855" customFormat="false" ht="15" hidden="false" customHeight="false" outlineLevel="0" collapsed="false">
      <c r="M855" s="16"/>
      <c r="N855" s="12"/>
      <c r="O855" s="12"/>
      <c r="P855" s="13"/>
      <c r="Q855" s="19" t="str">
        <f aca="false">IF($N855="","",IFERROR(INDEX($C$5:$C$504,MATCH($N855,$A$5:$A$504,0)),"Invoice not found"))</f>
        <v/>
      </c>
    </row>
    <row r="856" customFormat="false" ht="15" hidden="false" customHeight="false" outlineLevel="0" collapsed="false">
      <c r="M856" s="16"/>
      <c r="N856" s="12"/>
      <c r="O856" s="12"/>
      <c r="P856" s="13"/>
      <c r="Q856" s="19" t="str">
        <f aca="false">IF($N856="","",IFERROR(INDEX($C$5:$C$504,MATCH($N856,$A$5:$A$504,0)),"Invoice not found"))</f>
        <v/>
      </c>
    </row>
    <row r="857" customFormat="false" ht="15" hidden="false" customHeight="false" outlineLevel="0" collapsed="false">
      <c r="M857" s="16"/>
      <c r="N857" s="12"/>
      <c r="O857" s="12"/>
      <c r="P857" s="13"/>
      <c r="Q857" s="19" t="str">
        <f aca="false">IF($N857="","",IFERROR(INDEX($C$5:$C$504,MATCH($N857,$A$5:$A$504,0)),"Invoice not found"))</f>
        <v/>
      </c>
    </row>
    <row r="858" customFormat="false" ht="15" hidden="false" customHeight="false" outlineLevel="0" collapsed="false">
      <c r="M858" s="16"/>
      <c r="N858" s="12"/>
      <c r="O858" s="12"/>
      <c r="P858" s="13"/>
      <c r="Q858" s="19" t="str">
        <f aca="false">IF($N858="","",IFERROR(INDEX($C$5:$C$504,MATCH($N858,$A$5:$A$504,0)),"Invoice not found"))</f>
        <v/>
      </c>
    </row>
    <row r="859" customFormat="false" ht="15" hidden="false" customHeight="false" outlineLevel="0" collapsed="false">
      <c r="M859" s="16"/>
      <c r="N859" s="12"/>
      <c r="O859" s="12"/>
      <c r="P859" s="13"/>
      <c r="Q859" s="19" t="str">
        <f aca="false">IF($N859="","",IFERROR(INDEX($C$5:$C$504,MATCH($N859,$A$5:$A$504,0)),"Invoice not found"))</f>
        <v/>
      </c>
    </row>
    <row r="860" customFormat="false" ht="15" hidden="false" customHeight="false" outlineLevel="0" collapsed="false">
      <c r="M860" s="16"/>
      <c r="N860" s="12"/>
      <c r="O860" s="12"/>
      <c r="P860" s="13"/>
      <c r="Q860" s="19" t="str">
        <f aca="false">IF($N860="","",IFERROR(INDEX($C$5:$C$504,MATCH($N860,$A$5:$A$504,0)),"Invoice not found"))</f>
        <v/>
      </c>
    </row>
    <row r="861" customFormat="false" ht="15" hidden="false" customHeight="false" outlineLevel="0" collapsed="false">
      <c r="M861" s="16"/>
      <c r="N861" s="12"/>
      <c r="O861" s="12"/>
      <c r="P861" s="13"/>
      <c r="Q861" s="19" t="str">
        <f aca="false">IF($N861="","",IFERROR(INDEX($C$5:$C$504,MATCH($N861,$A$5:$A$504,0)),"Invoice not found"))</f>
        <v/>
      </c>
    </row>
    <row r="862" customFormat="false" ht="15" hidden="false" customHeight="false" outlineLevel="0" collapsed="false">
      <c r="M862" s="16"/>
      <c r="N862" s="12"/>
      <c r="O862" s="12"/>
      <c r="P862" s="13"/>
      <c r="Q862" s="19" t="str">
        <f aca="false">IF($N862="","",IFERROR(INDEX($C$5:$C$504,MATCH($N862,$A$5:$A$504,0)),"Invoice not found"))</f>
        <v/>
      </c>
    </row>
    <row r="863" customFormat="false" ht="15" hidden="false" customHeight="false" outlineLevel="0" collapsed="false">
      <c r="M863" s="16"/>
      <c r="N863" s="12"/>
      <c r="O863" s="12"/>
      <c r="P863" s="13"/>
      <c r="Q863" s="19" t="str">
        <f aca="false">IF($N863="","",IFERROR(INDEX($C$5:$C$504,MATCH($N863,$A$5:$A$504,0)),"Invoice not found"))</f>
        <v/>
      </c>
    </row>
    <row r="864" customFormat="false" ht="15" hidden="false" customHeight="false" outlineLevel="0" collapsed="false">
      <c r="M864" s="16"/>
      <c r="N864" s="12"/>
      <c r="O864" s="12"/>
      <c r="P864" s="13"/>
      <c r="Q864" s="19" t="str">
        <f aca="false">IF($N864="","",IFERROR(INDEX($C$5:$C$504,MATCH($N864,$A$5:$A$504,0)),"Invoice not found"))</f>
        <v/>
      </c>
    </row>
    <row r="865" customFormat="false" ht="15" hidden="false" customHeight="false" outlineLevel="0" collapsed="false">
      <c r="M865" s="16"/>
      <c r="N865" s="12"/>
      <c r="O865" s="12"/>
      <c r="P865" s="13"/>
      <c r="Q865" s="19" t="str">
        <f aca="false">IF($N865="","",IFERROR(INDEX($C$5:$C$504,MATCH($N865,$A$5:$A$504,0)),"Invoice not found"))</f>
        <v/>
      </c>
    </row>
    <row r="866" customFormat="false" ht="15" hidden="false" customHeight="false" outlineLevel="0" collapsed="false">
      <c r="M866" s="16"/>
      <c r="N866" s="12"/>
      <c r="O866" s="12"/>
      <c r="P866" s="13"/>
      <c r="Q866" s="19" t="str">
        <f aca="false">IF($N866="","",IFERROR(INDEX($C$5:$C$504,MATCH($N866,$A$5:$A$504,0)),"Invoice not found"))</f>
        <v/>
      </c>
    </row>
    <row r="867" customFormat="false" ht="15" hidden="false" customHeight="false" outlineLevel="0" collapsed="false">
      <c r="M867" s="16"/>
      <c r="N867" s="12"/>
      <c r="O867" s="12"/>
      <c r="P867" s="13"/>
      <c r="Q867" s="19" t="str">
        <f aca="false">IF($N867="","",IFERROR(INDEX($C$5:$C$504,MATCH($N867,$A$5:$A$504,0)),"Invoice not found"))</f>
        <v/>
      </c>
    </row>
    <row r="868" customFormat="false" ht="15" hidden="false" customHeight="false" outlineLevel="0" collapsed="false">
      <c r="M868" s="16"/>
      <c r="N868" s="12"/>
      <c r="O868" s="12"/>
      <c r="P868" s="13"/>
      <c r="Q868" s="19" t="str">
        <f aca="false">IF($N868="","",IFERROR(INDEX($C$5:$C$504,MATCH($N868,$A$5:$A$504,0)),"Invoice not found"))</f>
        <v/>
      </c>
    </row>
    <row r="869" customFormat="false" ht="15" hidden="false" customHeight="false" outlineLevel="0" collapsed="false">
      <c r="M869" s="16"/>
      <c r="N869" s="12"/>
      <c r="O869" s="12"/>
      <c r="P869" s="13"/>
      <c r="Q869" s="19" t="str">
        <f aca="false">IF($N869="","",IFERROR(INDEX($C$5:$C$504,MATCH($N869,$A$5:$A$504,0)),"Invoice not found"))</f>
        <v/>
      </c>
    </row>
    <row r="870" customFormat="false" ht="15" hidden="false" customHeight="false" outlineLevel="0" collapsed="false">
      <c r="M870" s="16"/>
      <c r="N870" s="12"/>
      <c r="O870" s="12"/>
      <c r="P870" s="13"/>
      <c r="Q870" s="19" t="str">
        <f aca="false">IF($N870="","",IFERROR(INDEX($C$5:$C$504,MATCH($N870,$A$5:$A$504,0)),"Invoice not found"))</f>
        <v/>
      </c>
    </row>
    <row r="871" customFormat="false" ht="15" hidden="false" customHeight="false" outlineLevel="0" collapsed="false">
      <c r="M871" s="16"/>
      <c r="N871" s="12"/>
      <c r="O871" s="12"/>
      <c r="P871" s="13"/>
      <c r="Q871" s="19" t="str">
        <f aca="false">IF($N871="","",IFERROR(INDEX($C$5:$C$504,MATCH($N871,$A$5:$A$504,0)),"Invoice not found"))</f>
        <v/>
      </c>
    </row>
    <row r="872" customFormat="false" ht="15" hidden="false" customHeight="false" outlineLevel="0" collapsed="false">
      <c r="M872" s="16"/>
      <c r="N872" s="12"/>
      <c r="O872" s="12"/>
      <c r="P872" s="13"/>
      <c r="Q872" s="19" t="str">
        <f aca="false">IF($N872="","",IFERROR(INDEX($C$5:$C$504,MATCH($N872,$A$5:$A$504,0)),"Invoice not found"))</f>
        <v/>
      </c>
    </row>
    <row r="873" customFormat="false" ht="15" hidden="false" customHeight="false" outlineLevel="0" collapsed="false">
      <c r="M873" s="16"/>
      <c r="N873" s="12"/>
      <c r="O873" s="12"/>
      <c r="P873" s="13"/>
      <c r="Q873" s="19" t="str">
        <f aca="false">IF($N873="","",IFERROR(INDEX($C$5:$C$504,MATCH($N873,$A$5:$A$504,0)),"Invoice not found"))</f>
        <v/>
      </c>
    </row>
    <row r="874" customFormat="false" ht="15" hidden="false" customHeight="false" outlineLevel="0" collapsed="false">
      <c r="M874" s="16"/>
      <c r="N874" s="12"/>
      <c r="O874" s="12"/>
      <c r="P874" s="13"/>
      <c r="Q874" s="19" t="str">
        <f aca="false">IF($N874="","",IFERROR(INDEX($C$5:$C$504,MATCH($N874,$A$5:$A$504,0)),"Invoice not found"))</f>
        <v/>
      </c>
    </row>
    <row r="875" customFormat="false" ht="15" hidden="false" customHeight="false" outlineLevel="0" collapsed="false">
      <c r="M875" s="16"/>
      <c r="N875" s="12"/>
      <c r="O875" s="12"/>
      <c r="P875" s="13"/>
      <c r="Q875" s="19" t="str">
        <f aca="false">IF($N875="","",IFERROR(INDEX($C$5:$C$504,MATCH($N875,$A$5:$A$504,0)),"Invoice not found"))</f>
        <v/>
      </c>
    </row>
    <row r="876" customFormat="false" ht="15" hidden="false" customHeight="false" outlineLevel="0" collapsed="false">
      <c r="M876" s="16"/>
      <c r="N876" s="12"/>
      <c r="O876" s="12"/>
      <c r="P876" s="13"/>
      <c r="Q876" s="19" t="str">
        <f aca="false">IF($N876="","",IFERROR(INDEX($C$5:$C$504,MATCH($N876,$A$5:$A$504,0)),"Invoice not found"))</f>
        <v/>
      </c>
    </row>
    <row r="877" customFormat="false" ht="15" hidden="false" customHeight="false" outlineLevel="0" collapsed="false">
      <c r="M877" s="16"/>
      <c r="N877" s="12"/>
      <c r="O877" s="12"/>
      <c r="P877" s="13"/>
      <c r="Q877" s="19" t="str">
        <f aca="false">IF($N877="","",IFERROR(INDEX($C$5:$C$504,MATCH($N877,$A$5:$A$504,0)),"Invoice not found"))</f>
        <v/>
      </c>
    </row>
    <row r="878" customFormat="false" ht="15" hidden="false" customHeight="false" outlineLevel="0" collapsed="false">
      <c r="M878" s="16"/>
      <c r="N878" s="12"/>
      <c r="O878" s="12"/>
      <c r="P878" s="13"/>
      <c r="Q878" s="19" t="str">
        <f aca="false">IF($N878="","",IFERROR(INDEX($C$5:$C$504,MATCH($N878,$A$5:$A$504,0)),"Invoice not found"))</f>
        <v/>
      </c>
    </row>
    <row r="879" customFormat="false" ht="15" hidden="false" customHeight="false" outlineLevel="0" collapsed="false">
      <c r="M879" s="16"/>
      <c r="N879" s="12"/>
      <c r="O879" s="12"/>
      <c r="P879" s="13"/>
      <c r="Q879" s="19" t="str">
        <f aca="false">IF($N879="","",IFERROR(INDEX($C$5:$C$504,MATCH($N879,$A$5:$A$504,0)),"Invoice not found"))</f>
        <v/>
      </c>
    </row>
    <row r="880" customFormat="false" ht="15" hidden="false" customHeight="false" outlineLevel="0" collapsed="false">
      <c r="M880" s="16"/>
      <c r="N880" s="12"/>
      <c r="O880" s="12"/>
      <c r="P880" s="13"/>
      <c r="Q880" s="19" t="str">
        <f aca="false">IF($N880="","",IFERROR(INDEX($C$5:$C$504,MATCH($N880,$A$5:$A$504,0)),"Invoice not found"))</f>
        <v/>
      </c>
    </row>
    <row r="881" customFormat="false" ht="15" hidden="false" customHeight="false" outlineLevel="0" collapsed="false">
      <c r="M881" s="16"/>
      <c r="N881" s="12"/>
      <c r="O881" s="12"/>
      <c r="P881" s="13"/>
      <c r="Q881" s="19" t="str">
        <f aca="false">IF($N881="","",IFERROR(INDEX($C$5:$C$504,MATCH($N881,$A$5:$A$504,0)),"Invoice not found"))</f>
        <v/>
      </c>
    </row>
    <row r="882" customFormat="false" ht="15" hidden="false" customHeight="false" outlineLevel="0" collapsed="false">
      <c r="M882" s="16"/>
      <c r="N882" s="12"/>
      <c r="O882" s="12"/>
      <c r="P882" s="13"/>
      <c r="Q882" s="19" t="str">
        <f aca="false">IF($N882="","",IFERROR(INDEX($C$5:$C$504,MATCH($N882,$A$5:$A$504,0)),"Invoice not found"))</f>
        <v/>
      </c>
    </row>
    <row r="883" customFormat="false" ht="15" hidden="false" customHeight="false" outlineLevel="0" collapsed="false">
      <c r="M883" s="16"/>
      <c r="N883" s="12"/>
      <c r="O883" s="12"/>
      <c r="P883" s="13"/>
      <c r="Q883" s="19" t="str">
        <f aca="false">IF($N883="","",IFERROR(INDEX($C$5:$C$504,MATCH($N883,$A$5:$A$504,0)),"Invoice not found"))</f>
        <v/>
      </c>
    </row>
    <row r="884" customFormat="false" ht="15" hidden="false" customHeight="false" outlineLevel="0" collapsed="false">
      <c r="M884" s="16"/>
      <c r="N884" s="12"/>
      <c r="O884" s="12"/>
      <c r="P884" s="13"/>
      <c r="Q884" s="19" t="str">
        <f aca="false">IF($N884="","",IFERROR(INDEX($C$5:$C$504,MATCH($N884,$A$5:$A$504,0)),"Invoice not found"))</f>
        <v/>
      </c>
    </row>
    <row r="885" customFormat="false" ht="15" hidden="false" customHeight="false" outlineLevel="0" collapsed="false">
      <c r="M885" s="16"/>
      <c r="N885" s="12"/>
      <c r="O885" s="12"/>
      <c r="P885" s="13"/>
      <c r="Q885" s="19" t="str">
        <f aca="false">IF($N885="","",IFERROR(INDEX($C$5:$C$504,MATCH($N885,$A$5:$A$504,0)),"Invoice not found"))</f>
        <v/>
      </c>
    </row>
    <row r="886" customFormat="false" ht="15" hidden="false" customHeight="false" outlineLevel="0" collapsed="false">
      <c r="M886" s="16"/>
      <c r="N886" s="12"/>
      <c r="O886" s="12"/>
      <c r="P886" s="13"/>
      <c r="Q886" s="19" t="str">
        <f aca="false">IF($N886="","",IFERROR(INDEX($C$5:$C$504,MATCH($N886,$A$5:$A$504,0)),"Invoice not found"))</f>
        <v/>
      </c>
    </row>
    <row r="887" customFormat="false" ht="15" hidden="false" customHeight="false" outlineLevel="0" collapsed="false">
      <c r="M887" s="16"/>
      <c r="N887" s="12"/>
      <c r="O887" s="12"/>
      <c r="P887" s="13"/>
      <c r="Q887" s="19" t="str">
        <f aca="false">IF($N887="","",IFERROR(INDEX($C$5:$C$504,MATCH($N887,$A$5:$A$504,0)),"Invoice not found"))</f>
        <v/>
      </c>
    </row>
    <row r="888" customFormat="false" ht="15" hidden="false" customHeight="false" outlineLevel="0" collapsed="false">
      <c r="M888" s="16"/>
      <c r="N888" s="12"/>
      <c r="O888" s="12"/>
      <c r="P888" s="13"/>
      <c r="Q888" s="19" t="str">
        <f aca="false">IF($N888="","",IFERROR(INDEX($C$5:$C$504,MATCH($N888,$A$5:$A$504,0)),"Invoice not found"))</f>
        <v/>
      </c>
    </row>
    <row r="889" customFormat="false" ht="15" hidden="false" customHeight="false" outlineLevel="0" collapsed="false">
      <c r="M889" s="16"/>
      <c r="N889" s="12"/>
      <c r="O889" s="12"/>
      <c r="P889" s="13"/>
      <c r="Q889" s="19" t="str">
        <f aca="false">IF($N889="","",IFERROR(INDEX($C$5:$C$504,MATCH($N889,$A$5:$A$504,0)),"Invoice not found"))</f>
        <v/>
      </c>
    </row>
    <row r="890" customFormat="false" ht="15" hidden="false" customHeight="false" outlineLevel="0" collapsed="false">
      <c r="M890" s="16"/>
      <c r="N890" s="12"/>
      <c r="O890" s="12"/>
      <c r="P890" s="13"/>
      <c r="Q890" s="19" t="str">
        <f aca="false">IF($N890="","",IFERROR(INDEX($C$5:$C$504,MATCH($N890,$A$5:$A$504,0)),"Invoice not found"))</f>
        <v/>
      </c>
    </row>
    <row r="891" customFormat="false" ht="15" hidden="false" customHeight="false" outlineLevel="0" collapsed="false">
      <c r="M891" s="16"/>
      <c r="N891" s="12"/>
      <c r="O891" s="12"/>
      <c r="P891" s="13"/>
      <c r="Q891" s="19" t="str">
        <f aca="false">IF($N891="","",IFERROR(INDEX($C$5:$C$504,MATCH($N891,$A$5:$A$504,0)),"Invoice not found"))</f>
        <v/>
      </c>
    </row>
    <row r="892" customFormat="false" ht="15" hidden="false" customHeight="false" outlineLevel="0" collapsed="false">
      <c r="M892" s="16"/>
      <c r="N892" s="12"/>
      <c r="O892" s="12"/>
      <c r="P892" s="13"/>
      <c r="Q892" s="19" t="str">
        <f aca="false">IF($N892="","",IFERROR(INDEX($C$5:$C$504,MATCH($N892,$A$5:$A$504,0)),"Invoice not found"))</f>
        <v/>
      </c>
    </row>
    <row r="893" customFormat="false" ht="15" hidden="false" customHeight="false" outlineLevel="0" collapsed="false">
      <c r="M893" s="16"/>
      <c r="N893" s="12"/>
      <c r="O893" s="12"/>
      <c r="P893" s="13"/>
      <c r="Q893" s="19" t="str">
        <f aca="false">IF($N893="","",IFERROR(INDEX($C$5:$C$504,MATCH($N893,$A$5:$A$504,0)),"Invoice not found"))</f>
        <v/>
      </c>
    </row>
    <row r="894" customFormat="false" ht="15" hidden="false" customHeight="false" outlineLevel="0" collapsed="false">
      <c r="M894" s="16"/>
      <c r="N894" s="12"/>
      <c r="O894" s="12"/>
      <c r="P894" s="13"/>
      <c r="Q894" s="19" t="str">
        <f aca="false">IF($N894="","",IFERROR(INDEX($C$5:$C$504,MATCH($N894,$A$5:$A$504,0)),"Invoice not found"))</f>
        <v/>
      </c>
    </row>
    <row r="895" customFormat="false" ht="15" hidden="false" customHeight="false" outlineLevel="0" collapsed="false">
      <c r="M895" s="16"/>
      <c r="N895" s="12"/>
      <c r="O895" s="12"/>
      <c r="P895" s="13"/>
      <c r="Q895" s="19" t="str">
        <f aca="false">IF($N895="","",IFERROR(INDEX($C$5:$C$504,MATCH($N895,$A$5:$A$504,0)),"Invoice not found"))</f>
        <v/>
      </c>
    </row>
    <row r="896" customFormat="false" ht="15" hidden="false" customHeight="false" outlineLevel="0" collapsed="false">
      <c r="M896" s="16"/>
      <c r="N896" s="12"/>
      <c r="O896" s="12"/>
      <c r="P896" s="13"/>
      <c r="Q896" s="19" t="str">
        <f aca="false">IF($N896="","",IFERROR(INDEX($C$5:$C$504,MATCH($N896,$A$5:$A$504,0)),"Invoice not found"))</f>
        <v/>
      </c>
    </row>
    <row r="897" customFormat="false" ht="15" hidden="false" customHeight="false" outlineLevel="0" collapsed="false">
      <c r="M897" s="16"/>
      <c r="N897" s="12"/>
      <c r="O897" s="12"/>
      <c r="P897" s="13"/>
      <c r="Q897" s="19" t="str">
        <f aca="false">IF($N897="","",IFERROR(INDEX($C$5:$C$504,MATCH($N897,$A$5:$A$504,0)),"Invoice not found"))</f>
        <v/>
      </c>
    </row>
    <row r="898" customFormat="false" ht="15" hidden="false" customHeight="false" outlineLevel="0" collapsed="false">
      <c r="M898" s="16"/>
      <c r="N898" s="12"/>
      <c r="O898" s="12"/>
      <c r="P898" s="13"/>
      <c r="Q898" s="19" t="str">
        <f aca="false">IF($N898="","",IFERROR(INDEX($C$5:$C$504,MATCH($N898,$A$5:$A$504,0)),"Invoice not found"))</f>
        <v/>
      </c>
    </row>
    <row r="899" customFormat="false" ht="15" hidden="false" customHeight="false" outlineLevel="0" collapsed="false">
      <c r="M899" s="16"/>
      <c r="N899" s="12"/>
      <c r="O899" s="12"/>
      <c r="P899" s="13"/>
      <c r="Q899" s="19" t="str">
        <f aca="false">IF($N899="","",IFERROR(INDEX($C$5:$C$504,MATCH($N899,$A$5:$A$504,0)),"Invoice not found"))</f>
        <v/>
      </c>
    </row>
    <row r="900" customFormat="false" ht="15" hidden="false" customHeight="false" outlineLevel="0" collapsed="false">
      <c r="M900" s="16"/>
      <c r="N900" s="12"/>
      <c r="O900" s="12"/>
      <c r="P900" s="13"/>
      <c r="Q900" s="19" t="str">
        <f aca="false">IF($N900="","",IFERROR(INDEX($C$5:$C$504,MATCH($N900,$A$5:$A$504,0)),"Invoice not found"))</f>
        <v/>
      </c>
    </row>
    <row r="901" customFormat="false" ht="15" hidden="false" customHeight="false" outlineLevel="0" collapsed="false">
      <c r="M901" s="16"/>
      <c r="N901" s="12"/>
      <c r="O901" s="12"/>
      <c r="P901" s="13"/>
      <c r="Q901" s="19" t="str">
        <f aca="false">IF($N901="","",IFERROR(INDEX($C$5:$C$504,MATCH($N901,$A$5:$A$504,0)),"Invoice not found"))</f>
        <v/>
      </c>
    </row>
    <row r="902" customFormat="false" ht="15" hidden="false" customHeight="false" outlineLevel="0" collapsed="false">
      <c r="M902" s="16"/>
      <c r="N902" s="12"/>
      <c r="O902" s="12"/>
      <c r="P902" s="13"/>
      <c r="Q902" s="19" t="str">
        <f aca="false">IF($N902="","",IFERROR(INDEX($C$5:$C$504,MATCH($N902,$A$5:$A$504,0)),"Invoice not found"))</f>
        <v/>
      </c>
    </row>
    <row r="903" customFormat="false" ht="15" hidden="false" customHeight="false" outlineLevel="0" collapsed="false">
      <c r="M903" s="16"/>
      <c r="N903" s="12"/>
      <c r="O903" s="12"/>
      <c r="P903" s="13"/>
      <c r="Q903" s="19" t="str">
        <f aca="false">IF($N903="","",IFERROR(INDEX($C$5:$C$504,MATCH($N903,$A$5:$A$504,0)),"Invoice not found"))</f>
        <v/>
      </c>
    </row>
    <row r="904" customFormat="false" ht="15" hidden="false" customHeight="false" outlineLevel="0" collapsed="false">
      <c r="M904" s="16"/>
      <c r="N904" s="12"/>
      <c r="O904" s="12"/>
      <c r="P904" s="13"/>
      <c r="Q904" s="19" t="str">
        <f aca="false">IF($N904="","",IFERROR(INDEX($C$5:$C$504,MATCH($N904,$A$5:$A$504,0)),"Invoice not found"))</f>
        <v/>
      </c>
    </row>
    <row r="905" customFormat="false" ht="15" hidden="false" customHeight="false" outlineLevel="0" collapsed="false">
      <c r="M905" s="16"/>
      <c r="N905" s="12"/>
      <c r="O905" s="12"/>
      <c r="P905" s="13"/>
      <c r="Q905" s="19" t="str">
        <f aca="false">IF($N905="","",IFERROR(INDEX($C$5:$C$504,MATCH($N905,$A$5:$A$504,0)),"Invoice not found"))</f>
        <v/>
      </c>
    </row>
    <row r="906" customFormat="false" ht="15" hidden="false" customHeight="false" outlineLevel="0" collapsed="false">
      <c r="M906" s="16"/>
      <c r="N906" s="12"/>
      <c r="O906" s="12"/>
      <c r="P906" s="13"/>
      <c r="Q906" s="19" t="str">
        <f aca="false">IF($N906="","",IFERROR(INDEX($C$5:$C$504,MATCH($N906,$A$5:$A$504,0)),"Invoice not found"))</f>
        <v/>
      </c>
    </row>
    <row r="907" customFormat="false" ht="15" hidden="false" customHeight="false" outlineLevel="0" collapsed="false">
      <c r="M907" s="16"/>
      <c r="N907" s="12"/>
      <c r="O907" s="12"/>
      <c r="P907" s="13"/>
      <c r="Q907" s="19" t="str">
        <f aca="false">IF($N907="","",IFERROR(INDEX($C$5:$C$504,MATCH($N907,$A$5:$A$504,0)),"Invoice not found"))</f>
        <v/>
      </c>
    </row>
    <row r="908" customFormat="false" ht="15" hidden="false" customHeight="false" outlineLevel="0" collapsed="false">
      <c r="M908" s="16"/>
      <c r="N908" s="12"/>
      <c r="O908" s="12"/>
      <c r="P908" s="13"/>
      <c r="Q908" s="19" t="str">
        <f aca="false">IF($N908="","",IFERROR(INDEX($C$5:$C$504,MATCH($N908,$A$5:$A$504,0)),"Invoice not found"))</f>
        <v/>
      </c>
    </row>
    <row r="909" customFormat="false" ht="15" hidden="false" customHeight="false" outlineLevel="0" collapsed="false">
      <c r="M909" s="16"/>
      <c r="N909" s="12"/>
      <c r="O909" s="12"/>
      <c r="P909" s="13"/>
      <c r="Q909" s="19" t="str">
        <f aca="false">IF($N909="","",IFERROR(INDEX($C$5:$C$504,MATCH($N909,$A$5:$A$504,0)),"Invoice not found"))</f>
        <v/>
      </c>
    </row>
    <row r="910" customFormat="false" ht="15" hidden="false" customHeight="false" outlineLevel="0" collapsed="false">
      <c r="M910" s="16"/>
      <c r="N910" s="12"/>
      <c r="O910" s="12"/>
      <c r="P910" s="13"/>
      <c r="Q910" s="19" t="str">
        <f aca="false">IF($N910="","",IFERROR(INDEX($C$5:$C$504,MATCH($N910,$A$5:$A$504,0)),"Invoice not found"))</f>
        <v/>
      </c>
    </row>
    <row r="911" customFormat="false" ht="15" hidden="false" customHeight="false" outlineLevel="0" collapsed="false">
      <c r="M911" s="16"/>
      <c r="N911" s="12"/>
      <c r="O911" s="12"/>
      <c r="P911" s="13"/>
      <c r="Q911" s="19" t="str">
        <f aca="false">IF($N911="","",IFERROR(INDEX($C$5:$C$504,MATCH($N911,$A$5:$A$504,0)),"Invoice not found"))</f>
        <v/>
      </c>
    </row>
    <row r="912" customFormat="false" ht="15" hidden="false" customHeight="false" outlineLevel="0" collapsed="false">
      <c r="M912" s="16"/>
      <c r="N912" s="12"/>
      <c r="O912" s="12"/>
      <c r="P912" s="13"/>
      <c r="Q912" s="19" t="str">
        <f aca="false">IF($N912="","",IFERROR(INDEX($C$5:$C$504,MATCH($N912,$A$5:$A$504,0)),"Invoice not found"))</f>
        <v/>
      </c>
    </row>
    <row r="913" customFormat="false" ht="15" hidden="false" customHeight="false" outlineLevel="0" collapsed="false">
      <c r="M913" s="16"/>
      <c r="N913" s="12"/>
      <c r="O913" s="12"/>
      <c r="P913" s="13"/>
      <c r="Q913" s="19" t="str">
        <f aca="false">IF($N913="","",IFERROR(INDEX($C$5:$C$504,MATCH($N913,$A$5:$A$504,0)),"Invoice not found"))</f>
        <v/>
      </c>
    </row>
    <row r="914" customFormat="false" ht="15" hidden="false" customHeight="false" outlineLevel="0" collapsed="false">
      <c r="M914" s="16"/>
      <c r="N914" s="12"/>
      <c r="O914" s="12"/>
      <c r="P914" s="13"/>
      <c r="Q914" s="19" t="str">
        <f aca="false">IF($N914="","",IFERROR(INDEX($C$5:$C$504,MATCH($N914,$A$5:$A$504,0)),"Invoice not found"))</f>
        <v/>
      </c>
    </row>
    <row r="915" customFormat="false" ht="15" hidden="false" customHeight="false" outlineLevel="0" collapsed="false">
      <c r="M915" s="16"/>
      <c r="N915" s="12"/>
      <c r="O915" s="12"/>
      <c r="P915" s="13"/>
      <c r="Q915" s="19" t="str">
        <f aca="false">IF($N915="","",IFERROR(INDEX($C$5:$C$504,MATCH($N915,$A$5:$A$504,0)),"Invoice not found"))</f>
        <v/>
      </c>
    </row>
    <row r="916" customFormat="false" ht="15" hidden="false" customHeight="false" outlineLevel="0" collapsed="false">
      <c r="M916" s="16"/>
      <c r="N916" s="12"/>
      <c r="O916" s="12"/>
      <c r="P916" s="13"/>
      <c r="Q916" s="19" t="str">
        <f aca="false">IF($N916="","",IFERROR(INDEX($C$5:$C$504,MATCH($N916,$A$5:$A$504,0)),"Invoice not found"))</f>
        <v/>
      </c>
    </row>
    <row r="917" customFormat="false" ht="15" hidden="false" customHeight="false" outlineLevel="0" collapsed="false">
      <c r="M917" s="16"/>
      <c r="N917" s="12"/>
      <c r="O917" s="12"/>
      <c r="P917" s="13"/>
      <c r="Q917" s="19" t="str">
        <f aca="false">IF($N917="","",IFERROR(INDEX($C$5:$C$504,MATCH($N917,$A$5:$A$504,0)),"Invoice not found"))</f>
        <v/>
      </c>
    </row>
    <row r="918" customFormat="false" ht="15" hidden="false" customHeight="false" outlineLevel="0" collapsed="false">
      <c r="M918" s="16"/>
      <c r="N918" s="12"/>
      <c r="O918" s="12"/>
      <c r="P918" s="13"/>
      <c r="Q918" s="19" t="str">
        <f aca="false">IF($N918="","",IFERROR(INDEX($C$5:$C$504,MATCH($N918,$A$5:$A$504,0)),"Invoice not found"))</f>
        <v/>
      </c>
    </row>
    <row r="919" customFormat="false" ht="15" hidden="false" customHeight="false" outlineLevel="0" collapsed="false">
      <c r="M919" s="16"/>
      <c r="N919" s="12"/>
      <c r="O919" s="12"/>
      <c r="P919" s="13"/>
      <c r="Q919" s="19" t="str">
        <f aca="false">IF($N919="","",IFERROR(INDEX($C$5:$C$504,MATCH($N919,$A$5:$A$504,0)),"Invoice not found"))</f>
        <v/>
      </c>
    </row>
    <row r="920" customFormat="false" ht="15" hidden="false" customHeight="false" outlineLevel="0" collapsed="false">
      <c r="M920" s="16"/>
      <c r="N920" s="12"/>
      <c r="O920" s="12"/>
      <c r="P920" s="13"/>
      <c r="Q920" s="19" t="str">
        <f aca="false">IF($N920="","",IFERROR(INDEX($C$5:$C$504,MATCH($N920,$A$5:$A$504,0)),"Invoice not found"))</f>
        <v/>
      </c>
    </row>
    <row r="921" customFormat="false" ht="15" hidden="false" customHeight="false" outlineLevel="0" collapsed="false">
      <c r="M921" s="16"/>
      <c r="N921" s="12"/>
      <c r="O921" s="12"/>
      <c r="P921" s="13"/>
      <c r="Q921" s="19" t="str">
        <f aca="false">IF($N921="","",IFERROR(INDEX($C$5:$C$504,MATCH($N921,$A$5:$A$504,0)),"Invoice not found"))</f>
        <v/>
      </c>
    </row>
    <row r="922" customFormat="false" ht="15" hidden="false" customHeight="false" outlineLevel="0" collapsed="false">
      <c r="M922" s="16"/>
      <c r="N922" s="12"/>
      <c r="O922" s="12"/>
      <c r="P922" s="13"/>
      <c r="Q922" s="19" t="str">
        <f aca="false">IF($N922="","",IFERROR(INDEX($C$5:$C$504,MATCH($N922,$A$5:$A$504,0)),"Invoice not found"))</f>
        <v/>
      </c>
    </row>
    <row r="923" customFormat="false" ht="15" hidden="false" customHeight="false" outlineLevel="0" collapsed="false">
      <c r="M923" s="16"/>
      <c r="N923" s="12"/>
      <c r="O923" s="12"/>
      <c r="P923" s="13"/>
      <c r="Q923" s="19" t="str">
        <f aca="false">IF($N923="","",IFERROR(INDEX($C$5:$C$504,MATCH($N923,$A$5:$A$504,0)),"Invoice not found"))</f>
        <v/>
      </c>
    </row>
    <row r="924" customFormat="false" ht="15" hidden="false" customHeight="false" outlineLevel="0" collapsed="false">
      <c r="M924" s="16"/>
      <c r="N924" s="12"/>
      <c r="O924" s="12"/>
      <c r="P924" s="13"/>
      <c r="Q924" s="19" t="str">
        <f aca="false">IF($N924="","",IFERROR(INDEX($C$5:$C$504,MATCH($N924,$A$5:$A$504,0)),"Invoice not found"))</f>
        <v/>
      </c>
    </row>
    <row r="925" customFormat="false" ht="15" hidden="false" customHeight="false" outlineLevel="0" collapsed="false">
      <c r="M925" s="16"/>
      <c r="N925" s="12"/>
      <c r="O925" s="12"/>
      <c r="P925" s="13"/>
      <c r="Q925" s="19" t="str">
        <f aca="false">IF($N925="","",IFERROR(INDEX($C$5:$C$504,MATCH($N925,$A$5:$A$504,0)),"Invoice not found"))</f>
        <v/>
      </c>
    </row>
    <row r="926" customFormat="false" ht="15" hidden="false" customHeight="false" outlineLevel="0" collapsed="false">
      <c r="M926" s="16"/>
      <c r="N926" s="12"/>
      <c r="O926" s="12"/>
      <c r="P926" s="13"/>
      <c r="Q926" s="19" t="str">
        <f aca="false">IF($N926="","",IFERROR(INDEX($C$5:$C$504,MATCH($N926,$A$5:$A$504,0)),"Invoice not found"))</f>
        <v/>
      </c>
    </row>
    <row r="927" customFormat="false" ht="15" hidden="false" customHeight="false" outlineLevel="0" collapsed="false">
      <c r="M927" s="16"/>
      <c r="N927" s="12"/>
      <c r="O927" s="12"/>
      <c r="P927" s="13"/>
      <c r="Q927" s="19" t="str">
        <f aca="false">IF($N927="","",IFERROR(INDEX($C$5:$C$504,MATCH($N927,$A$5:$A$504,0)),"Invoice not found"))</f>
        <v/>
      </c>
    </row>
    <row r="928" customFormat="false" ht="15" hidden="false" customHeight="false" outlineLevel="0" collapsed="false">
      <c r="M928" s="16"/>
      <c r="N928" s="12"/>
      <c r="O928" s="12"/>
      <c r="P928" s="13"/>
      <c r="Q928" s="19" t="str">
        <f aca="false">IF($N928="","",IFERROR(INDEX($C$5:$C$504,MATCH($N928,$A$5:$A$504,0)),"Invoice not found"))</f>
        <v/>
      </c>
    </row>
    <row r="929" customFormat="false" ht="15" hidden="false" customHeight="false" outlineLevel="0" collapsed="false">
      <c r="M929" s="16"/>
      <c r="N929" s="12"/>
      <c r="O929" s="12"/>
      <c r="P929" s="13"/>
      <c r="Q929" s="19" t="str">
        <f aca="false">IF($N929="","",IFERROR(INDEX($C$5:$C$504,MATCH($N929,$A$5:$A$504,0)),"Invoice not found"))</f>
        <v/>
      </c>
    </row>
    <row r="930" customFormat="false" ht="15" hidden="false" customHeight="false" outlineLevel="0" collapsed="false">
      <c r="M930" s="16"/>
      <c r="N930" s="12"/>
      <c r="O930" s="12"/>
      <c r="P930" s="13"/>
      <c r="Q930" s="19" t="str">
        <f aca="false">IF($N930="","",IFERROR(INDEX($C$5:$C$504,MATCH($N930,$A$5:$A$504,0)),"Invoice not found"))</f>
        <v/>
      </c>
    </row>
    <row r="931" customFormat="false" ht="15" hidden="false" customHeight="false" outlineLevel="0" collapsed="false">
      <c r="M931" s="16"/>
      <c r="N931" s="12"/>
      <c r="O931" s="12"/>
      <c r="P931" s="13"/>
      <c r="Q931" s="19" t="str">
        <f aca="false">IF($N931="","",IFERROR(INDEX($C$5:$C$504,MATCH($N931,$A$5:$A$504,0)),"Invoice not found"))</f>
        <v/>
      </c>
    </row>
    <row r="932" customFormat="false" ht="15" hidden="false" customHeight="false" outlineLevel="0" collapsed="false">
      <c r="M932" s="16"/>
      <c r="N932" s="12"/>
      <c r="O932" s="12"/>
      <c r="P932" s="13"/>
      <c r="Q932" s="19" t="str">
        <f aca="false">IF($N932="","",IFERROR(INDEX($C$5:$C$504,MATCH($N932,$A$5:$A$504,0)),"Invoice not found"))</f>
        <v/>
      </c>
    </row>
    <row r="933" customFormat="false" ht="15" hidden="false" customHeight="false" outlineLevel="0" collapsed="false">
      <c r="M933" s="16"/>
      <c r="N933" s="12"/>
      <c r="O933" s="12"/>
      <c r="P933" s="13"/>
      <c r="Q933" s="19" t="str">
        <f aca="false">IF($N933="","",IFERROR(INDEX($C$5:$C$504,MATCH($N933,$A$5:$A$504,0)),"Invoice not found"))</f>
        <v/>
      </c>
    </row>
    <row r="934" customFormat="false" ht="15" hidden="false" customHeight="false" outlineLevel="0" collapsed="false">
      <c r="M934" s="16"/>
      <c r="N934" s="12"/>
      <c r="O934" s="12"/>
      <c r="P934" s="13"/>
      <c r="Q934" s="19" t="str">
        <f aca="false">IF($N934="","",IFERROR(INDEX($C$5:$C$504,MATCH($N934,$A$5:$A$504,0)),"Invoice not found"))</f>
        <v/>
      </c>
    </row>
    <row r="935" customFormat="false" ht="15" hidden="false" customHeight="false" outlineLevel="0" collapsed="false">
      <c r="M935" s="16"/>
      <c r="N935" s="12"/>
      <c r="O935" s="12"/>
      <c r="P935" s="13"/>
      <c r="Q935" s="19" t="str">
        <f aca="false">IF($N935="","",IFERROR(INDEX($C$5:$C$504,MATCH($N935,$A$5:$A$504,0)),"Invoice not found"))</f>
        <v/>
      </c>
    </row>
    <row r="936" customFormat="false" ht="15" hidden="false" customHeight="false" outlineLevel="0" collapsed="false">
      <c r="M936" s="16"/>
      <c r="N936" s="12"/>
      <c r="O936" s="12"/>
      <c r="P936" s="13"/>
      <c r="Q936" s="19" t="str">
        <f aca="false">IF($N936="","",IFERROR(INDEX($C$5:$C$504,MATCH($N936,$A$5:$A$504,0)),"Invoice not found"))</f>
        <v/>
      </c>
    </row>
    <row r="937" customFormat="false" ht="15" hidden="false" customHeight="false" outlineLevel="0" collapsed="false">
      <c r="M937" s="16"/>
      <c r="N937" s="12"/>
      <c r="O937" s="12"/>
      <c r="P937" s="13"/>
      <c r="Q937" s="19" t="str">
        <f aca="false">IF($N937="","",IFERROR(INDEX($C$5:$C$504,MATCH($N937,$A$5:$A$504,0)),"Invoice not found"))</f>
        <v/>
      </c>
    </row>
    <row r="938" customFormat="false" ht="15" hidden="false" customHeight="false" outlineLevel="0" collapsed="false">
      <c r="M938" s="16"/>
      <c r="N938" s="12"/>
      <c r="O938" s="12"/>
      <c r="P938" s="13"/>
      <c r="Q938" s="19" t="str">
        <f aca="false">IF($N938="","",IFERROR(INDEX($C$5:$C$504,MATCH($N938,$A$5:$A$504,0)),"Invoice not found"))</f>
        <v/>
      </c>
    </row>
    <row r="939" customFormat="false" ht="15" hidden="false" customHeight="false" outlineLevel="0" collapsed="false">
      <c r="M939" s="16"/>
      <c r="N939" s="12"/>
      <c r="O939" s="12"/>
      <c r="P939" s="13"/>
      <c r="Q939" s="19" t="str">
        <f aca="false">IF($N939="","",IFERROR(INDEX($C$5:$C$504,MATCH($N939,$A$5:$A$504,0)),"Invoice not found"))</f>
        <v/>
      </c>
    </row>
    <row r="940" customFormat="false" ht="15" hidden="false" customHeight="false" outlineLevel="0" collapsed="false">
      <c r="M940" s="16"/>
      <c r="N940" s="12"/>
      <c r="O940" s="12"/>
      <c r="P940" s="13"/>
      <c r="Q940" s="19" t="str">
        <f aca="false">IF($N940="","",IFERROR(INDEX($C$5:$C$504,MATCH($N940,$A$5:$A$504,0)),"Invoice not found"))</f>
        <v/>
      </c>
    </row>
    <row r="941" customFormat="false" ht="15" hidden="false" customHeight="false" outlineLevel="0" collapsed="false">
      <c r="M941" s="16"/>
      <c r="N941" s="12"/>
      <c r="O941" s="12"/>
      <c r="P941" s="13"/>
      <c r="Q941" s="19" t="str">
        <f aca="false">IF($N941="","",IFERROR(INDEX($C$5:$C$504,MATCH($N941,$A$5:$A$504,0)),"Invoice not found"))</f>
        <v/>
      </c>
    </row>
    <row r="942" customFormat="false" ht="15" hidden="false" customHeight="false" outlineLevel="0" collapsed="false">
      <c r="M942" s="16"/>
      <c r="N942" s="12"/>
      <c r="O942" s="12"/>
      <c r="P942" s="13"/>
      <c r="Q942" s="19" t="str">
        <f aca="false">IF($N942="","",IFERROR(INDEX($C$5:$C$504,MATCH($N942,$A$5:$A$504,0)),"Invoice not found"))</f>
        <v/>
      </c>
    </row>
    <row r="943" customFormat="false" ht="15" hidden="false" customHeight="false" outlineLevel="0" collapsed="false">
      <c r="M943" s="16"/>
      <c r="N943" s="12"/>
      <c r="O943" s="12"/>
      <c r="P943" s="13"/>
      <c r="Q943" s="19" t="str">
        <f aca="false">IF($N943="","",IFERROR(INDEX($C$5:$C$504,MATCH($N943,$A$5:$A$504,0)),"Invoice not found"))</f>
        <v/>
      </c>
    </row>
    <row r="944" customFormat="false" ht="15" hidden="false" customHeight="false" outlineLevel="0" collapsed="false">
      <c r="M944" s="16"/>
      <c r="N944" s="12"/>
      <c r="O944" s="12"/>
      <c r="P944" s="13"/>
      <c r="Q944" s="19" t="str">
        <f aca="false">IF($N944="","",IFERROR(INDEX($C$5:$C$504,MATCH($N944,$A$5:$A$504,0)),"Invoice not found"))</f>
        <v/>
      </c>
    </row>
    <row r="945" customFormat="false" ht="15" hidden="false" customHeight="false" outlineLevel="0" collapsed="false">
      <c r="M945" s="16"/>
      <c r="N945" s="12"/>
      <c r="O945" s="12"/>
      <c r="P945" s="13"/>
      <c r="Q945" s="19" t="str">
        <f aca="false">IF($N945="","",IFERROR(INDEX($C$5:$C$504,MATCH($N945,$A$5:$A$504,0)),"Invoice not found"))</f>
        <v/>
      </c>
    </row>
    <row r="946" customFormat="false" ht="15" hidden="false" customHeight="false" outlineLevel="0" collapsed="false">
      <c r="M946" s="16"/>
      <c r="N946" s="12"/>
      <c r="O946" s="12"/>
      <c r="P946" s="13"/>
      <c r="Q946" s="19" t="str">
        <f aca="false">IF($N946="","",IFERROR(INDEX($C$5:$C$504,MATCH($N946,$A$5:$A$504,0)),"Invoice not found"))</f>
        <v/>
      </c>
    </row>
    <row r="947" customFormat="false" ht="15" hidden="false" customHeight="false" outlineLevel="0" collapsed="false">
      <c r="M947" s="16"/>
      <c r="N947" s="12"/>
      <c r="O947" s="12"/>
      <c r="P947" s="13"/>
      <c r="Q947" s="19" t="str">
        <f aca="false">IF($N947="","",IFERROR(INDEX($C$5:$C$504,MATCH($N947,$A$5:$A$504,0)),"Invoice not found"))</f>
        <v/>
      </c>
    </row>
    <row r="948" customFormat="false" ht="15" hidden="false" customHeight="false" outlineLevel="0" collapsed="false">
      <c r="M948" s="16"/>
      <c r="N948" s="12"/>
      <c r="O948" s="12"/>
      <c r="P948" s="13"/>
      <c r="Q948" s="19" t="str">
        <f aca="false">IF($N948="","",IFERROR(INDEX($C$5:$C$504,MATCH($N948,$A$5:$A$504,0)),"Invoice not found"))</f>
        <v/>
      </c>
    </row>
    <row r="949" customFormat="false" ht="15" hidden="false" customHeight="false" outlineLevel="0" collapsed="false">
      <c r="M949" s="16"/>
      <c r="N949" s="12"/>
      <c r="O949" s="12"/>
      <c r="P949" s="13"/>
      <c r="Q949" s="19" t="str">
        <f aca="false">IF($N949="","",IFERROR(INDEX($C$5:$C$504,MATCH($N949,$A$5:$A$504,0)),"Invoice not found"))</f>
        <v/>
      </c>
    </row>
    <row r="950" customFormat="false" ht="15" hidden="false" customHeight="false" outlineLevel="0" collapsed="false">
      <c r="M950" s="16"/>
      <c r="N950" s="12"/>
      <c r="O950" s="12"/>
      <c r="P950" s="13"/>
      <c r="Q950" s="19" t="str">
        <f aca="false">IF($N950="","",IFERROR(INDEX($C$5:$C$504,MATCH($N950,$A$5:$A$504,0)),"Invoice not found"))</f>
        <v/>
      </c>
    </row>
    <row r="951" customFormat="false" ht="15" hidden="false" customHeight="false" outlineLevel="0" collapsed="false">
      <c r="M951" s="16"/>
      <c r="N951" s="12"/>
      <c r="O951" s="12"/>
      <c r="P951" s="13"/>
      <c r="Q951" s="19" t="str">
        <f aca="false">IF($N951="","",IFERROR(INDEX($C$5:$C$504,MATCH($N951,$A$5:$A$504,0)),"Invoice not found"))</f>
        <v/>
      </c>
    </row>
    <row r="952" customFormat="false" ht="15" hidden="false" customHeight="false" outlineLevel="0" collapsed="false">
      <c r="M952" s="16"/>
      <c r="N952" s="12"/>
      <c r="O952" s="12"/>
      <c r="P952" s="13"/>
      <c r="Q952" s="19" t="str">
        <f aca="false">IF($N952="","",IFERROR(INDEX($C$5:$C$504,MATCH($N952,$A$5:$A$504,0)),"Invoice not found"))</f>
        <v/>
      </c>
    </row>
    <row r="953" customFormat="false" ht="15" hidden="false" customHeight="false" outlineLevel="0" collapsed="false">
      <c r="M953" s="16"/>
      <c r="N953" s="12"/>
      <c r="O953" s="12"/>
      <c r="P953" s="13"/>
      <c r="Q953" s="19" t="str">
        <f aca="false">IF($N953="","",IFERROR(INDEX($C$5:$C$504,MATCH($N953,$A$5:$A$504,0)),"Invoice not found"))</f>
        <v/>
      </c>
    </row>
    <row r="954" customFormat="false" ht="15" hidden="false" customHeight="false" outlineLevel="0" collapsed="false">
      <c r="M954" s="16"/>
      <c r="N954" s="12"/>
      <c r="O954" s="12"/>
      <c r="P954" s="13"/>
      <c r="Q954" s="19" t="str">
        <f aca="false">IF($N954="","",IFERROR(INDEX($C$5:$C$504,MATCH($N954,$A$5:$A$504,0)),"Invoice not found"))</f>
        <v/>
      </c>
    </row>
    <row r="955" customFormat="false" ht="15" hidden="false" customHeight="false" outlineLevel="0" collapsed="false">
      <c r="M955" s="16"/>
      <c r="N955" s="12"/>
      <c r="O955" s="12"/>
      <c r="P955" s="13"/>
      <c r="Q955" s="19" t="str">
        <f aca="false">IF($N955="","",IFERROR(INDEX($C$5:$C$504,MATCH($N955,$A$5:$A$504,0)),"Invoice not found"))</f>
        <v/>
      </c>
    </row>
    <row r="956" customFormat="false" ht="15" hidden="false" customHeight="false" outlineLevel="0" collapsed="false">
      <c r="M956" s="16"/>
      <c r="N956" s="12"/>
      <c r="O956" s="12"/>
      <c r="P956" s="13"/>
      <c r="Q956" s="19" t="str">
        <f aca="false">IF($N956="","",IFERROR(INDEX($C$5:$C$504,MATCH($N956,$A$5:$A$504,0)),"Invoice not found"))</f>
        <v/>
      </c>
    </row>
    <row r="957" customFormat="false" ht="15" hidden="false" customHeight="false" outlineLevel="0" collapsed="false">
      <c r="M957" s="16"/>
      <c r="N957" s="12"/>
      <c r="O957" s="12"/>
      <c r="P957" s="13"/>
      <c r="Q957" s="19" t="str">
        <f aca="false">IF($N957="","",IFERROR(INDEX($C$5:$C$504,MATCH($N957,$A$5:$A$504,0)),"Invoice not found"))</f>
        <v/>
      </c>
    </row>
    <row r="958" customFormat="false" ht="15" hidden="false" customHeight="false" outlineLevel="0" collapsed="false">
      <c r="M958" s="16"/>
      <c r="N958" s="12"/>
      <c r="O958" s="12"/>
      <c r="P958" s="13"/>
      <c r="Q958" s="19" t="str">
        <f aca="false">IF($N958="","",IFERROR(INDEX($C$5:$C$504,MATCH($N958,$A$5:$A$504,0)),"Invoice not found"))</f>
        <v/>
      </c>
    </row>
    <row r="959" customFormat="false" ht="15" hidden="false" customHeight="false" outlineLevel="0" collapsed="false">
      <c r="M959" s="16"/>
      <c r="N959" s="12"/>
      <c r="O959" s="12"/>
      <c r="P959" s="13"/>
      <c r="Q959" s="19" t="str">
        <f aca="false">IF($N959="","",IFERROR(INDEX($C$5:$C$504,MATCH($N959,$A$5:$A$504,0)),"Invoice not found"))</f>
        <v/>
      </c>
    </row>
    <row r="960" customFormat="false" ht="15" hidden="false" customHeight="false" outlineLevel="0" collapsed="false">
      <c r="M960" s="16"/>
      <c r="N960" s="12"/>
      <c r="O960" s="12"/>
      <c r="P960" s="13"/>
      <c r="Q960" s="19" t="str">
        <f aca="false">IF($N960="","",IFERROR(INDEX($C$5:$C$504,MATCH($N960,$A$5:$A$504,0)),"Invoice not found"))</f>
        <v/>
      </c>
    </row>
    <row r="961" customFormat="false" ht="15" hidden="false" customHeight="false" outlineLevel="0" collapsed="false">
      <c r="M961" s="16"/>
      <c r="N961" s="12"/>
      <c r="O961" s="12"/>
      <c r="P961" s="13"/>
      <c r="Q961" s="19" t="str">
        <f aca="false">IF($N961="","",IFERROR(INDEX($C$5:$C$504,MATCH($N961,$A$5:$A$504,0)),"Invoice not found"))</f>
        <v/>
      </c>
    </row>
    <row r="962" customFormat="false" ht="15" hidden="false" customHeight="false" outlineLevel="0" collapsed="false">
      <c r="M962" s="16"/>
      <c r="N962" s="12"/>
      <c r="O962" s="12"/>
      <c r="P962" s="13"/>
      <c r="Q962" s="19" t="str">
        <f aca="false">IF($N962="","",IFERROR(INDEX($C$5:$C$504,MATCH($N962,$A$5:$A$504,0)),"Invoice not found"))</f>
        <v/>
      </c>
    </row>
    <row r="963" customFormat="false" ht="15" hidden="false" customHeight="false" outlineLevel="0" collapsed="false">
      <c r="M963" s="16"/>
      <c r="N963" s="12"/>
      <c r="O963" s="12"/>
      <c r="P963" s="13"/>
      <c r="Q963" s="19" t="str">
        <f aca="false">IF($N963="","",IFERROR(INDEX($C$5:$C$504,MATCH($N963,$A$5:$A$504,0)),"Invoice not found"))</f>
        <v/>
      </c>
    </row>
    <row r="964" customFormat="false" ht="15" hidden="false" customHeight="false" outlineLevel="0" collapsed="false">
      <c r="M964" s="16"/>
      <c r="N964" s="12"/>
      <c r="O964" s="12"/>
      <c r="P964" s="13"/>
      <c r="Q964" s="19" t="str">
        <f aca="false">IF($N964="","",IFERROR(INDEX($C$5:$C$504,MATCH($N964,$A$5:$A$504,0)),"Invoice not found"))</f>
        <v/>
      </c>
    </row>
    <row r="965" customFormat="false" ht="15" hidden="false" customHeight="false" outlineLevel="0" collapsed="false">
      <c r="M965" s="16"/>
      <c r="N965" s="12"/>
      <c r="O965" s="12"/>
      <c r="P965" s="13"/>
      <c r="Q965" s="19" t="str">
        <f aca="false">IF($N965="","",IFERROR(INDEX($C$5:$C$504,MATCH($N965,$A$5:$A$504,0)),"Invoice not found"))</f>
        <v/>
      </c>
    </row>
    <row r="966" customFormat="false" ht="15" hidden="false" customHeight="false" outlineLevel="0" collapsed="false">
      <c r="M966" s="16"/>
      <c r="N966" s="12"/>
      <c r="O966" s="12"/>
      <c r="P966" s="13"/>
      <c r="Q966" s="19" t="str">
        <f aca="false">IF($N966="","",IFERROR(INDEX($C$5:$C$504,MATCH($N966,$A$5:$A$504,0)),"Invoice not found"))</f>
        <v/>
      </c>
    </row>
    <row r="967" customFormat="false" ht="15" hidden="false" customHeight="false" outlineLevel="0" collapsed="false">
      <c r="M967" s="16"/>
      <c r="N967" s="12"/>
      <c r="O967" s="12"/>
      <c r="P967" s="13"/>
      <c r="Q967" s="19" t="str">
        <f aca="false">IF($N967="","",IFERROR(INDEX($C$5:$C$504,MATCH($N967,$A$5:$A$504,0)),"Invoice not found"))</f>
        <v/>
      </c>
    </row>
    <row r="968" customFormat="false" ht="15" hidden="false" customHeight="false" outlineLevel="0" collapsed="false">
      <c r="M968" s="16"/>
      <c r="N968" s="12"/>
      <c r="O968" s="12"/>
      <c r="P968" s="13"/>
      <c r="Q968" s="19" t="str">
        <f aca="false">IF($N968="","",IFERROR(INDEX($C$5:$C$504,MATCH($N968,$A$5:$A$504,0)),"Invoice not found"))</f>
        <v/>
      </c>
    </row>
    <row r="969" customFormat="false" ht="15" hidden="false" customHeight="false" outlineLevel="0" collapsed="false">
      <c r="M969" s="16"/>
      <c r="N969" s="12"/>
      <c r="O969" s="12"/>
      <c r="P969" s="13"/>
      <c r="Q969" s="19" t="str">
        <f aca="false">IF($N969="","",IFERROR(INDEX($C$5:$C$504,MATCH($N969,$A$5:$A$504,0)),"Invoice not found"))</f>
        <v/>
      </c>
    </row>
    <row r="970" customFormat="false" ht="15" hidden="false" customHeight="false" outlineLevel="0" collapsed="false">
      <c r="M970" s="16"/>
      <c r="N970" s="12"/>
      <c r="O970" s="12"/>
      <c r="P970" s="13"/>
      <c r="Q970" s="19" t="str">
        <f aca="false">IF($N970="","",IFERROR(INDEX($C$5:$C$504,MATCH($N970,$A$5:$A$504,0)),"Invoice not found"))</f>
        <v/>
      </c>
    </row>
    <row r="971" customFormat="false" ht="15" hidden="false" customHeight="false" outlineLevel="0" collapsed="false">
      <c r="M971" s="16"/>
      <c r="N971" s="12"/>
      <c r="O971" s="12"/>
      <c r="P971" s="13"/>
      <c r="Q971" s="19" t="str">
        <f aca="false">IF($N971="","",IFERROR(INDEX($C$5:$C$504,MATCH($N971,$A$5:$A$504,0)),"Invoice not found"))</f>
        <v/>
      </c>
    </row>
    <row r="972" customFormat="false" ht="15" hidden="false" customHeight="false" outlineLevel="0" collapsed="false">
      <c r="M972" s="16"/>
      <c r="N972" s="12"/>
      <c r="O972" s="12"/>
      <c r="P972" s="13"/>
      <c r="Q972" s="19" t="str">
        <f aca="false">IF($N972="","",IFERROR(INDEX($C$5:$C$504,MATCH($N972,$A$5:$A$504,0)),"Invoice not found"))</f>
        <v/>
      </c>
    </row>
    <row r="973" customFormat="false" ht="15" hidden="false" customHeight="false" outlineLevel="0" collapsed="false">
      <c r="M973" s="16"/>
      <c r="N973" s="12"/>
      <c r="O973" s="12"/>
      <c r="P973" s="13"/>
      <c r="Q973" s="19" t="str">
        <f aca="false">IF($N973="","",IFERROR(INDEX($C$5:$C$504,MATCH($N973,$A$5:$A$504,0)),"Invoice not found"))</f>
        <v/>
      </c>
    </row>
    <row r="974" customFormat="false" ht="15" hidden="false" customHeight="false" outlineLevel="0" collapsed="false">
      <c r="M974" s="16"/>
      <c r="N974" s="12"/>
      <c r="O974" s="12"/>
      <c r="P974" s="13"/>
      <c r="Q974" s="19" t="str">
        <f aca="false">IF($N974="","",IFERROR(INDEX($C$5:$C$504,MATCH($N974,$A$5:$A$504,0)),"Invoice not found"))</f>
        <v/>
      </c>
    </row>
    <row r="975" customFormat="false" ht="15" hidden="false" customHeight="false" outlineLevel="0" collapsed="false">
      <c r="M975" s="16"/>
      <c r="N975" s="12"/>
      <c r="O975" s="12"/>
      <c r="P975" s="13"/>
      <c r="Q975" s="19" t="str">
        <f aca="false">IF($N975="","",IFERROR(INDEX($C$5:$C$504,MATCH($N975,$A$5:$A$504,0)),"Invoice not found"))</f>
        <v/>
      </c>
    </row>
    <row r="976" customFormat="false" ht="15" hidden="false" customHeight="false" outlineLevel="0" collapsed="false">
      <c r="M976" s="16"/>
      <c r="N976" s="12"/>
      <c r="O976" s="12"/>
      <c r="P976" s="13"/>
      <c r="Q976" s="19" t="str">
        <f aca="false">IF($N976="","",IFERROR(INDEX($C$5:$C$504,MATCH($N976,$A$5:$A$504,0)),"Invoice not found"))</f>
        <v/>
      </c>
    </row>
    <row r="977" customFormat="false" ht="15" hidden="false" customHeight="false" outlineLevel="0" collapsed="false">
      <c r="M977" s="16"/>
      <c r="N977" s="12"/>
      <c r="O977" s="12"/>
      <c r="P977" s="13"/>
      <c r="Q977" s="19" t="str">
        <f aca="false">IF($N977="","",IFERROR(INDEX($C$5:$C$504,MATCH($N977,$A$5:$A$504,0)),"Invoice not found"))</f>
        <v/>
      </c>
    </row>
    <row r="978" customFormat="false" ht="15" hidden="false" customHeight="false" outlineLevel="0" collapsed="false">
      <c r="M978" s="16"/>
      <c r="N978" s="12"/>
      <c r="O978" s="12"/>
      <c r="P978" s="13"/>
      <c r="Q978" s="19" t="str">
        <f aca="false">IF($N978="","",IFERROR(INDEX($C$5:$C$504,MATCH($N978,$A$5:$A$504,0)),"Invoice not found"))</f>
        <v/>
      </c>
    </row>
    <row r="979" customFormat="false" ht="15" hidden="false" customHeight="false" outlineLevel="0" collapsed="false">
      <c r="M979" s="16"/>
      <c r="N979" s="12"/>
      <c r="O979" s="12"/>
      <c r="P979" s="13"/>
      <c r="Q979" s="19" t="str">
        <f aca="false">IF($N979="","",IFERROR(INDEX($C$5:$C$504,MATCH($N979,$A$5:$A$504,0)),"Invoice not found"))</f>
        <v/>
      </c>
    </row>
    <row r="980" customFormat="false" ht="15" hidden="false" customHeight="false" outlineLevel="0" collapsed="false">
      <c r="M980" s="16"/>
      <c r="N980" s="12"/>
      <c r="O980" s="12"/>
      <c r="P980" s="13"/>
      <c r="Q980" s="19" t="str">
        <f aca="false">IF($N980="","",IFERROR(INDEX($C$5:$C$504,MATCH($N980,$A$5:$A$504,0)),"Invoice not found"))</f>
        <v/>
      </c>
    </row>
    <row r="981" customFormat="false" ht="15" hidden="false" customHeight="false" outlineLevel="0" collapsed="false">
      <c r="M981" s="16"/>
      <c r="N981" s="12"/>
      <c r="O981" s="12"/>
      <c r="P981" s="13"/>
      <c r="Q981" s="19" t="str">
        <f aca="false">IF($N981="","",IFERROR(INDEX($C$5:$C$504,MATCH($N981,$A$5:$A$504,0)),"Invoice not found"))</f>
        <v/>
      </c>
    </row>
    <row r="982" customFormat="false" ht="15" hidden="false" customHeight="false" outlineLevel="0" collapsed="false">
      <c r="M982" s="16"/>
      <c r="N982" s="12"/>
      <c r="O982" s="12"/>
      <c r="P982" s="13"/>
      <c r="Q982" s="19" t="str">
        <f aca="false">IF($N982="","",IFERROR(INDEX($C$5:$C$504,MATCH($N982,$A$5:$A$504,0)),"Invoice not found"))</f>
        <v/>
      </c>
    </row>
    <row r="983" customFormat="false" ht="15" hidden="false" customHeight="false" outlineLevel="0" collapsed="false">
      <c r="M983" s="16"/>
      <c r="N983" s="12"/>
      <c r="O983" s="12"/>
      <c r="P983" s="13"/>
      <c r="Q983" s="19" t="str">
        <f aca="false">IF($N983="","",IFERROR(INDEX($C$5:$C$504,MATCH($N983,$A$5:$A$504,0)),"Invoice not found"))</f>
        <v/>
      </c>
    </row>
    <row r="984" customFormat="false" ht="15" hidden="false" customHeight="false" outlineLevel="0" collapsed="false">
      <c r="M984" s="16"/>
      <c r="N984" s="12"/>
      <c r="O984" s="12"/>
      <c r="P984" s="13"/>
      <c r="Q984" s="19" t="str">
        <f aca="false">IF($N984="","",IFERROR(INDEX($C$5:$C$504,MATCH($N984,$A$5:$A$504,0)),"Invoice not found"))</f>
        <v/>
      </c>
    </row>
    <row r="985" customFormat="false" ht="15" hidden="false" customHeight="false" outlineLevel="0" collapsed="false">
      <c r="M985" s="16"/>
      <c r="N985" s="12"/>
      <c r="O985" s="12"/>
      <c r="P985" s="13"/>
      <c r="Q985" s="19" t="str">
        <f aca="false">IF($N985="","",IFERROR(INDEX($C$5:$C$504,MATCH($N985,$A$5:$A$504,0)),"Invoice not found"))</f>
        <v/>
      </c>
    </row>
    <row r="986" customFormat="false" ht="15" hidden="false" customHeight="false" outlineLevel="0" collapsed="false">
      <c r="M986" s="16"/>
      <c r="N986" s="12"/>
      <c r="O986" s="12"/>
      <c r="P986" s="13"/>
      <c r="Q986" s="19" t="str">
        <f aca="false">IF($N986="","",IFERROR(INDEX($C$5:$C$504,MATCH($N986,$A$5:$A$504,0)),"Invoice not found"))</f>
        <v/>
      </c>
    </row>
    <row r="987" customFormat="false" ht="15" hidden="false" customHeight="false" outlineLevel="0" collapsed="false">
      <c r="M987" s="16"/>
      <c r="N987" s="12"/>
      <c r="O987" s="12"/>
      <c r="P987" s="13"/>
      <c r="Q987" s="19" t="str">
        <f aca="false">IF($N987="","",IFERROR(INDEX($C$5:$C$504,MATCH($N987,$A$5:$A$504,0)),"Invoice not found"))</f>
        <v/>
      </c>
    </row>
    <row r="988" customFormat="false" ht="15" hidden="false" customHeight="false" outlineLevel="0" collapsed="false">
      <c r="M988" s="16"/>
      <c r="N988" s="12"/>
      <c r="O988" s="12"/>
      <c r="P988" s="13"/>
      <c r="Q988" s="19" t="str">
        <f aca="false">IF($N988="","",IFERROR(INDEX($C$5:$C$504,MATCH($N988,$A$5:$A$504,0)),"Invoice not found"))</f>
        <v/>
      </c>
    </row>
    <row r="989" customFormat="false" ht="15" hidden="false" customHeight="false" outlineLevel="0" collapsed="false">
      <c r="M989" s="16"/>
      <c r="N989" s="12"/>
      <c r="O989" s="12"/>
      <c r="P989" s="13"/>
      <c r="Q989" s="19" t="str">
        <f aca="false">IF($N989="","",IFERROR(INDEX($C$5:$C$504,MATCH($N989,$A$5:$A$504,0)),"Invoice not found"))</f>
        <v/>
      </c>
    </row>
    <row r="990" customFormat="false" ht="15" hidden="false" customHeight="false" outlineLevel="0" collapsed="false">
      <c r="M990" s="16"/>
      <c r="N990" s="12"/>
      <c r="O990" s="12"/>
      <c r="P990" s="13"/>
      <c r="Q990" s="19" t="str">
        <f aca="false">IF($N990="","",IFERROR(INDEX($C$5:$C$504,MATCH($N990,$A$5:$A$504,0)),"Invoice not found"))</f>
        <v/>
      </c>
    </row>
    <row r="991" customFormat="false" ht="15" hidden="false" customHeight="false" outlineLevel="0" collapsed="false">
      <c r="M991" s="16"/>
      <c r="N991" s="12"/>
      <c r="O991" s="12"/>
      <c r="P991" s="13"/>
      <c r="Q991" s="19" t="str">
        <f aca="false">IF($N991="","",IFERROR(INDEX($C$5:$C$504,MATCH($N991,$A$5:$A$504,0)),"Invoice not found"))</f>
        <v/>
      </c>
    </row>
    <row r="992" customFormat="false" ht="15" hidden="false" customHeight="false" outlineLevel="0" collapsed="false">
      <c r="M992" s="16"/>
      <c r="N992" s="12"/>
      <c r="O992" s="12"/>
      <c r="P992" s="13"/>
      <c r="Q992" s="19" t="str">
        <f aca="false">IF($N992="","",IFERROR(INDEX($C$5:$C$504,MATCH($N992,$A$5:$A$504,0)),"Invoice not found"))</f>
        <v/>
      </c>
    </row>
    <row r="993" customFormat="false" ht="15" hidden="false" customHeight="false" outlineLevel="0" collapsed="false">
      <c r="M993" s="16"/>
      <c r="N993" s="12"/>
      <c r="O993" s="12"/>
      <c r="P993" s="13"/>
      <c r="Q993" s="19" t="str">
        <f aca="false">IF($N993="","",IFERROR(INDEX($C$5:$C$504,MATCH($N993,$A$5:$A$504,0)),"Invoice not found"))</f>
        <v/>
      </c>
    </row>
    <row r="994" customFormat="false" ht="15" hidden="false" customHeight="false" outlineLevel="0" collapsed="false">
      <c r="M994" s="16"/>
      <c r="N994" s="12"/>
      <c r="O994" s="12"/>
      <c r="P994" s="13"/>
      <c r="Q994" s="19" t="str">
        <f aca="false">IF($N994="","",IFERROR(INDEX($C$5:$C$504,MATCH($N994,$A$5:$A$504,0)),"Invoice not found"))</f>
        <v/>
      </c>
    </row>
    <row r="995" customFormat="false" ht="15" hidden="false" customHeight="false" outlineLevel="0" collapsed="false">
      <c r="M995" s="16"/>
      <c r="N995" s="12"/>
      <c r="O995" s="12"/>
      <c r="P995" s="13"/>
      <c r="Q995" s="19" t="str">
        <f aca="false">IF($N995="","",IFERROR(INDEX($C$5:$C$504,MATCH($N995,$A$5:$A$504,0)),"Invoice not found"))</f>
        <v/>
      </c>
    </row>
    <row r="996" customFormat="false" ht="15" hidden="false" customHeight="false" outlineLevel="0" collapsed="false">
      <c r="M996" s="16"/>
      <c r="N996" s="12"/>
      <c r="O996" s="12"/>
      <c r="P996" s="13"/>
      <c r="Q996" s="19" t="str">
        <f aca="false">IF($N996="","",IFERROR(INDEX($C$5:$C$504,MATCH($N996,$A$5:$A$504,0)),"Invoice not found"))</f>
        <v/>
      </c>
    </row>
    <row r="997" customFormat="false" ht="15" hidden="false" customHeight="false" outlineLevel="0" collapsed="false">
      <c r="M997" s="16"/>
      <c r="N997" s="12"/>
      <c r="O997" s="12"/>
      <c r="P997" s="13"/>
      <c r="Q997" s="19" t="str">
        <f aca="false">IF($N997="","",IFERROR(INDEX($C$5:$C$504,MATCH($N997,$A$5:$A$504,0)),"Invoice not found"))</f>
        <v/>
      </c>
    </row>
    <row r="998" customFormat="false" ht="15" hidden="false" customHeight="false" outlineLevel="0" collapsed="false">
      <c r="M998" s="16"/>
      <c r="N998" s="12"/>
      <c r="O998" s="12"/>
      <c r="P998" s="13"/>
      <c r="Q998" s="19" t="str">
        <f aca="false">IF($N998="","",IFERROR(INDEX($C$5:$C$504,MATCH($N998,$A$5:$A$504,0)),"Invoice not found"))</f>
        <v/>
      </c>
    </row>
    <row r="999" customFormat="false" ht="15" hidden="false" customHeight="false" outlineLevel="0" collapsed="false">
      <c r="M999" s="16"/>
      <c r="N999" s="12"/>
      <c r="O999" s="12"/>
      <c r="P999" s="13"/>
      <c r="Q999" s="19" t="str">
        <f aca="false">IF($N999="","",IFERROR(INDEX($C$5:$C$504,MATCH($N999,$A$5:$A$504,0)),"Invoice not found"))</f>
        <v/>
      </c>
    </row>
    <row r="1000" customFormat="false" ht="15" hidden="false" customHeight="false" outlineLevel="0" collapsed="false">
      <c r="M1000" s="16"/>
      <c r="N1000" s="12"/>
      <c r="O1000" s="12"/>
      <c r="P1000" s="13"/>
      <c r="Q1000" s="19" t="str">
        <f aca="false">IF($N1000="","",IFERROR(INDEX($C$5:$C$504,MATCH($N1000,$A$5:$A$504,0)),"Invoice not found"))</f>
        <v/>
      </c>
    </row>
    <row r="1001" customFormat="false" ht="15" hidden="false" customHeight="false" outlineLevel="0" collapsed="false">
      <c r="M1001" s="16"/>
      <c r="N1001" s="12"/>
      <c r="O1001" s="12"/>
      <c r="P1001" s="13"/>
      <c r="Q1001" s="19" t="str">
        <f aca="false">IF($N1001="","",IFERROR(INDEX($C$5:$C$504,MATCH($N1001,$A$5:$A$504,0)),"Invoice not found"))</f>
        <v/>
      </c>
    </row>
    <row r="1002" customFormat="false" ht="15" hidden="false" customHeight="false" outlineLevel="0" collapsed="false">
      <c r="M1002" s="16"/>
      <c r="N1002" s="12"/>
      <c r="O1002" s="12"/>
      <c r="P1002" s="13"/>
      <c r="Q1002" s="19" t="str">
        <f aca="false">IF($N1002="","",IFERROR(INDEX($C$5:$C$504,MATCH($N1002,$A$5:$A$504,0)),"Invoice not found"))</f>
        <v/>
      </c>
    </row>
    <row r="1003" customFormat="false" ht="15" hidden="false" customHeight="false" outlineLevel="0" collapsed="false">
      <c r="M1003" s="16"/>
      <c r="N1003" s="12"/>
      <c r="O1003" s="12"/>
      <c r="P1003" s="13"/>
      <c r="Q1003" s="19" t="str">
        <f aca="false">IF($N1003="","",IFERROR(INDEX($C$5:$C$504,MATCH($N1003,$A$5:$A$504,0)),"Invoice not found"))</f>
        <v/>
      </c>
    </row>
    <row r="1004" customFormat="false" ht="15" hidden="false" customHeight="false" outlineLevel="0" collapsed="false">
      <c r="M1004" s="16"/>
      <c r="N1004" s="12"/>
      <c r="O1004" s="12"/>
      <c r="P1004" s="13"/>
      <c r="Q1004" s="19" t="str">
        <f aca="false">IF($N1004="","",IFERROR(INDEX($C$5:$C$504,MATCH($N1004,$A$5:$A$504,0)),"Invoice not found"))</f>
        <v/>
      </c>
    </row>
  </sheetData>
  <conditionalFormatting sqref="I5:I504">
    <cfRule type="cellIs" priority="2" operator="equal" aboveAverage="0" equalAverage="0" bottom="0" percent="0" rank="0" text="" dxfId="0">
      <formula>"Overdue"</formula>
    </cfRule>
    <cfRule type="cellIs" priority="3" operator="equal" aboveAverage="0" equalAverage="0" bottom="0" percent="0" rank="0" text="" dxfId="1">
      <formula>"Paid"</formula>
    </cfRule>
    <cfRule type="cellIs" priority="4" operator="equal" aboveAverage="0" equalAverage="0" bottom="0" percent="0" rank="0" text="" dxfId="2">
      <formula>"Partial"</formula>
    </cfRule>
  </conditionalFormatting>
  <dataValidations count="4">
    <dataValidation allowBlank="true" error="Enter a real date, for example 7/14/2026 (or your usual date format)." errorStyle="stop" errorTitle="Check this entry" operator="between" prompt="Date the money arrived. Counts toward Cash Collected on the Monthly P&amp;L." promptTitle="Tip" showDropDown="false" showErrorMessage="true" showInputMessage="true" sqref="M5:M1004" type="date">
      <formula1>36526</formula1>
      <formula2>73050</formula2>
    </dataValidation>
    <dataValidation allowBlank="true" error="Pick a value from the dropdown list." errorStyle="stop" errorTitle="Check this entry" operator="between" prompt="Pick the invoice this payment is for. Part payments: add one row per payment." promptTitle="Tip" showDropDown="false" showErrorMessage="true" showInputMessage="true" sqref="N5:N1004" type="list">
      <formula1>$A$5:$A$504</formula1>
      <formula2>0</formula2>
    </dataValidation>
    <dataValidation allowBlank="true" error="Pick a value from the dropdown list." errorStyle="stop" errorTitle="Check this entry" operator="between" showDropDown="false" showErrorMessage="true" showInputMessage="true" sqref="O5:O1004" type="list">
      <formula1>Settings!$J$5:$J$12</formula1>
      <formula2>0</formula2>
    </dataValidation>
    <dataValidation allowBlank="true" error="Enter a number of 0 or more (no currency symbols or text)." errorStyle="stop" errorTitle="Check this entry" operator="greaterThanOrEqual" showDropDown="false" showErrorMessage="true" showInputMessage="true" sqref="P5:P1004" type="decimal">
      <formula1>0</formula1>
      <formula2>0</formula2>
    </dataValidation>
  </dataValidation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tr">
        <f aca="false">Settings!$B$5&amp;" - Expenses"</f>
        <v>Sparkle &amp; Shine Cleaning Co. - Expenses</v>
      </c>
    </row>
    <row r="2" customFormat="false" ht="15" hidden="false" customHeight="false" outlineLevel="0" collapsed="false">
      <c r="A2" s="6" t="s">
        <v>193</v>
      </c>
      <c r="B2" s="20" t="n">
        <f aca="false">SUM(D5:D504)</f>
        <v>1298.69</v>
      </c>
    </row>
    <row r="3" customFormat="false" ht="15" hidden="false" customHeight="false" outlineLevel="0" collapsed="false">
      <c r="A3" s="2" t="s">
        <v>194</v>
      </c>
    </row>
    <row r="4" customFormat="false" ht="32" hidden="false" customHeight="true" outlineLevel="0" collapsed="false">
      <c r="A4" s="5" t="s">
        <v>138</v>
      </c>
      <c r="B4" s="5" t="s">
        <v>195</v>
      </c>
      <c r="C4" s="5" t="s">
        <v>196</v>
      </c>
      <c r="D4" s="5" t="str">
        <f aca="false">"Amount ("&amp;Settings!$B$10&amp;")"</f>
        <v>Amount ($)</v>
      </c>
      <c r="E4" s="5" t="s">
        <v>170</v>
      </c>
      <c r="F4" s="5" t="s">
        <v>92</v>
      </c>
    </row>
    <row r="5" customFormat="false" ht="15" hidden="false" customHeight="false" outlineLevel="0" collapsed="false">
      <c r="A5" s="16" t="n">
        <v>46204</v>
      </c>
      <c r="B5" s="12" t="s">
        <v>50</v>
      </c>
      <c r="C5" s="12" t="s">
        <v>197</v>
      </c>
      <c r="D5" s="13" t="n">
        <v>186.4</v>
      </c>
      <c r="E5" s="12" t="s">
        <v>61</v>
      </c>
      <c r="F5" s="12"/>
    </row>
    <row r="6" customFormat="false" ht="15" hidden="false" customHeight="false" outlineLevel="0" collapsed="false">
      <c r="A6" s="16" t="n">
        <v>46208</v>
      </c>
      <c r="B6" s="12" t="s">
        <v>69</v>
      </c>
      <c r="C6" s="12" t="s">
        <v>198</v>
      </c>
      <c r="D6" s="13" t="n">
        <v>89</v>
      </c>
      <c r="E6" s="12" t="s">
        <v>66</v>
      </c>
      <c r="F6" s="12"/>
    </row>
    <row r="7" customFormat="false" ht="15" hidden="false" customHeight="false" outlineLevel="0" collapsed="false">
      <c r="A7" s="16" t="n">
        <v>46218</v>
      </c>
      <c r="B7" s="12" t="s">
        <v>75</v>
      </c>
      <c r="C7" s="12" t="s">
        <v>199</v>
      </c>
      <c r="D7" s="13" t="n">
        <v>64.99</v>
      </c>
      <c r="E7" s="12" t="s">
        <v>61</v>
      </c>
      <c r="F7" s="12"/>
    </row>
    <row r="8" customFormat="false" ht="15" hidden="false" customHeight="false" outlineLevel="0" collapsed="false">
      <c r="A8" s="16" t="n">
        <v>46234</v>
      </c>
      <c r="B8" s="12" t="s">
        <v>60</v>
      </c>
      <c r="C8" s="12" t="s">
        <v>200</v>
      </c>
      <c r="D8" s="13" t="n">
        <v>142.75</v>
      </c>
      <c r="E8" s="12" t="s">
        <v>61</v>
      </c>
      <c r="F8" s="12"/>
    </row>
    <row r="9" customFormat="false" ht="15" hidden="false" customHeight="false" outlineLevel="0" collapsed="false">
      <c r="A9" s="16" t="n">
        <v>46239</v>
      </c>
      <c r="B9" s="12" t="s">
        <v>69</v>
      </c>
      <c r="C9" s="12" t="s">
        <v>198</v>
      </c>
      <c r="D9" s="13" t="n">
        <v>89</v>
      </c>
      <c r="E9" s="12" t="s">
        <v>66</v>
      </c>
      <c r="F9" s="12"/>
    </row>
    <row r="10" customFormat="false" ht="15" hidden="false" customHeight="false" outlineLevel="0" collapsed="false">
      <c r="A10" s="16" t="n">
        <v>46246</v>
      </c>
      <c r="B10" s="12" t="s">
        <v>55</v>
      </c>
      <c r="C10" s="12" t="s">
        <v>201</v>
      </c>
      <c r="D10" s="13" t="n">
        <v>329</v>
      </c>
      <c r="E10" s="12" t="s">
        <v>61</v>
      </c>
      <c r="F10" s="12" t="s">
        <v>202</v>
      </c>
    </row>
    <row r="11" customFormat="false" ht="15" hidden="false" customHeight="false" outlineLevel="0" collapsed="false">
      <c r="A11" s="16" t="n">
        <v>46265</v>
      </c>
      <c r="B11" s="12" t="s">
        <v>60</v>
      </c>
      <c r="C11" s="12" t="s">
        <v>203</v>
      </c>
      <c r="D11" s="13" t="n">
        <v>151.2</v>
      </c>
      <c r="E11" s="12" t="s">
        <v>61</v>
      </c>
      <c r="F11" s="12"/>
    </row>
    <row r="12" customFormat="false" ht="15" hidden="false" customHeight="false" outlineLevel="0" collapsed="false">
      <c r="A12" s="16" t="n">
        <v>46270</v>
      </c>
      <c r="B12" s="12" t="s">
        <v>69</v>
      </c>
      <c r="C12" s="12" t="s">
        <v>198</v>
      </c>
      <c r="D12" s="13" t="n">
        <v>89</v>
      </c>
      <c r="E12" s="12" t="s">
        <v>66</v>
      </c>
      <c r="F12" s="12"/>
    </row>
    <row r="13" customFormat="false" ht="15" hidden="false" customHeight="false" outlineLevel="0" collapsed="false">
      <c r="A13" s="16" t="n">
        <v>46274</v>
      </c>
      <c r="B13" s="12" t="s">
        <v>79</v>
      </c>
      <c r="C13" s="12" t="s">
        <v>204</v>
      </c>
      <c r="D13" s="13" t="n">
        <v>45</v>
      </c>
      <c r="E13" s="12" t="s">
        <v>61</v>
      </c>
      <c r="F13" s="12"/>
    </row>
    <row r="14" customFormat="false" ht="15" hidden="false" customHeight="false" outlineLevel="0" collapsed="false">
      <c r="A14" s="16" t="n">
        <v>46285</v>
      </c>
      <c r="B14" s="12" t="s">
        <v>50</v>
      </c>
      <c r="C14" s="12" t="s">
        <v>205</v>
      </c>
      <c r="D14" s="13" t="n">
        <v>112.35</v>
      </c>
      <c r="E14" s="12" t="s">
        <v>61</v>
      </c>
      <c r="F14" s="12"/>
    </row>
    <row r="15" customFormat="false" ht="15" hidden="false" customHeight="false" outlineLevel="0" collapsed="false">
      <c r="A15" s="16"/>
      <c r="B15" s="12"/>
      <c r="C15" s="12"/>
      <c r="D15" s="13"/>
      <c r="E15" s="12"/>
      <c r="F15" s="12"/>
    </row>
    <row r="16" customFormat="false" ht="15" hidden="false" customHeight="false" outlineLevel="0" collapsed="false">
      <c r="A16" s="16"/>
      <c r="B16" s="12"/>
      <c r="C16" s="12"/>
      <c r="D16" s="13"/>
      <c r="E16" s="12"/>
      <c r="F16" s="12"/>
    </row>
    <row r="17" customFormat="false" ht="15" hidden="false" customHeight="false" outlineLevel="0" collapsed="false">
      <c r="A17" s="16"/>
      <c r="B17" s="12"/>
      <c r="C17" s="12"/>
      <c r="D17" s="13"/>
      <c r="E17" s="12"/>
      <c r="F17" s="12"/>
    </row>
    <row r="18" customFormat="false" ht="15" hidden="false" customHeight="false" outlineLevel="0" collapsed="false">
      <c r="A18" s="16"/>
      <c r="B18" s="12"/>
      <c r="C18" s="12"/>
      <c r="D18" s="13"/>
      <c r="E18" s="12"/>
      <c r="F18" s="12"/>
    </row>
    <row r="19" customFormat="false" ht="15" hidden="false" customHeight="false" outlineLevel="0" collapsed="false">
      <c r="A19" s="16"/>
      <c r="B19" s="12"/>
      <c r="C19" s="12"/>
      <c r="D19" s="13"/>
      <c r="E19" s="12"/>
      <c r="F19" s="12"/>
    </row>
    <row r="20" customFormat="false" ht="15" hidden="false" customHeight="false" outlineLevel="0" collapsed="false">
      <c r="A20" s="16"/>
      <c r="B20" s="12"/>
      <c r="C20" s="12"/>
      <c r="D20" s="13"/>
      <c r="E20" s="12"/>
      <c r="F20" s="12"/>
    </row>
    <row r="21" customFormat="false" ht="15" hidden="false" customHeight="false" outlineLevel="0" collapsed="false">
      <c r="A21" s="16"/>
      <c r="B21" s="12"/>
      <c r="C21" s="12"/>
      <c r="D21" s="13"/>
      <c r="E21" s="12"/>
      <c r="F21" s="12"/>
    </row>
    <row r="22" customFormat="false" ht="15" hidden="false" customHeight="false" outlineLevel="0" collapsed="false">
      <c r="A22" s="16"/>
      <c r="B22" s="12"/>
      <c r="C22" s="12"/>
      <c r="D22" s="13"/>
      <c r="E22" s="12"/>
      <c r="F22" s="12"/>
    </row>
    <row r="23" customFormat="false" ht="15" hidden="false" customHeight="false" outlineLevel="0" collapsed="false">
      <c r="A23" s="16"/>
      <c r="B23" s="12"/>
      <c r="C23" s="12"/>
      <c r="D23" s="13"/>
      <c r="E23" s="12"/>
      <c r="F23" s="12"/>
    </row>
    <row r="24" customFormat="false" ht="15" hidden="false" customHeight="false" outlineLevel="0" collapsed="false">
      <c r="A24" s="16"/>
      <c r="B24" s="12"/>
      <c r="C24" s="12"/>
      <c r="D24" s="13"/>
      <c r="E24" s="12"/>
      <c r="F24" s="12"/>
    </row>
    <row r="25" customFormat="false" ht="15" hidden="false" customHeight="false" outlineLevel="0" collapsed="false">
      <c r="A25" s="16"/>
      <c r="B25" s="12"/>
      <c r="C25" s="12"/>
      <c r="D25" s="13"/>
      <c r="E25" s="12"/>
      <c r="F25" s="12"/>
    </row>
    <row r="26" customFormat="false" ht="15" hidden="false" customHeight="false" outlineLevel="0" collapsed="false">
      <c r="A26" s="16"/>
      <c r="B26" s="12"/>
      <c r="C26" s="12"/>
      <c r="D26" s="13"/>
      <c r="E26" s="12"/>
      <c r="F26" s="12"/>
    </row>
    <row r="27" customFormat="false" ht="15" hidden="false" customHeight="false" outlineLevel="0" collapsed="false">
      <c r="A27" s="16"/>
      <c r="B27" s="12"/>
      <c r="C27" s="12"/>
      <c r="D27" s="13"/>
      <c r="E27" s="12"/>
      <c r="F27" s="12"/>
    </row>
    <row r="28" customFormat="false" ht="15" hidden="false" customHeight="false" outlineLevel="0" collapsed="false">
      <c r="A28" s="16"/>
      <c r="B28" s="12"/>
      <c r="C28" s="12"/>
      <c r="D28" s="13"/>
      <c r="E28" s="12"/>
      <c r="F28" s="12"/>
    </row>
    <row r="29" customFormat="false" ht="15" hidden="false" customHeight="false" outlineLevel="0" collapsed="false">
      <c r="A29" s="16"/>
      <c r="B29" s="12"/>
      <c r="C29" s="12"/>
      <c r="D29" s="13"/>
      <c r="E29" s="12"/>
      <c r="F29" s="12"/>
    </row>
    <row r="30" customFormat="false" ht="15" hidden="false" customHeight="false" outlineLevel="0" collapsed="false">
      <c r="A30" s="16"/>
      <c r="B30" s="12"/>
      <c r="C30" s="12"/>
      <c r="D30" s="13"/>
      <c r="E30" s="12"/>
      <c r="F30" s="12"/>
    </row>
    <row r="31" customFormat="false" ht="15" hidden="false" customHeight="false" outlineLevel="0" collapsed="false">
      <c r="A31" s="16"/>
      <c r="B31" s="12"/>
      <c r="C31" s="12"/>
      <c r="D31" s="13"/>
      <c r="E31" s="12"/>
      <c r="F31" s="12"/>
    </row>
    <row r="32" customFormat="false" ht="15" hidden="false" customHeight="false" outlineLevel="0" collapsed="false">
      <c r="A32" s="16"/>
      <c r="B32" s="12"/>
      <c r="C32" s="12"/>
      <c r="D32" s="13"/>
      <c r="E32" s="12"/>
      <c r="F32" s="12"/>
    </row>
    <row r="33" customFormat="false" ht="15" hidden="false" customHeight="false" outlineLevel="0" collapsed="false">
      <c r="A33" s="16"/>
      <c r="B33" s="12"/>
      <c r="C33" s="12"/>
      <c r="D33" s="13"/>
      <c r="E33" s="12"/>
      <c r="F33" s="12"/>
    </row>
    <row r="34" customFormat="false" ht="15" hidden="false" customHeight="false" outlineLevel="0" collapsed="false">
      <c r="A34" s="16"/>
      <c r="B34" s="12"/>
      <c r="C34" s="12"/>
      <c r="D34" s="13"/>
      <c r="E34" s="12"/>
      <c r="F34" s="12"/>
    </row>
    <row r="35" customFormat="false" ht="15" hidden="false" customHeight="false" outlineLevel="0" collapsed="false">
      <c r="A35" s="16"/>
      <c r="B35" s="12"/>
      <c r="C35" s="12"/>
      <c r="D35" s="13"/>
      <c r="E35" s="12"/>
      <c r="F35" s="12"/>
    </row>
    <row r="36" customFormat="false" ht="15" hidden="false" customHeight="false" outlineLevel="0" collapsed="false">
      <c r="A36" s="16"/>
      <c r="B36" s="12"/>
      <c r="C36" s="12"/>
      <c r="D36" s="13"/>
      <c r="E36" s="12"/>
      <c r="F36" s="12"/>
    </row>
    <row r="37" customFormat="false" ht="15" hidden="false" customHeight="false" outlineLevel="0" collapsed="false">
      <c r="A37" s="16"/>
      <c r="B37" s="12"/>
      <c r="C37" s="12"/>
      <c r="D37" s="13"/>
      <c r="E37" s="12"/>
      <c r="F37" s="12"/>
    </row>
    <row r="38" customFormat="false" ht="15" hidden="false" customHeight="false" outlineLevel="0" collapsed="false">
      <c r="A38" s="16"/>
      <c r="B38" s="12"/>
      <c r="C38" s="12"/>
      <c r="D38" s="13"/>
      <c r="E38" s="12"/>
      <c r="F38" s="12"/>
    </row>
    <row r="39" customFormat="false" ht="15" hidden="false" customHeight="false" outlineLevel="0" collapsed="false">
      <c r="A39" s="16"/>
      <c r="B39" s="12"/>
      <c r="C39" s="12"/>
      <c r="D39" s="13"/>
      <c r="E39" s="12"/>
      <c r="F39" s="12"/>
    </row>
    <row r="40" customFormat="false" ht="15" hidden="false" customHeight="false" outlineLevel="0" collapsed="false">
      <c r="A40" s="16"/>
      <c r="B40" s="12"/>
      <c r="C40" s="12"/>
      <c r="D40" s="13"/>
      <c r="E40" s="12"/>
      <c r="F40" s="12"/>
    </row>
    <row r="41" customFormat="false" ht="15" hidden="false" customHeight="false" outlineLevel="0" collapsed="false">
      <c r="A41" s="16"/>
      <c r="B41" s="12"/>
      <c r="C41" s="12"/>
      <c r="D41" s="13"/>
      <c r="E41" s="12"/>
      <c r="F41" s="12"/>
    </row>
    <row r="42" customFormat="false" ht="15" hidden="false" customHeight="false" outlineLevel="0" collapsed="false">
      <c r="A42" s="16"/>
      <c r="B42" s="12"/>
      <c r="C42" s="12"/>
      <c r="D42" s="13"/>
      <c r="E42" s="12"/>
      <c r="F42" s="12"/>
    </row>
    <row r="43" customFormat="false" ht="15" hidden="false" customHeight="false" outlineLevel="0" collapsed="false">
      <c r="A43" s="16"/>
      <c r="B43" s="12"/>
      <c r="C43" s="12"/>
      <c r="D43" s="13"/>
      <c r="E43" s="12"/>
      <c r="F43" s="12"/>
    </row>
    <row r="44" customFormat="false" ht="15" hidden="false" customHeight="false" outlineLevel="0" collapsed="false">
      <c r="A44" s="16"/>
      <c r="B44" s="12"/>
      <c r="C44" s="12"/>
      <c r="D44" s="13"/>
      <c r="E44" s="12"/>
      <c r="F44" s="12"/>
    </row>
    <row r="45" customFormat="false" ht="15" hidden="false" customHeight="false" outlineLevel="0" collapsed="false">
      <c r="A45" s="16"/>
      <c r="B45" s="12"/>
      <c r="C45" s="12"/>
      <c r="D45" s="13"/>
      <c r="E45" s="12"/>
      <c r="F45" s="12"/>
    </row>
    <row r="46" customFormat="false" ht="15" hidden="false" customHeight="false" outlineLevel="0" collapsed="false">
      <c r="A46" s="16"/>
      <c r="B46" s="12"/>
      <c r="C46" s="12"/>
      <c r="D46" s="13"/>
      <c r="E46" s="12"/>
      <c r="F46" s="12"/>
    </row>
    <row r="47" customFormat="false" ht="15" hidden="false" customHeight="false" outlineLevel="0" collapsed="false">
      <c r="A47" s="16"/>
      <c r="B47" s="12"/>
      <c r="C47" s="12"/>
      <c r="D47" s="13"/>
      <c r="E47" s="12"/>
      <c r="F47" s="12"/>
    </row>
    <row r="48" customFormat="false" ht="15" hidden="false" customHeight="false" outlineLevel="0" collapsed="false">
      <c r="A48" s="16"/>
      <c r="B48" s="12"/>
      <c r="C48" s="12"/>
      <c r="D48" s="13"/>
      <c r="E48" s="12"/>
      <c r="F48" s="12"/>
    </row>
    <row r="49" customFormat="false" ht="15" hidden="false" customHeight="false" outlineLevel="0" collapsed="false">
      <c r="A49" s="16"/>
      <c r="B49" s="12"/>
      <c r="C49" s="12"/>
      <c r="D49" s="13"/>
      <c r="E49" s="12"/>
      <c r="F49" s="12"/>
    </row>
    <row r="50" customFormat="false" ht="15" hidden="false" customHeight="false" outlineLevel="0" collapsed="false">
      <c r="A50" s="16"/>
      <c r="B50" s="12"/>
      <c r="C50" s="12"/>
      <c r="D50" s="13"/>
      <c r="E50" s="12"/>
      <c r="F50" s="12"/>
    </row>
    <row r="51" customFormat="false" ht="15" hidden="false" customHeight="false" outlineLevel="0" collapsed="false">
      <c r="A51" s="16"/>
      <c r="B51" s="12"/>
      <c r="C51" s="12"/>
      <c r="D51" s="13"/>
      <c r="E51" s="12"/>
      <c r="F51" s="12"/>
    </row>
    <row r="52" customFormat="false" ht="15" hidden="false" customHeight="false" outlineLevel="0" collapsed="false">
      <c r="A52" s="16"/>
      <c r="B52" s="12"/>
      <c r="C52" s="12"/>
      <c r="D52" s="13"/>
      <c r="E52" s="12"/>
      <c r="F52" s="12"/>
    </row>
    <row r="53" customFormat="false" ht="15" hidden="false" customHeight="false" outlineLevel="0" collapsed="false">
      <c r="A53" s="16"/>
      <c r="B53" s="12"/>
      <c r="C53" s="12"/>
      <c r="D53" s="13"/>
      <c r="E53" s="12"/>
      <c r="F53" s="12"/>
    </row>
    <row r="54" customFormat="false" ht="15" hidden="false" customHeight="false" outlineLevel="0" collapsed="false">
      <c r="A54" s="16"/>
      <c r="B54" s="12"/>
      <c r="C54" s="12"/>
      <c r="D54" s="13"/>
      <c r="E54" s="12"/>
      <c r="F54" s="12"/>
    </row>
    <row r="55" customFormat="false" ht="15" hidden="false" customHeight="false" outlineLevel="0" collapsed="false">
      <c r="A55" s="16"/>
      <c r="B55" s="12"/>
      <c r="C55" s="12"/>
      <c r="D55" s="13"/>
      <c r="E55" s="12"/>
      <c r="F55" s="12"/>
    </row>
    <row r="56" customFormat="false" ht="15" hidden="false" customHeight="false" outlineLevel="0" collapsed="false">
      <c r="A56" s="16"/>
      <c r="B56" s="12"/>
      <c r="C56" s="12"/>
      <c r="D56" s="13"/>
      <c r="E56" s="12"/>
      <c r="F56" s="12"/>
    </row>
    <row r="57" customFormat="false" ht="15" hidden="false" customHeight="false" outlineLevel="0" collapsed="false">
      <c r="A57" s="16"/>
      <c r="B57" s="12"/>
      <c r="C57" s="12"/>
      <c r="D57" s="13"/>
      <c r="E57" s="12"/>
      <c r="F57" s="12"/>
    </row>
    <row r="58" customFormat="false" ht="15" hidden="false" customHeight="false" outlineLevel="0" collapsed="false">
      <c r="A58" s="16"/>
      <c r="B58" s="12"/>
      <c r="C58" s="12"/>
      <c r="D58" s="13"/>
      <c r="E58" s="12"/>
      <c r="F58" s="12"/>
    </row>
    <row r="59" customFormat="false" ht="15" hidden="false" customHeight="false" outlineLevel="0" collapsed="false">
      <c r="A59" s="16"/>
      <c r="B59" s="12"/>
      <c r="C59" s="12"/>
      <c r="D59" s="13"/>
      <c r="E59" s="12"/>
      <c r="F59" s="12"/>
    </row>
    <row r="60" customFormat="false" ht="15" hidden="false" customHeight="false" outlineLevel="0" collapsed="false">
      <c r="A60" s="16"/>
      <c r="B60" s="12"/>
      <c r="C60" s="12"/>
      <c r="D60" s="13"/>
      <c r="E60" s="12"/>
      <c r="F60" s="12"/>
    </row>
    <row r="61" customFormat="false" ht="15" hidden="false" customHeight="false" outlineLevel="0" collapsed="false">
      <c r="A61" s="16"/>
      <c r="B61" s="12"/>
      <c r="C61" s="12"/>
      <c r="D61" s="13"/>
      <c r="E61" s="12"/>
      <c r="F61" s="12"/>
    </row>
    <row r="62" customFormat="false" ht="15" hidden="false" customHeight="false" outlineLevel="0" collapsed="false">
      <c r="A62" s="16"/>
      <c r="B62" s="12"/>
      <c r="C62" s="12"/>
      <c r="D62" s="13"/>
      <c r="E62" s="12"/>
      <c r="F62" s="12"/>
    </row>
    <row r="63" customFormat="false" ht="15" hidden="false" customHeight="false" outlineLevel="0" collapsed="false">
      <c r="A63" s="16"/>
      <c r="B63" s="12"/>
      <c r="C63" s="12"/>
      <c r="D63" s="13"/>
      <c r="E63" s="12"/>
      <c r="F63" s="12"/>
    </row>
    <row r="64" customFormat="false" ht="15" hidden="false" customHeight="false" outlineLevel="0" collapsed="false">
      <c r="A64" s="16"/>
      <c r="B64" s="12"/>
      <c r="C64" s="12"/>
      <c r="D64" s="13"/>
      <c r="E64" s="12"/>
      <c r="F64" s="12"/>
    </row>
    <row r="65" customFormat="false" ht="15" hidden="false" customHeight="false" outlineLevel="0" collapsed="false">
      <c r="A65" s="16"/>
      <c r="B65" s="12"/>
      <c r="C65" s="12"/>
      <c r="D65" s="13"/>
      <c r="E65" s="12"/>
      <c r="F65" s="12"/>
    </row>
    <row r="66" customFormat="false" ht="15" hidden="false" customHeight="false" outlineLevel="0" collapsed="false">
      <c r="A66" s="16"/>
      <c r="B66" s="12"/>
      <c r="C66" s="12"/>
      <c r="D66" s="13"/>
      <c r="E66" s="12"/>
      <c r="F66" s="12"/>
    </row>
    <row r="67" customFormat="false" ht="15" hidden="false" customHeight="false" outlineLevel="0" collapsed="false">
      <c r="A67" s="16"/>
      <c r="B67" s="12"/>
      <c r="C67" s="12"/>
      <c r="D67" s="13"/>
      <c r="E67" s="12"/>
      <c r="F67" s="12"/>
    </row>
    <row r="68" customFormat="false" ht="15" hidden="false" customHeight="false" outlineLevel="0" collapsed="false">
      <c r="A68" s="16"/>
      <c r="B68" s="12"/>
      <c r="C68" s="12"/>
      <c r="D68" s="13"/>
      <c r="E68" s="12"/>
      <c r="F68" s="12"/>
    </row>
    <row r="69" customFormat="false" ht="15" hidden="false" customHeight="false" outlineLevel="0" collapsed="false">
      <c r="A69" s="16"/>
      <c r="B69" s="12"/>
      <c r="C69" s="12"/>
      <c r="D69" s="13"/>
      <c r="E69" s="12"/>
      <c r="F69" s="12"/>
    </row>
    <row r="70" customFormat="false" ht="15" hidden="false" customHeight="false" outlineLevel="0" collapsed="false">
      <c r="A70" s="16"/>
      <c r="B70" s="12"/>
      <c r="C70" s="12"/>
      <c r="D70" s="13"/>
      <c r="E70" s="12"/>
      <c r="F70" s="12"/>
    </row>
    <row r="71" customFormat="false" ht="15" hidden="false" customHeight="false" outlineLevel="0" collapsed="false">
      <c r="A71" s="16"/>
      <c r="B71" s="12"/>
      <c r="C71" s="12"/>
      <c r="D71" s="13"/>
      <c r="E71" s="12"/>
      <c r="F71" s="12"/>
    </row>
    <row r="72" customFormat="false" ht="15" hidden="false" customHeight="false" outlineLevel="0" collapsed="false">
      <c r="A72" s="16"/>
      <c r="B72" s="12"/>
      <c r="C72" s="12"/>
      <c r="D72" s="13"/>
      <c r="E72" s="12"/>
      <c r="F72" s="12"/>
    </row>
    <row r="73" customFormat="false" ht="15" hidden="false" customHeight="false" outlineLevel="0" collapsed="false">
      <c r="A73" s="16"/>
      <c r="B73" s="12"/>
      <c r="C73" s="12"/>
      <c r="D73" s="13"/>
      <c r="E73" s="12"/>
      <c r="F73" s="12"/>
    </row>
    <row r="74" customFormat="false" ht="15" hidden="false" customHeight="false" outlineLevel="0" collapsed="false">
      <c r="A74" s="16"/>
      <c r="B74" s="12"/>
      <c r="C74" s="12"/>
      <c r="D74" s="13"/>
      <c r="E74" s="12"/>
      <c r="F74" s="12"/>
    </row>
    <row r="75" customFormat="false" ht="15" hidden="false" customHeight="false" outlineLevel="0" collapsed="false">
      <c r="A75" s="16"/>
      <c r="B75" s="12"/>
      <c r="C75" s="12"/>
      <c r="D75" s="13"/>
      <c r="E75" s="12"/>
      <c r="F75" s="12"/>
    </row>
    <row r="76" customFormat="false" ht="15" hidden="false" customHeight="false" outlineLevel="0" collapsed="false">
      <c r="A76" s="16"/>
      <c r="B76" s="12"/>
      <c r="C76" s="12"/>
      <c r="D76" s="13"/>
      <c r="E76" s="12"/>
      <c r="F76" s="12"/>
    </row>
    <row r="77" customFormat="false" ht="15" hidden="false" customHeight="false" outlineLevel="0" collapsed="false">
      <c r="A77" s="16"/>
      <c r="B77" s="12"/>
      <c r="C77" s="12"/>
      <c r="D77" s="13"/>
      <c r="E77" s="12"/>
      <c r="F77" s="12"/>
    </row>
    <row r="78" customFormat="false" ht="15" hidden="false" customHeight="false" outlineLevel="0" collapsed="false">
      <c r="A78" s="16"/>
      <c r="B78" s="12"/>
      <c r="C78" s="12"/>
      <c r="D78" s="13"/>
      <c r="E78" s="12"/>
      <c r="F78" s="12"/>
    </row>
    <row r="79" customFormat="false" ht="15" hidden="false" customHeight="false" outlineLevel="0" collapsed="false">
      <c r="A79" s="16"/>
      <c r="B79" s="12"/>
      <c r="C79" s="12"/>
      <c r="D79" s="13"/>
      <c r="E79" s="12"/>
      <c r="F79" s="12"/>
    </row>
    <row r="80" customFormat="false" ht="15" hidden="false" customHeight="false" outlineLevel="0" collapsed="false">
      <c r="A80" s="16"/>
      <c r="B80" s="12"/>
      <c r="C80" s="12"/>
      <c r="D80" s="13"/>
      <c r="E80" s="12"/>
      <c r="F80" s="12"/>
    </row>
    <row r="81" customFormat="false" ht="15" hidden="false" customHeight="false" outlineLevel="0" collapsed="false">
      <c r="A81" s="16"/>
      <c r="B81" s="12"/>
      <c r="C81" s="12"/>
      <c r="D81" s="13"/>
      <c r="E81" s="12"/>
      <c r="F81" s="12"/>
    </row>
    <row r="82" customFormat="false" ht="15" hidden="false" customHeight="false" outlineLevel="0" collapsed="false">
      <c r="A82" s="16"/>
      <c r="B82" s="12"/>
      <c r="C82" s="12"/>
      <c r="D82" s="13"/>
      <c r="E82" s="12"/>
      <c r="F82" s="12"/>
    </row>
    <row r="83" customFormat="false" ht="15" hidden="false" customHeight="false" outlineLevel="0" collapsed="false">
      <c r="A83" s="16"/>
      <c r="B83" s="12"/>
      <c r="C83" s="12"/>
      <c r="D83" s="13"/>
      <c r="E83" s="12"/>
      <c r="F83" s="12"/>
    </row>
    <row r="84" customFormat="false" ht="15" hidden="false" customHeight="false" outlineLevel="0" collapsed="false">
      <c r="A84" s="16"/>
      <c r="B84" s="12"/>
      <c r="C84" s="12"/>
      <c r="D84" s="13"/>
      <c r="E84" s="12"/>
      <c r="F84" s="12"/>
    </row>
    <row r="85" customFormat="false" ht="15" hidden="false" customHeight="false" outlineLevel="0" collapsed="false">
      <c r="A85" s="16"/>
      <c r="B85" s="12"/>
      <c r="C85" s="12"/>
      <c r="D85" s="13"/>
      <c r="E85" s="12"/>
      <c r="F85" s="12"/>
    </row>
    <row r="86" customFormat="false" ht="15" hidden="false" customHeight="false" outlineLevel="0" collapsed="false">
      <c r="A86" s="16"/>
      <c r="B86" s="12"/>
      <c r="C86" s="12"/>
      <c r="D86" s="13"/>
      <c r="E86" s="12"/>
      <c r="F86" s="12"/>
    </row>
    <row r="87" customFormat="false" ht="15" hidden="false" customHeight="false" outlineLevel="0" collapsed="false">
      <c r="A87" s="16"/>
      <c r="B87" s="12"/>
      <c r="C87" s="12"/>
      <c r="D87" s="13"/>
      <c r="E87" s="12"/>
      <c r="F87" s="12"/>
    </row>
    <row r="88" customFormat="false" ht="15" hidden="false" customHeight="false" outlineLevel="0" collapsed="false">
      <c r="A88" s="16"/>
      <c r="B88" s="12"/>
      <c r="C88" s="12"/>
      <c r="D88" s="13"/>
      <c r="E88" s="12"/>
      <c r="F88" s="12"/>
    </row>
    <row r="89" customFormat="false" ht="15" hidden="false" customHeight="false" outlineLevel="0" collapsed="false">
      <c r="A89" s="16"/>
      <c r="B89" s="12"/>
      <c r="C89" s="12"/>
      <c r="D89" s="13"/>
      <c r="E89" s="12"/>
      <c r="F89" s="12"/>
    </row>
    <row r="90" customFormat="false" ht="15" hidden="false" customHeight="false" outlineLevel="0" collapsed="false">
      <c r="A90" s="16"/>
      <c r="B90" s="12"/>
      <c r="C90" s="12"/>
      <c r="D90" s="13"/>
      <c r="E90" s="12"/>
      <c r="F90" s="12"/>
    </row>
    <row r="91" customFormat="false" ht="15" hidden="false" customHeight="false" outlineLevel="0" collapsed="false">
      <c r="A91" s="16"/>
      <c r="B91" s="12"/>
      <c r="C91" s="12"/>
      <c r="D91" s="13"/>
      <c r="E91" s="12"/>
      <c r="F91" s="12"/>
    </row>
    <row r="92" customFormat="false" ht="15" hidden="false" customHeight="false" outlineLevel="0" collapsed="false">
      <c r="A92" s="16"/>
      <c r="B92" s="12"/>
      <c r="C92" s="12"/>
      <c r="D92" s="13"/>
      <c r="E92" s="12"/>
      <c r="F92" s="12"/>
    </row>
    <row r="93" customFormat="false" ht="15" hidden="false" customHeight="false" outlineLevel="0" collapsed="false">
      <c r="A93" s="16"/>
      <c r="B93" s="12"/>
      <c r="C93" s="12"/>
      <c r="D93" s="13"/>
      <c r="E93" s="12"/>
      <c r="F93" s="12"/>
    </row>
    <row r="94" customFormat="false" ht="15" hidden="false" customHeight="false" outlineLevel="0" collapsed="false">
      <c r="A94" s="16"/>
      <c r="B94" s="12"/>
      <c r="C94" s="12"/>
      <c r="D94" s="13"/>
      <c r="E94" s="12"/>
      <c r="F94" s="12"/>
    </row>
    <row r="95" customFormat="false" ht="15" hidden="false" customHeight="false" outlineLevel="0" collapsed="false">
      <c r="A95" s="16"/>
      <c r="B95" s="12"/>
      <c r="C95" s="12"/>
      <c r="D95" s="13"/>
      <c r="E95" s="12"/>
      <c r="F95" s="12"/>
    </row>
    <row r="96" customFormat="false" ht="15" hidden="false" customHeight="false" outlineLevel="0" collapsed="false">
      <c r="A96" s="16"/>
      <c r="B96" s="12"/>
      <c r="C96" s="12"/>
      <c r="D96" s="13"/>
      <c r="E96" s="12"/>
      <c r="F96" s="12"/>
    </row>
    <row r="97" customFormat="false" ht="15" hidden="false" customHeight="false" outlineLevel="0" collapsed="false">
      <c r="A97" s="16"/>
      <c r="B97" s="12"/>
      <c r="C97" s="12"/>
      <c r="D97" s="13"/>
      <c r="E97" s="12"/>
      <c r="F97" s="12"/>
    </row>
    <row r="98" customFormat="false" ht="15" hidden="false" customHeight="false" outlineLevel="0" collapsed="false">
      <c r="A98" s="16"/>
      <c r="B98" s="12"/>
      <c r="C98" s="12"/>
      <c r="D98" s="13"/>
      <c r="E98" s="12"/>
      <c r="F98" s="12"/>
    </row>
    <row r="99" customFormat="false" ht="15" hidden="false" customHeight="false" outlineLevel="0" collapsed="false">
      <c r="A99" s="16"/>
      <c r="B99" s="12"/>
      <c r="C99" s="12"/>
      <c r="D99" s="13"/>
      <c r="E99" s="12"/>
      <c r="F99" s="12"/>
    </row>
    <row r="100" customFormat="false" ht="15" hidden="false" customHeight="false" outlineLevel="0" collapsed="false">
      <c r="A100" s="16"/>
      <c r="B100" s="12"/>
      <c r="C100" s="12"/>
      <c r="D100" s="13"/>
      <c r="E100" s="12"/>
      <c r="F100" s="12"/>
    </row>
    <row r="101" customFormat="false" ht="15" hidden="false" customHeight="false" outlineLevel="0" collapsed="false">
      <c r="A101" s="16"/>
      <c r="B101" s="12"/>
      <c r="C101" s="12"/>
      <c r="D101" s="13"/>
      <c r="E101" s="12"/>
      <c r="F101" s="12"/>
    </row>
    <row r="102" customFormat="false" ht="15" hidden="false" customHeight="false" outlineLevel="0" collapsed="false">
      <c r="A102" s="16"/>
      <c r="B102" s="12"/>
      <c r="C102" s="12"/>
      <c r="D102" s="13"/>
      <c r="E102" s="12"/>
      <c r="F102" s="12"/>
    </row>
    <row r="103" customFormat="false" ht="15" hidden="false" customHeight="false" outlineLevel="0" collapsed="false">
      <c r="A103" s="16"/>
      <c r="B103" s="12"/>
      <c r="C103" s="12"/>
      <c r="D103" s="13"/>
      <c r="E103" s="12"/>
      <c r="F103" s="12"/>
    </row>
    <row r="104" customFormat="false" ht="15" hidden="false" customHeight="false" outlineLevel="0" collapsed="false">
      <c r="A104" s="16"/>
      <c r="B104" s="12"/>
      <c r="C104" s="12"/>
      <c r="D104" s="13"/>
      <c r="E104" s="12"/>
      <c r="F104" s="12"/>
    </row>
    <row r="105" customFormat="false" ht="15" hidden="false" customHeight="false" outlineLevel="0" collapsed="false">
      <c r="A105" s="16"/>
      <c r="B105" s="12"/>
      <c r="C105" s="12"/>
      <c r="D105" s="13"/>
      <c r="E105" s="12"/>
      <c r="F105" s="12"/>
    </row>
    <row r="106" customFormat="false" ht="15" hidden="false" customHeight="false" outlineLevel="0" collapsed="false">
      <c r="A106" s="16"/>
      <c r="B106" s="12"/>
      <c r="C106" s="12"/>
      <c r="D106" s="13"/>
      <c r="E106" s="12"/>
      <c r="F106" s="12"/>
    </row>
    <row r="107" customFormat="false" ht="15" hidden="false" customHeight="false" outlineLevel="0" collapsed="false">
      <c r="A107" s="16"/>
      <c r="B107" s="12"/>
      <c r="C107" s="12"/>
      <c r="D107" s="13"/>
      <c r="E107" s="12"/>
      <c r="F107" s="12"/>
    </row>
    <row r="108" customFormat="false" ht="15" hidden="false" customHeight="false" outlineLevel="0" collapsed="false">
      <c r="A108" s="16"/>
      <c r="B108" s="12"/>
      <c r="C108" s="12"/>
      <c r="D108" s="13"/>
      <c r="E108" s="12"/>
      <c r="F108" s="12"/>
    </row>
    <row r="109" customFormat="false" ht="15" hidden="false" customHeight="false" outlineLevel="0" collapsed="false">
      <c r="A109" s="16"/>
      <c r="B109" s="12"/>
      <c r="C109" s="12"/>
      <c r="D109" s="13"/>
      <c r="E109" s="12"/>
      <c r="F109" s="12"/>
    </row>
    <row r="110" customFormat="false" ht="15" hidden="false" customHeight="false" outlineLevel="0" collapsed="false">
      <c r="A110" s="16"/>
      <c r="B110" s="12"/>
      <c r="C110" s="12"/>
      <c r="D110" s="13"/>
      <c r="E110" s="12"/>
      <c r="F110" s="12"/>
    </row>
    <row r="111" customFormat="false" ht="15" hidden="false" customHeight="false" outlineLevel="0" collapsed="false">
      <c r="A111" s="16"/>
      <c r="B111" s="12"/>
      <c r="C111" s="12"/>
      <c r="D111" s="13"/>
      <c r="E111" s="12"/>
      <c r="F111" s="12"/>
    </row>
    <row r="112" customFormat="false" ht="15" hidden="false" customHeight="false" outlineLevel="0" collapsed="false">
      <c r="A112" s="16"/>
      <c r="B112" s="12"/>
      <c r="C112" s="12"/>
      <c r="D112" s="13"/>
      <c r="E112" s="12"/>
      <c r="F112" s="12"/>
    </row>
    <row r="113" customFormat="false" ht="15" hidden="false" customHeight="false" outlineLevel="0" collapsed="false">
      <c r="A113" s="16"/>
      <c r="B113" s="12"/>
      <c r="C113" s="12"/>
      <c r="D113" s="13"/>
      <c r="E113" s="12"/>
      <c r="F113" s="12"/>
    </row>
    <row r="114" customFormat="false" ht="15" hidden="false" customHeight="false" outlineLevel="0" collapsed="false">
      <c r="A114" s="16"/>
      <c r="B114" s="12"/>
      <c r="C114" s="12"/>
      <c r="D114" s="13"/>
      <c r="E114" s="12"/>
      <c r="F114" s="12"/>
    </row>
    <row r="115" customFormat="false" ht="15" hidden="false" customHeight="false" outlineLevel="0" collapsed="false">
      <c r="A115" s="16"/>
      <c r="B115" s="12"/>
      <c r="C115" s="12"/>
      <c r="D115" s="13"/>
      <c r="E115" s="12"/>
      <c r="F115" s="12"/>
    </row>
    <row r="116" customFormat="false" ht="15" hidden="false" customHeight="false" outlineLevel="0" collapsed="false">
      <c r="A116" s="16"/>
      <c r="B116" s="12"/>
      <c r="C116" s="12"/>
      <c r="D116" s="13"/>
      <c r="E116" s="12"/>
      <c r="F116" s="12"/>
    </row>
    <row r="117" customFormat="false" ht="15" hidden="false" customHeight="false" outlineLevel="0" collapsed="false">
      <c r="A117" s="16"/>
      <c r="B117" s="12"/>
      <c r="C117" s="12"/>
      <c r="D117" s="13"/>
      <c r="E117" s="12"/>
      <c r="F117" s="12"/>
    </row>
    <row r="118" customFormat="false" ht="15" hidden="false" customHeight="false" outlineLevel="0" collapsed="false">
      <c r="A118" s="16"/>
      <c r="B118" s="12"/>
      <c r="C118" s="12"/>
      <c r="D118" s="13"/>
      <c r="E118" s="12"/>
      <c r="F118" s="12"/>
    </row>
    <row r="119" customFormat="false" ht="15" hidden="false" customHeight="false" outlineLevel="0" collapsed="false">
      <c r="A119" s="16"/>
      <c r="B119" s="12"/>
      <c r="C119" s="12"/>
      <c r="D119" s="13"/>
      <c r="E119" s="12"/>
      <c r="F119" s="12"/>
    </row>
    <row r="120" customFormat="false" ht="15" hidden="false" customHeight="false" outlineLevel="0" collapsed="false">
      <c r="A120" s="16"/>
      <c r="B120" s="12"/>
      <c r="C120" s="12"/>
      <c r="D120" s="13"/>
      <c r="E120" s="12"/>
      <c r="F120" s="12"/>
    </row>
    <row r="121" customFormat="false" ht="15" hidden="false" customHeight="false" outlineLevel="0" collapsed="false">
      <c r="A121" s="16"/>
      <c r="B121" s="12"/>
      <c r="C121" s="12"/>
      <c r="D121" s="13"/>
      <c r="E121" s="12"/>
      <c r="F121" s="12"/>
    </row>
    <row r="122" customFormat="false" ht="15" hidden="false" customHeight="false" outlineLevel="0" collapsed="false">
      <c r="A122" s="16"/>
      <c r="B122" s="12"/>
      <c r="C122" s="12"/>
      <c r="D122" s="13"/>
      <c r="E122" s="12"/>
      <c r="F122" s="12"/>
    </row>
    <row r="123" customFormat="false" ht="15" hidden="false" customHeight="false" outlineLevel="0" collapsed="false">
      <c r="A123" s="16"/>
      <c r="B123" s="12"/>
      <c r="C123" s="12"/>
      <c r="D123" s="13"/>
      <c r="E123" s="12"/>
      <c r="F123" s="12"/>
    </row>
    <row r="124" customFormat="false" ht="15" hidden="false" customHeight="false" outlineLevel="0" collapsed="false">
      <c r="A124" s="16"/>
      <c r="B124" s="12"/>
      <c r="C124" s="12"/>
      <c r="D124" s="13"/>
      <c r="E124" s="12"/>
      <c r="F124" s="12"/>
    </row>
    <row r="125" customFormat="false" ht="15" hidden="false" customHeight="false" outlineLevel="0" collapsed="false">
      <c r="A125" s="16"/>
      <c r="B125" s="12"/>
      <c r="C125" s="12"/>
      <c r="D125" s="13"/>
      <c r="E125" s="12"/>
      <c r="F125" s="12"/>
    </row>
    <row r="126" customFormat="false" ht="15" hidden="false" customHeight="false" outlineLevel="0" collapsed="false">
      <c r="A126" s="16"/>
      <c r="B126" s="12"/>
      <c r="C126" s="12"/>
      <c r="D126" s="13"/>
      <c r="E126" s="12"/>
      <c r="F126" s="12"/>
    </row>
    <row r="127" customFormat="false" ht="15" hidden="false" customHeight="false" outlineLevel="0" collapsed="false">
      <c r="A127" s="16"/>
      <c r="B127" s="12"/>
      <c r="C127" s="12"/>
      <c r="D127" s="13"/>
      <c r="E127" s="12"/>
      <c r="F127" s="12"/>
    </row>
    <row r="128" customFormat="false" ht="15" hidden="false" customHeight="false" outlineLevel="0" collapsed="false">
      <c r="A128" s="16"/>
      <c r="B128" s="12"/>
      <c r="C128" s="12"/>
      <c r="D128" s="13"/>
      <c r="E128" s="12"/>
      <c r="F128" s="12"/>
    </row>
    <row r="129" customFormat="false" ht="15" hidden="false" customHeight="false" outlineLevel="0" collapsed="false">
      <c r="A129" s="16"/>
      <c r="B129" s="12"/>
      <c r="C129" s="12"/>
      <c r="D129" s="13"/>
      <c r="E129" s="12"/>
      <c r="F129" s="12"/>
    </row>
    <row r="130" customFormat="false" ht="15" hidden="false" customHeight="false" outlineLevel="0" collapsed="false">
      <c r="A130" s="16"/>
      <c r="B130" s="12"/>
      <c r="C130" s="12"/>
      <c r="D130" s="13"/>
      <c r="E130" s="12"/>
      <c r="F130" s="12"/>
    </row>
    <row r="131" customFormat="false" ht="15" hidden="false" customHeight="false" outlineLevel="0" collapsed="false">
      <c r="A131" s="16"/>
      <c r="B131" s="12"/>
      <c r="C131" s="12"/>
      <c r="D131" s="13"/>
      <c r="E131" s="12"/>
      <c r="F131" s="12"/>
    </row>
    <row r="132" customFormat="false" ht="15" hidden="false" customHeight="false" outlineLevel="0" collapsed="false">
      <c r="A132" s="16"/>
      <c r="B132" s="12"/>
      <c r="C132" s="12"/>
      <c r="D132" s="13"/>
      <c r="E132" s="12"/>
      <c r="F132" s="12"/>
    </row>
    <row r="133" customFormat="false" ht="15" hidden="false" customHeight="false" outlineLevel="0" collapsed="false">
      <c r="A133" s="16"/>
      <c r="B133" s="12"/>
      <c r="C133" s="12"/>
      <c r="D133" s="13"/>
      <c r="E133" s="12"/>
      <c r="F133" s="12"/>
    </row>
    <row r="134" customFormat="false" ht="15" hidden="false" customHeight="false" outlineLevel="0" collapsed="false">
      <c r="A134" s="16"/>
      <c r="B134" s="12"/>
      <c r="C134" s="12"/>
      <c r="D134" s="13"/>
      <c r="E134" s="12"/>
      <c r="F134" s="12"/>
    </row>
    <row r="135" customFormat="false" ht="15" hidden="false" customHeight="false" outlineLevel="0" collapsed="false">
      <c r="A135" s="16"/>
      <c r="B135" s="12"/>
      <c r="C135" s="12"/>
      <c r="D135" s="13"/>
      <c r="E135" s="12"/>
      <c r="F135" s="12"/>
    </row>
    <row r="136" customFormat="false" ht="15" hidden="false" customHeight="false" outlineLevel="0" collapsed="false">
      <c r="A136" s="16"/>
      <c r="B136" s="12"/>
      <c r="C136" s="12"/>
      <c r="D136" s="13"/>
      <c r="E136" s="12"/>
      <c r="F136" s="12"/>
    </row>
    <row r="137" customFormat="false" ht="15" hidden="false" customHeight="false" outlineLevel="0" collapsed="false">
      <c r="A137" s="16"/>
      <c r="B137" s="12"/>
      <c r="C137" s="12"/>
      <c r="D137" s="13"/>
      <c r="E137" s="12"/>
      <c r="F137" s="12"/>
    </row>
    <row r="138" customFormat="false" ht="15" hidden="false" customHeight="false" outlineLevel="0" collapsed="false">
      <c r="A138" s="16"/>
      <c r="B138" s="12"/>
      <c r="C138" s="12"/>
      <c r="D138" s="13"/>
      <c r="E138" s="12"/>
      <c r="F138" s="12"/>
    </row>
    <row r="139" customFormat="false" ht="15" hidden="false" customHeight="false" outlineLevel="0" collapsed="false">
      <c r="A139" s="16"/>
      <c r="B139" s="12"/>
      <c r="C139" s="12"/>
      <c r="D139" s="13"/>
      <c r="E139" s="12"/>
      <c r="F139" s="12"/>
    </row>
    <row r="140" customFormat="false" ht="15" hidden="false" customHeight="false" outlineLevel="0" collapsed="false">
      <c r="A140" s="16"/>
      <c r="B140" s="12"/>
      <c r="C140" s="12"/>
      <c r="D140" s="13"/>
      <c r="E140" s="12"/>
      <c r="F140" s="12"/>
    </row>
    <row r="141" customFormat="false" ht="15" hidden="false" customHeight="false" outlineLevel="0" collapsed="false">
      <c r="A141" s="16"/>
      <c r="B141" s="12"/>
      <c r="C141" s="12"/>
      <c r="D141" s="13"/>
      <c r="E141" s="12"/>
      <c r="F141" s="12"/>
    </row>
    <row r="142" customFormat="false" ht="15" hidden="false" customHeight="false" outlineLevel="0" collapsed="false">
      <c r="A142" s="16"/>
      <c r="B142" s="12"/>
      <c r="C142" s="12"/>
      <c r="D142" s="13"/>
      <c r="E142" s="12"/>
      <c r="F142" s="12"/>
    </row>
    <row r="143" customFormat="false" ht="15" hidden="false" customHeight="false" outlineLevel="0" collapsed="false">
      <c r="A143" s="16"/>
      <c r="B143" s="12"/>
      <c r="C143" s="12"/>
      <c r="D143" s="13"/>
      <c r="E143" s="12"/>
      <c r="F143" s="12"/>
    </row>
    <row r="144" customFormat="false" ht="15" hidden="false" customHeight="false" outlineLevel="0" collapsed="false">
      <c r="A144" s="16"/>
      <c r="B144" s="12"/>
      <c r="C144" s="12"/>
      <c r="D144" s="13"/>
      <c r="E144" s="12"/>
      <c r="F144" s="12"/>
    </row>
    <row r="145" customFormat="false" ht="15" hidden="false" customHeight="false" outlineLevel="0" collapsed="false">
      <c r="A145" s="16"/>
      <c r="B145" s="12"/>
      <c r="C145" s="12"/>
      <c r="D145" s="13"/>
      <c r="E145" s="12"/>
      <c r="F145" s="12"/>
    </row>
    <row r="146" customFormat="false" ht="15" hidden="false" customHeight="false" outlineLevel="0" collapsed="false">
      <c r="A146" s="16"/>
      <c r="B146" s="12"/>
      <c r="C146" s="12"/>
      <c r="D146" s="13"/>
      <c r="E146" s="12"/>
      <c r="F146" s="12"/>
    </row>
    <row r="147" customFormat="false" ht="15" hidden="false" customHeight="false" outlineLevel="0" collapsed="false">
      <c r="A147" s="16"/>
      <c r="B147" s="12"/>
      <c r="C147" s="12"/>
      <c r="D147" s="13"/>
      <c r="E147" s="12"/>
      <c r="F147" s="12"/>
    </row>
    <row r="148" customFormat="false" ht="15" hidden="false" customHeight="false" outlineLevel="0" collapsed="false">
      <c r="A148" s="16"/>
      <c r="B148" s="12"/>
      <c r="C148" s="12"/>
      <c r="D148" s="13"/>
      <c r="E148" s="12"/>
      <c r="F148" s="12"/>
    </row>
    <row r="149" customFormat="false" ht="15" hidden="false" customHeight="false" outlineLevel="0" collapsed="false">
      <c r="A149" s="16"/>
      <c r="B149" s="12"/>
      <c r="C149" s="12"/>
      <c r="D149" s="13"/>
      <c r="E149" s="12"/>
      <c r="F149" s="12"/>
    </row>
    <row r="150" customFormat="false" ht="15" hidden="false" customHeight="false" outlineLevel="0" collapsed="false">
      <c r="A150" s="16"/>
      <c r="B150" s="12"/>
      <c r="C150" s="12"/>
      <c r="D150" s="13"/>
      <c r="E150" s="12"/>
      <c r="F150" s="12"/>
    </row>
    <row r="151" customFormat="false" ht="15" hidden="false" customHeight="false" outlineLevel="0" collapsed="false">
      <c r="A151" s="16"/>
      <c r="B151" s="12"/>
      <c r="C151" s="12"/>
      <c r="D151" s="13"/>
      <c r="E151" s="12"/>
      <c r="F151" s="12"/>
    </row>
    <row r="152" customFormat="false" ht="15" hidden="false" customHeight="false" outlineLevel="0" collapsed="false">
      <c r="A152" s="16"/>
      <c r="B152" s="12"/>
      <c r="C152" s="12"/>
      <c r="D152" s="13"/>
      <c r="E152" s="12"/>
      <c r="F152" s="12"/>
    </row>
    <row r="153" customFormat="false" ht="15" hidden="false" customHeight="false" outlineLevel="0" collapsed="false">
      <c r="A153" s="16"/>
      <c r="B153" s="12"/>
      <c r="C153" s="12"/>
      <c r="D153" s="13"/>
      <c r="E153" s="12"/>
      <c r="F153" s="12"/>
    </row>
    <row r="154" customFormat="false" ht="15" hidden="false" customHeight="false" outlineLevel="0" collapsed="false">
      <c r="A154" s="16"/>
      <c r="B154" s="12"/>
      <c r="C154" s="12"/>
      <c r="D154" s="13"/>
      <c r="E154" s="12"/>
      <c r="F154" s="12"/>
    </row>
    <row r="155" customFormat="false" ht="15" hidden="false" customHeight="false" outlineLevel="0" collapsed="false">
      <c r="A155" s="16"/>
      <c r="B155" s="12"/>
      <c r="C155" s="12"/>
      <c r="D155" s="13"/>
      <c r="E155" s="12"/>
      <c r="F155" s="12"/>
    </row>
    <row r="156" customFormat="false" ht="15" hidden="false" customHeight="false" outlineLevel="0" collapsed="false">
      <c r="A156" s="16"/>
      <c r="B156" s="12"/>
      <c r="C156" s="12"/>
      <c r="D156" s="13"/>
      <c r="E156" s="12"/>
      <c r="F156" s="12"/>
    </row>
    <row r="157" customFormat="false" ht="15" hidden="false" customHeight="false" outlineLevel="0" collapsed="false">
      <c r="A157" s="16"/>
      <c r="B157" s="12"/>
      <c r="C157" s="12"/>
      <c r="D157" s="13"/>
      <c r="E157" s="12"/>
      <c r="F157" s="12"/>
    </row>
    <row r="158" customFormat="false" ht="15" hidden="false" customHeight="false" outlineLevel="0" collapsed="false">
      <c r="A158" s="16"/>
      <c r="B158" s="12"/>
      <c r="C158" s="12"/>
      <c r="D158" s="13"/>
      <c r="E158" s="12"/>
      <c r="F158" s="12"/>
    </row>
    <row r="159" customFormat="false" ht="15" hidden="false" customHeight="false" outlineLevel="0" collapsed="false">
      <c r="A159" s="16"/>
      <c r="B159" s="12"/>
      <c r="C159" s="12"/>
      <c r="D159" s="13"/>
      <c r="E159" s="12"/>
      <c r="F159" s="12"/>
    </row>
    <row r="160" customFormat="false" ht="15" hidden="false" customHeight="false" outlineLevel="0" collapsed="false">
      <c r="A160" s="16"/>
      <c r="B160" s="12"/>
      <c r="C160" s="12"/>
      <c r="D160" s="13"/>
      <c r="E160" s="12"/>
      <c r="F160" s="12"/>
    </row>
    <row r="161" customFormat="false" ht="15" hidden="false" customHeight="false" outlineLevel="0" collapsed="false">
      <c r="A161" s="16"/>
      <c r="B161" s="12"/>
      <c r="C161" s="12"/>
      <c r="D161" s="13"/>
      <c r="E161" s="12"/>
      <c r="F161" s="12"/>
    </row>
    <row r="162" customFormat="false" ht="15" hidden="false" customHeight="false" outlineLevel="0" collapsed="false">
      <c r="A162" s="16"/>
      <c r="B162" s="12"/>
      <c r="C162" s="12"/>
      <c r="D162" s="13"/>
      <c r="E162" s="12"/>
      <c r="F162" s="12"/>
    </row>
    <row r="163" customFormat="false" ht="15" hidden="false" customHeight="false" outlineLevel="0" collapsed="false">
      <c r="A163" s="16"/>
      <c r="B163" s="12"/>
      <c r="C163" s="12"/>
      <c r="D163" s="13"/>
      <c r="E163" s="12"/>
      <c r="F163" s="12"/>
    </row>
    <row r="164" customFormat="false" ht="15" hidden="false" customHeight="false" outlineLevel="0" collapsed="false">
      <c r="A164" s="16"/>
      <c r="B164" s="12"/>
      <c r="C164" s="12"/>
      <c r="D164" s="13"/>
      <c r="E164" s="12"/>
      <c r="F164" s="12"/>
    </row>
    <row r="165" customFormat="false" ht="15" hidden="false" customHeight="false" outlineLevel="0" collapsed="false">
      <c r="A165" s="16"/>
      <c r="B165" s="12"/>
      <c r="C165" s="12"/>
      <c r="D165" s="13"/>
      <c r="E165" s="12"/>
      <c r="F165" s="12"/>
    </row>
    <row r="166" customFormat="false" ht="15" hidden="false" customHeight="false" outlineLevel="0" collapsed="false">
      <c r="A166" s="16"/>
      <c r="B166" s="12"/>
      <c r="C166" s="12"/>
      <c r="D166" s="13"/>
      <c r="E166" s="12"/>
      <c r="F166" s="12"/>
    </row>
    <row r="167" customFormat="false" ht="15" hidden="false" customHeight="false" outlineLevel="0" collapsed="false">
      <c r="A167" s="16"/>
      <c r="B167" s="12"/>
      <c r="C167" s="12"/>
      <c r="D167" s="13"/>
      <c r="E167" s="12"/>
      <c r="F167" s="12"/>
    </row>
    <row r="168" customFormat="false" ht="15" hidden="false" customHeight="false" outlineLevel="0" collapsed="false">
      <c r="A168" s="16"/>
      <c r="B168" s="12"/>
      <c r="C168" s="12"/>
      <c r="D168" s="13"/>
      <c r="E168" s="12"/>
      <c r="F168" s="12"/>
    </row>
    <row r="169" customFormat="false" ht="15" hidden="false" customHeight="false" outlineLevel="0" collapsed="false">
      <c r="A169" s="16"/>
      <c r="B169" s="12"/>
      <c r="C169" s="12"/>
      <c r="D169" s="13"/>
      <c r="E169" s="12"/>
      <c r="F169" s="12"/>
    </row>
    <row r="170" customFormat="false" ht="15" hidden="false" customHeight="false" outlineLevel="0" collapsed="false">
      <c r="A170" s="16"/>
      <c r="B170" s="12"/>
      <c r="C170" s="12"/>
      <c r="D170" s="13"/>
      <c r="E170" s="12"/>
      <c r="F170" s="12"/>
    </row>
    <row r="171" customFormat="false" ht="15" hidden="false" customHeight="false" outlineLevel="0" collapsed="false">
      <c r="A171" s="16"/>
      <c r="B171" s="12"/>
      <c r="C171" s="12"/>
      <c r="D171" s="13"/>
      <c r="E171" s="12"/>
      <c r="F171" s="12"/>
    </row>
    <row r="172" customFormat="false" ht="15" hidden="false" customHeight="false" outlineLevel="0" collapsed="false">
      <c r="A172" s="16"/>
      <c r="B172" s="12"/>
      <c r="C172" s="12"/>
      <c r="D172" s="13"/>
      <c r="E172" s="12"/>
      <c r="F172" s="12"/>
    </row>
    <row r="173" customFormat="false" ht="15" hidden="false" customHeight="false" outlineLevel="0" collapsed="false">
      <c r="A173" s="16"/>
      <c r="B173" s="12"/>
      <c r="C173" s="12"/>
      <c r="D173" s="13"/>
      <c r="E173" s="12"/>
      <c r="F173" s="12"/>
    </row>
    <row r="174" customFormat="false" ht="15" hidden="false" customHeight="false" outlineLevel="0" collapsed="false">
      <c r="A174" s="16"/>
      <c r="B174" s="12"/>
      <c r="C174" s="12"/>
      <c r="D174" s="13"/>
      <c r="E174" s="12"/>
      <c r="F174" s="12"/>
    </row>
    <row r="175" customFormat="false" ht="15" hidden="false" customHeight="false" outlineLevel="0" collapsed="false">
      <c r="A175" s="16"/>
      <c r="B175" s="12"/>
      <c r="C175" s="12"/>
      <c r="D175" s="13"/>
      <c r="E175" s="12"/>
      <c r="F175" s="12"/>
    </row>
    <row r="176" customFormat="false" ht="15" hidden="false" customHeight="false" outlineLevel="0" collapsed="false">
      <c r="A176" s="16"/>
      <c r="B176" s="12"/>
      <c r="C176" s="12"/>
      <c r="D176" s="13"/>
      <c r="E176" s="12"/>
      <c r="F176" s="12"/>
    </row>
    <row r="177" customFormat="false" ht="15" hidden="false" customHeight="false" outlineLevel="0" collapsed="false">
      <c r="A177" s="16"/>
      <c r="B177" s="12"/>
      <c r="C177" s="12"/>
      <c r="D177" s="13"/>
      <c r="E177" s="12"/>
      <c r="F177" s="12"/>
    </row>
    <row r="178" customFormat="false" ht="15" hidden="false" customHeight="false" outlineLevel="0" collapsed="false">
      <c r="A178" s="16"/>
      <c r="B178" s="12"/>
      <c r="C178" s="12"/>
      <c r="D178" s="13"/>
      <c r="E178" s="12"/>
      <c r="F178" s="12"/>
    </row>
    <row r="179" customFormat="false" ht="15" hidden="false" customHeight="false" outlineLevel="0" collapsed="false">
      <c r="A179" s="16"/>
      <c r="B179" s="12"/>
      <c r="C179" s="12"/>
      <c r="D179" s="13"/>
      <c r="E179" s="12"/>
      <c r="F179" s="12"/>
    </row>
    <row r="180" customFormat="false" ht="15" hidden="false" customHeight="false" outlineLevel="0" collapsed="false">
      <c r="A180" s="16"/>
      <c r="B180" s="12"/>
      <c r="C180" s="12"/>
      <c r="D180" s="13"/>
      <c r="E180" s="12"/>
      <c r="F180" s="12"/>
    </row>
    <row r="181" customFormat="false" ht="15" hidden="false" customHeight="false" outlineLevel="0" collapsed="false">
      <c r="A181" s="16"/>
      <c r="B181" s="12"/>
      <c r="C181" s="12"/>
      <c r="D181" s="13"/>
      <c r="E181" s="12"/>
      <c r="F181" s="12"/>
    </row>
    <row r="182" customFormat="false" ht="15" hidden="false" customHeight="false" outlineLevel="0" collapsed="false">
      <c r="A182" s="16"/>
      <c r="B182" s="12"/>
      <c r="C182" s="12"/>
      <c r="D182" s="13"/>
      <c r="E182" s="12"/>
      <c r="F182" s="12"/>
    </row>
    <row r="183" customFormat="false" ht="15" hidden="false" customHeight="false" outlineLevel="0" collapsed="false">
      <c r="A183" s="16"/>
      <c r="B183" s="12"/>
      <c r="C183" s="12"/>
      <c r="D183" s="13"/>
      <c r="E183" s="12"/>
      <c r="F183" s="12"/>
    </row>
    <row r="184" customFormat="false" ht="15" hidden="false" customHeight="false" outlineLevel="0" collapsed="false">
      <c r="A184" s="16"/>
      <c r="B184" s="12"/>
      <c r="C184" s="12"/>
      <c r="D184" s="13"/>
      <c r="E184" s="12"/>
      <c r="F184" s="12"/>
    </row>
    <row r="185" customFormat="false" ht="15" hidden="false" customHeight="false" outlineLevel="0" collapsed="false">
      <c r="A185" s="16"/>
      <c r="B185" s="12"/>
      <c r="C185" s="12"/>
      <c r="D185" s="13"/>
      <c r="E185" s="12"/>
      <c r="F185" s="12"/>
    </row>
    <row r="186" customFormat="false" ht="15" hidden="false" customHeight="false" outlineLevel="0" collapsed="false">
      <c r="A186" s="16"/>
      <c r="B186" s="12"/>
      <c r="C186" s="12"/>
      <c r="D186" s="13"/>
      <c r="E186" s="12"/>
      <c r="F186" s="12"/>
    </row>
    <row r="187" customFormat="false" ht="15" hidden="false" customHeight="false" outlineLevel="0" collapsed="false">
      <c r="A187" s="16"/>
      <c r="B187" s="12"/>
      <c r="C187" s="12"/>
      <c r="D187" s="13"/>
      <c r="E187" s="12"/>
      <c r="F187" s="12"/>
    </row>
    <row r="188" customFormat="false" ht="15" hidden="false" customHeight="false" outlineLevel="0" collapsed="false">
      <c r="A188" s="16"/>
      <c r="B188" s="12"/>
      <c r="C188" s="12"/>
      <c r="D188" s="13"/>
      <c r="E188" s="12"/>
      <c r="F188" s="12"/>
    </row>
    <row r="189" customFormat="false" ht="15" hidden="false" customHeight="false" outlineLevel="0" collapsed="false">
      <c r="A189" s="16"/>
      <c r="B189" s="12"/>
      <c r="C189" s="12"/>
      <c r="D189" s="13"/>
      <c r="E189" s="12"/>
      <c r="F189" s="12"/>
    </row>
    <row r="190" customFormat="false" ht="15" hidden="false" customHeight="false" outlineLevel="0" collapsed="false">
      <c r="A190" s="16"/>
      <c r="B190" s="12"/>
      <c r="C190" s="12"/>
      <c r="D190" s="13"/>
      <c r="E190" s="12"/>
      <c r="F190" s="12"/>
    </row>
    <row r="191" customFormat="false" ht="15" hidden="false" customHeight="false" outlineLevel="0" collapsed="false">
      <c r="A191" s="16"/>
      <c r="B191" s="12"/>
      <c r="C191" s="12"/>
      <c r="D191" s="13"/>
      <c r="E191" s="12"/>
      <c r="F191" s="12"/>
    </row>
    <row r="192" customFormat="false" ht="15" hidden="false" customHeight="false" outlineLevel="0" collapsed="false">
      <c r="A192" s="16"/>
      <c r="B192" s="12"/>
      <c r="C192" s="12"/>
      <c r="D192" s="13"/>
      <c r="E192" s="12"/>
      <c r="F192" s="12"/>
    </row>
    <row r="193" customFormat="false" ht="15" hidden="false" customHeight="false" outlineLevel="0" collapsed="false">
      <c r="A193" s="16"/>
      <c r="B193" s="12"/>
      <c r="C193" s="12"/>
      <c r="D193" s="13"/>
      <c r="E193" s="12"/>
      <c r="F193" s="12"/>
    </row>
    <row r="194" customFormat="false" ht="15" hidden="false" customHeight="false" outlineLevel="0" collapsed="false">
      <c r="A194" s="16"/>
      <c r="B194" s="12"/>
      <c r="C194" s="12"/>
      <c r="D194" s="13"/>
      <c r="E194" s="12"/>
      <c r="F194" s="12"/>
    </row>
    <row r="195" customFormat="false" ht="15" hidden="false" customHeight="false" outlineLevel="0" collapsed="false">
      <c r="A195" s="16"/>
      <c r="B195" s="12"/>
      <c r="C195" s="12"/>
      <c r="D195" s="13"/>
      <c r="E195" s="12"/>
      <c r="F195" s="12"/>
    </row>
    <row r="196" customFormat="false" ht="15" hidden="false" customHeight="false" outlineLevel="0" collapsed="false">
      <c r="A196" s="16"/>
      <c r="B196" s="12"/>
      <c r="C196" s="12"/>
      <c r="D196" s="13"/>
      <c r="E196" s="12"/>
      <c r="F196" s="12"/>
    </row>
    <row r="197" customFormat="false" ht="15" hidden="false" customHeight="false" outlineLevel="0" collapsed="false">
      <c r="A197" s="16"/>
      <c r="B197" s="12"/>
      <c r="C197" s="12"/>
      <c r="D197" s="13"/>
      <c r="E197" s="12"/>
      <c r="F197" s="12"/>
    </row>
    <row r="198" customFormat="false" ht="15" hidden="false" customHeight="false" outlineLevel="0" collapsed="false">
      <c r="A198" s="16"/>
      <c r="B198" s="12"/>
      <c r="C198" s="12"/>
      <c r="D198" s="13"/>
      <c r="E198" s="12"/>
      <c r="F198" s="12"/>
    </row>
    <row r="199" customFormat="false" ht="15" hidden="false" customHeight="false" outlineLevel="0" collapsed="false">
      <c r="A199" s="16"/>
      <c r="B199" s="12"/>
      <c r="C199" s="12"/>
      <c r="D199" s="13"/>
      <c r="E199" s="12"/>
      <c r="F199" s="12"/>
    </row>
    <row r="200" customFormat="false" ht="15" hidden="false" customHeight="false" outlineLevel="0" collapsed="false">
      <c r="A200" s="16"/>
      <c r="B200" s="12"/>
      <c r="C200" s="12"/>
      <c r="D200" s="13"/>
      <c r="E200" s="12"/>
      <c r="F200" s="12"/>
    </row>
    <row r="201" customFormat="false" ht="15" hidden="false" customHeight="false" outlineLevel="0" collapsed="false">
      <c r="A201" s="16"/>
      <c r="B201" s="12"/>
      <c r="C201" s="12"/>
      <c r="D201" s="13"/>
      <c r="E201" s="12"/>
      <c r="F201" s="12"/>
    </row>
    <row r="202" customFormat="false" ht="15" hidden="false" customHeight="false" outlineLevel="0" collapsed="false">
      <c r="A202" s="16"/>
      <c r="B202" s="12"/>
      <c r="C202" s="12"/>
      <c r="D202" s="13"/>
      <c r="E202" s="12"/>
      <c r="F202" s="12"/>
    </row>
    <row r="203" customFormat="false" ht="15" hidden="false" customHeight="false" outlineLevel="0" collapsed="false">
      <c r="A203" s="16"/>
      <c r="B203" s="12"/>
      <c r="C203" s="12"/>
      <c r="D203" s="13"/>
      <c r="E203" s="12"/>
      <c r="F203" s="12"/>
    </row>
    <row r="204" customFormat="false" ht="15" hidden="false" customHeight="false" outlineLevel="0" collapsed="false">
      <c r="A204" s="16"/>
      <c r="B204" s="12"/>
      <c r="C204" s="12"/>
      <c r="D204" s="13"/>
      <c r="E204" s="12"/>
      <c r="F204" s="12"/>
    </row>
    <row r="205" customFormat="false" ht="15" hidden="false" customHeight="false" outlineLevel="0" collapsed="false">
      <c r="A205" s="16"/>
      <c r="B205" s="12"/>
      <c r="C205" s="12"/>
      <c r="D205" s="13"/>
      <c r="E205" s="12"/>
      <c r="F205" s="12"/>
    </row>
    <row r="206" customFormat="false" ht="15" hidden="false" customHeight="false" outlineLevel="0" collapsed="false">
      <c r="A206" s="16"/>
      <c r="B206" s="12"/>
      <c r="C206" s="12"/>
      <c r="D206" s="13"/>
      <c r="E206" s="12"/>
      <c r="F206" s="12"/>
    </row>
    <row r="207" customFormat="false" ht="15" hidden="false" customHeight="false" outlineLevel="0" collapsed="false">
      <c r="A207" s="16"/>
      <c r="B207" s="12"/>
      <c r="C207" s="12"/>
      <c r="D207" s="13"/>
      <c r="E207" s="12"/>
      <c r="F207" s="12"/>
    </row>
    <row r="208" customFormat="false" ht="15" hidden="false" customHeight="false" outlineLevel="0" collapsed="false">
      <c r="A208" s="16"/>
      <c r="B208" s="12"/>
      <c r="C208" s="12"/>
      <c r="D208" s="13"/>
      <c r="E208" s="12"/>
      <c r="F208" s="12"/>
    </row>
    <row r="209" customFormat="false" ht="15" hidden="false" customHeight="false" outlineLevel="0" collapsed="false">
      <c r="A209" s="16"/>
      <c r="B209" s="12"/>
      <c r="C209" s="12"/>
      <c r="D209" s="13"/>
      <c r="E209" s="12"/>
      <c r="F209" s="12"/>
    </row>
    <row r="210" customFormat="false" ht="15" hidden="false" customHeight="false" outlineLevel="0" collapsed="false">
      <c r="A210" s="16"/>
      <c r="B210" s="12"/>
      <c r="C210" s="12"/>
      <c r="D210" s="13"/>
      <c r="E210" s="12"/>
      <c r="F210" s="12"/>
    </row>
    <row r="211" customFormat="false" ht="15" hidden="false" customHeight="false" outlineLevel="0" collapsed="false">
      <c r="A211" s="16"/>
      <c r="B211" s="12"/>
      <c r="C211" s="12"/>
      <c r="D211" s="13"/>
      <c r="E211" s="12"/>
      <c r="F211" s="12"/>
    </row>
    <row r="212" customFormat="false" ht="15" hidden="false" customHeight="false" outlineLevel="0" collapsed="false">
      <c r="A212" s="16"/>
      <c r="B212" s="12"/>
      <c r="C212" s="12"/>
      <c r="D212" s="13"/>
      <c r="E212" s="12"/>
      <c r="F212" s="12"/>
    </row>
    <row r="213" customFormat="false" ht="15" hidden="false" customHeight="false" outlineLevel="0" collapsed="false">
      <c r="A213" s="16"/>
      <c r="B213" s="12"/>
      <c r="C213" s="12"/>
      <c r="D213" s="13"/>
      <c r="E213" s="12"/>
      <c r="F213" s="12"/>
    </row>
    <row r="214" customFormat="false" ht="15" hidden="false" customHeight="false" outlineLevel="0" collapsed="false">
      <c r="A214" s="16"/>
      <c r="B214" s="12"/>
      <c r="C214" s="12"/>
      <c r="D214" s="13"/>
      <c r="E214" s="12"/>
      <c r="F214" s="12"/>
    </row>
    <row r="215" customFormat="false" ht="15" hidden="false" customHeight="false" outlineLevel="0" collapsed="false">
      <c r="A215" s="16"/>
      <c r="B215" s="12"/>
      <c r="C215" s="12"/>
      <c r="D215" s="13"/>
      <c r="E215" s="12"/>
      <c r="F215" s="12"/>
    </row>
    <row r="216" customFormat="false" ht="15" hidden="false" customHeight="false" outlineLevel="0" collapsed="false">
      <c r="A216" s="16"/>
      <c r="B216" s="12"/>
      <c r="C216" s="12"/>
      <c r="D216" s="13"/>
      <c r="E216" s="12"/>
      <c r="F216" s="12"/>
    </row>
    <row r="217" customFormat="false" ht="15" hidden="false" customHeight="false" outlineLevel="0" collapsed="false">
      <c r="A217" s="16"/>
      <c r="B217" s="12"/>
      <c r="C217" s="12"/>
      <c r="D217" s="13"/>
      <c r="E217" s="12"/>
      <c r="F217" s="12"/>
    </row>
    <row r="218" customFormat="false" ht="15" hidden="false" customHeight="false" outlineLevel="0" collapsed="false">
      <c r="A218" s="16"/>
      <c r="B218" s="12"/>
      <c r="C218" s="12"/>
      <c r="D218" s="13"/>
      <c r="E218" s="12"/>
      <c r="F218" s="12"/>
    </row>
    <row r="219" customFormat="false" ht="15" hidden="false" customHeight="false" outlineLevel="0" collapsed="false">
      <c r="A219" s="16"/>
      <c r="B219" s="12"/>
      <c r="C219" s="12"/>
      <c r="D219" s="13"/>
      <c r="E219" s="12"/>
      <c r="F219" s="12"/>
    </row>
    <row r="220" customFormat="false" ht="15" hidden="false" customHeight="false" outlineLevel="0" collapsed="false">
      <c r="A220" s="16"/>
      <c r="B220" s="12"/>
      <c r="C220" s="12"/>
      <c r="D220" s="13"/>
      <c r="E220" s="12"/>
      <c r="F220" s="12"/>
    </row>
    <row r="221" customFormat="false" ht="15" hidden="false" customHeight="false" outlineLevel="0" collapsed="false">
      <c r="A221" s="16"/>
      <c r="B221" s="12"/>
      <c r="C221" s="12"/>
      <c r="D221" s="13"/>
      <c r="E221" s="12"/>
      <c r="F221" s="12"/>
    </row>
    <row r="222" customFormat="false" ht="15" hidden="false" customHeight="false" outlineLevel="0" collapsed="false">
      <c r="A222" s="16"/>
      <c r="B222" s="12"/>
      <c r="C222" s="12"/>
      <c r="D222" s="13"/>
      <c r="E222" s="12"/>
      <c r="F222" s="12"/>
    </row>
    <row r="223" customFormat="false" ht="15" hidden="false" customHeight="false" outlineLevel="0" collapsed="false">
      <c r="A223" s="16"/>
      <c r="B223" s="12"/>
      <c r="C223" s="12"/>
      <c r="D223" s="13"/>
      <c r="E223" s="12"/>
      <c r="F223" s="12"/>
    </row>
    <row r="224" customFormat="false" ht="15" hidden="false" customHeight="false" outlineLevel="0" collapsed="false">
      <c r="A224" s="16"/>
      <c r="B224" s="12"/>
      <c r="C224" s="12"/>
      <c r="D224" s="13"/>
      <c r="E224" s="12"/>
      <c r="F224" s="12"/>
    </row>
    <row r="225" customFormat="false" ht="15" hidden="false" customHeight="false" outlineLevel="0" collapsed="false">
      <c r="A225" s="16"/>
      <c r="B225" s="12"/>
      <c r="C225" s="12"/>
      <c r="D225" s="13"/>
      <c r="E225" s="12"/>
      <c r="F225" s="12"/>
    </row>
    <row r="226" customFormat="false" ht="15" hidden="false" customHeight="false" outlineLevel="0" collapsed="false">
      <c r="A226" s="16"/>
      <c r="B226" s="12"/>
      <c r="C226" s="12"/>
      <c r="D226" s="13"/>
      <c r="E226" s="12"/>
      <c r="F226" s="12"/>
    </row>
    <row r="227" customFormat="false" ht="15" hidden="false" customHeight="false" outlineLevel="0" collapsed="false">
      <c r="A227" s="16"/>
      <c r="B227" s="12"/>
      <c r="C227" s="12"/>
      <c r="D227" s="13"/>
      <c r="E227" s="12"/>
      <c r="F227" s="12"/>
    </row>
    <row r="228" customFormat="false" ht="15" hidden="false" customHeight="false" outlineLevel="0" collapsed="false">
      <c r="A228" s="16"/>
      <c r="B228" s="12"/>
      <c r="C228" s="12"/>
      <c r="D228" s="13"/>
      <c r="E228" s="12"/>
      <c r="F228" s="12"/>
    </row>
    <row r="229" customFormat="false" ht="15" hidden="false" customHeight="false" outlineLevel="0" collapsed="false">
      <c r="A229" s="16"/>
      <c r="B229" s="12"/>
      <c r="C229" s="12"/>
      <c r="D229" s="13"/>
      <c r="E229" s="12"/>
      <c r="F229" s="12"/>
    </row>
    <row r="230" customFormat="false" ht="15" hidden="false" customHeight="false" outlineLevel="0" collapsed="false">
      <c r="A230" s="16"/>
      <c r="B230" s="12"/>
      <c r="C230" s="12"/>
      <c r="D230" s="13"/>
      <c r="E230" s="12"/>
      <c r="F230" s="12"/>
    </row>
    <row r="231" customFormat="false" ht="15" hidden="false" customHeight="false" outlineLevel="0" collapsed="false">
      <c r="A231" s="16"/>
      <c r="B231" s="12"/>
      <c r="C231" s="12"/>
      <c r="D231" s="13"/>
      <c r="E231" s="12"/>
      <c r="F231" s="12"/>
    </row>
    <row r="232" customFormat="false" ht="15" hidden="false" customHeight="false" outlineLevel="0" collapsed="false">
      <c r="A232" s="16"/>
      <c r="B232" s="12"/>
      <c r="C232" s="12"/>
      <c r="D232" s="13"/>
      <c r="E232" s="12"/>
      <c r="F232" s="12"/>
    </row>
    <row r="233" customFormat="false" ht="15" hidden="false" customHeight="false" outlineLevel="0" collapsed="false">
      <c r="A233" s="16"/>
      <c r="B233" s="12"/>
      <c r="C233" s="12"/>
      <c r="D233" s="13"/>
      <c r="E233" s="12"/>
      <c r="F233" s="12"/>
    </row>
    <row r="234" customFormat="false" ht="15" hidden="false" customHeight="false" outlineLevel="0" collapsed="false">
      <c r="A234" s="16"/>
      <c r="B234" s="12"/>
      <c r="C234" s="12"/>
      <c r="D234" s="13"/>
      <c r="E234" s="12"/>
      <c r="F234" s="12"/>
    </row>
    <row r="235" customFormat="false" ht="15" hidden="false" customHeight="false" outlineLevel="0" collapsed="false">
      <c r="A235" s="16"/>
      <c r="B235" s="12"/>
      <c r="C235" s="12"/>
      <c r="D235" s="13"/>
      <c r="E235" s="12"/>
      <c r="F235" s="12"/>
    </row>
    <row r="236" customFormat="false" ht="15" hidden="false" customHeight="false" outlineLevel="0" collapsed="false">
      <c r="A236" s="16"/>
      <c r="B236" s="12"/>
      <c r="C236" s="12"/>
      <c r="D236" s="13"/>
      <c r="E236" s="12"/>
      <c r="F236" s="12"/>
    </row>
    <row r="237" customFormat="false" ht="15" hidden="false" customHeight="false" outlineLevel="0" collapsed="false">
      <c r="A237" s="16"/>
      <c r="B237" s="12"/>
      <c r="C237" s="12"/>
      <c r="D237" s="13"/>
      <c r="E237" s="12"/>
      <c r="F237" s="12"/>
    </row>
    <row r="238" customFormat="false" ht="15" hidden="false" customHeight="false" outlineLevel="0" collapsed="false">
      <c r="A238" s="16"/>
      <c r="B238" s="12"/>
      <c r="C238" s="12"/>
      <c r="D238" s="13"/>
      <c r="E238" s="12"/>
      <c r="F238" s="12"/>
    </row>
    <row r="239" customFormat="false" ht="15" hidden="false" customHeight="false" outlineLevel="0" collapsed="false">
      <c r="A239" s="16"/>
      <c r="B239" s="12"/>
      <c r="C239" s="12"/>
      <c r="D239" s="13"/>
      <c r="E239" s="12"/>
      <c r="F239" s="12"/>
    </row>
    <row r="240" customFormat="false" ht="15" hidden="false" customHeight="false" outlineLevel="0" collapsed="false">
      <c r="A240" s="16"/>
      <c r="B240" s="12"/>
      <c r="C240" s="12"/>
      <c r="D240" s="13"/>
      <c r="E240" s="12"/>
      <c r="F240" s="12"/>
    </row>
    <row r="241" customFormat="false" ht="15" hidden="false" customHeight="false" outlineLevel="0" collapsed="false">
      <c r="A241" s="16"/>
      <c r="B241" s="12"/>
      <c r="C241" s="12"/>
      <c r="D241" s="13"/>
      <c r="E241" s="12"/>
      <c r="F241" s="12"/>
    </row>
    <row r="242" customFormat="false" ht="15" hidden="false" customHeight="false" outlineLevel="0" collapsed="false">
      <c r="A242" s="16"/>
      <c r="B242" s="12"/>
      <c r="C242" s="12"/>
      <c r="D242" s="13"/>
      <c r="E242" s="12"/>
      <c r="F242" s="12"/>
    </row>
    <row r="243" customFormat="false" ht="15" hidden="false" customHeight="false" outlineLevel="0" collapsed="false">
      <c r="A243" s="16"/>
      <c r="B243" s="12"/>
      <c r="C243" s="12"/>
      <c r="D243" s="13"/>
      <c r="E243" s="12"/>
      <c r="F243" s="12"/>
    </row>
    <row r="244" customFormat="false" ht="15" hidden="false" customHeight="false" outlineLevel="0" collapsed="false">
      <c r="A244" s="16"/>
      <c r="B244" s="12"/>
      <c r="C244" s="12"/>
      <c r="D244" s="13"/>
      <c r="E244" s="12"/>
      <c r="F244" s="12"/>
    </row>
    <row r="245" customFormat="false" ht="15" hidden="false" customHeight="false" outlineLevel="0" collapsed="false">
      <c r="A245" s="16"/>
      <c r="B245" s="12"/>
      <c r="C245" s="12"/>
      <c r="D245" s="13"/>
      <c r="E245" s="12"/>
      <c r="F245" s="12"/>
    </row>
    <row r="246" customFormat="false" ht="15" hidden="false" customHeight="false" outlineLevel="0" collapsed="false">
      <c r="A246" s="16"/>
      <c r="B246" s="12"/>
      <c r="C246" s="12"/>
      <c r="D246" s="13"/>
      <c r="E246" s="12"/>
      <c r="F246" s="12"/>
    </row>
    <row r="247" customFormat="false" ht="15" hidden="false" customHeight="false" outlineLevel="0" collapsed="false">
      <c r="A247" s="16"/>
      <c r="B247" s="12"/>
      <c r="C247" s="12"/>
      <c r="D247" s="13"/>
      <c r="E247" s="12"/>
      <c r="F247" s="12"/>
    </row>
    <row r="248" customFormat="false" ht="15" hidden="false" customHeight="false" outlineLevel="0" collapsed="false">
      <c r="A248" s="16"/>
      <c r="B248" s="12"/>
      <c r="C248" s="12"/>
      <c r="D248" s="13"/>
      <c r="E248" s="12"/>
      <c r="F248" s="12"/>
    </row>
    <row r="249" customFormat="false" ht="15" hidden="false" customHeight="false" outlineLevel="0" collapsed="false">
      <c r="A249" s="16"/>
      <c r="B249" s="12"/>
      <c r="C249" s="12"/>
      <c r="D249" s="13"/>
      <c r="E249" s="12"/>
      <c r="F249" s="12"/>
    </row>
    <row r="250" customFormat="false" ht="15" hidden="false" customHeight="false" outlineLevel="0" collapsed="false">
      <c r="A250" s="16"/>
      <c r="B250" s="12"/>
      <c r="C250" s="12"/>
      <c r="D250" s="13"/>
      <c r="E250" s="12"/>
      <c r="F250" s="12"/>
    </row>
    <row r="251" customFormat="false" ht="15" hidden="false" customHeight="false" outlineLevel="0" collapsed="false">
      <c r="A251" s="16"/>
      <c r="B251" s="12"/>
      <c r="C251" s="12"/>
      <c r="D251" s="13"/>
      <c r="E251" s="12"/>
      <c r="F251" s="12"/>
    </row>
    <row r="252" customFormat="false" ht="15" hidden="false" customHeight="false" outlineLevel="0" collapsed="false">
      <c r="A252" s="16"/>
      <c r="B252" s="12"/>
      <c r="C252" s="12"/>
      <c r="D252" s="13"/>
      <c r="E252" s="12"/>
      <c r="F252" s="12"/>
    </row>
    <row r="253" customFormat="false" ht="15" hidden="false" customHeight="false" outlineLevel="0" collapsed="false">
      <c r="A253" s="16"/>
      <c r="B253" s="12"/>
      <c r="C253" s="12"/>
      <c r="D253" s="13"/>
      <c r="E253" s="12"/>
      <c r="F253" s="12"/>
    </row>
    <row r="254" customFormat="false" ht="15" hidden="false" customHeight="false" outlineLevel="0" collapsed="false">
      <c r="A254" s="16"/>
      <c r="B254" s="12"/>
      <c r="C254" s="12"/>
      <c r="D254" s="13"/>
      <c r="E254" s="12"/>
      <c r="F254" s="12"/>
    </row>
    <row r="255" customFormat="false" ht="15" hidden="false" customHeight="false" outlineLevel="0" collapsed="false">
      <c r="A255" s="16"/>
      <c r="B255" s="12"/>
      <c r="C255" s="12"/>
      <c r="D255" s="13"/>
      <c r="E255" s="12"/>
      <c r="F255" s="12"/>
    </row>
    <row r="256" customFormat="false" ht="15" hidden="false" customHeight="false" outlineLevel="0" collapsed="false">
      <c r="A256" s="16"/>
      <c r="B256" s="12"/>
      <c r="C256" s="12"/>
      <c r="D256" s="13"/>
      <c r="E256" s="12"/>
      <c r="F256" s="12"/>
    </row>
    <row r="257" customFormat="false" ht="15" hidden="false" customHeight="false" outlineLevel="0" collapsed="false">
      <c r="A257" s="16"/>
      <c r="B257" s="12"/>
      <c r="C257" s="12"/>
      <c r="D257" s="13"/>
      <c r="E257" s="12"/>
      <c r="F257" s="12"/>
    </row>
    <row r="258" customFormat="false" ht="15" hidden="false" customHeight="false" outlineLevel="0" collapsed="false">
      <c r="A258" s="16"/>
      <c r="B258" s="12"/>
      <c r="C258" s="12"/>
      <c r="D258" s="13"/>
      <c r="E258" s="12"/>
      <c r="F258" s="12"/>
    </row>
    <row r="259" customFormat="false" ht="15" hidden="false" customHeight="false" outlineLevel="0" collapsed="false">
      <c r="A259" s="16"/>
      <c r="B259" s="12"/>
      <c r="C259" s="12"/>
      <c r="D259" s="13"/>
      <c r="E259" s="12"/>
      <c r="F259" s="12"/>
    </row>
    <row r="260" customFormat="false" ht="15" hidden="false" customHeight="false" outlineLevel="0" collapsed="false">
      <c r="A260" s="16"/>
      <c r="B260" s="12"/>
      <c r="C260" s="12"/>
      <c r="D260" s="13"/>
      <c r="E260" s="12"/>
      <c r="F260" s="12"/>
    </row>
    <row r="261" customFormat="false" ht="15" hidden="false" customHeight="false" outlineLevel="0" collapsed="false">
      <c r="A261" s="16"/>
      <c r="B261" s="12"/>
      <c r="C261" s="12"/>
      <c r="D261" s="13"/>
      <c r="E261" s="12"/>
      <c r="F261" s="12"/>
    </row>
    <row r="262" customFormat="false" ht="15" hidden="false" customHeight="false" outlineLevel="0" collapsed="false">
      <c r="A262" s="16"/>
      <c r="B262" s="12"/>
      <c r="C262" s="12"/>
      <c r="D262" s="13"/>
      <c r="E262" s="12"/>
      <c r="F262" s="12"/>
    </row>
    <row r="263" customFormat="false" ht="15" hidden="false" customHeight="false" outlineLevel="0" collapsed="false">
      <c r="A263" s="16"/>
      <c r="B263" s="12"/>
      <c r="C263" s="12"/>
      <c r="D263" s="13"/>
      <c r="E263" s="12"/>
      <c r="F263" s="12"/>
    </row>
    <row r="264" customFormat="false" ht="15" hidden="false" customHeight="false" outlineLevel="0" collapsed="false">
      <c r="A264" s="16"/>
      <c r="B264" s="12"/>
      <c r="C264" s="12"/>
      <c r="D264" s="13"/>
      <c r="E264" s="12"/>
      <c r="F264" s="12"/>
    </row>
    <row r="265" customFormat="false" ht="15" hidden="false" customHeight="false" outlineLevel="0" collapsed="false">
      <c r="A265" s="16"/>
      <c r="B265" s="12"/>
      <c r="C265" s="12"/>
      <c r="D265" s="13"/>
      <c r="E265" s="12"/>
      <c r="F265" s="12"/>
    </row>
    <row r="266" customFormat="false" ht="15" hidden="false" customHeight="false" outlineLevel="0" collapsed="false">
      <c r="A266" s="16"/>
      <c r="B266" s="12"/>
      <c r="C266" s="12"/>
      <c r="D266" s="13"/>
      <c r="E266" s="12"/>
      <c r="F266" s="12"/>
    </row>
    <row r="267" customFormat="false" ht="15" hidden="false" customHeight="false" outlineLevel="0" collapsed="false">
      <c r="A267" s="16"/>
      <c r="B267" s="12"/>
      <c r="C267" s="12"/>
      <c r="D267" s="13"/>
      <c r="E267" s="12"/>
      <c r="F267" s="12"/>
    </row>
    <row r="268" customFormat="false" ht="15" hidden="false" customHeight="false" outlineLevel="0" collapsed="false">
      <c r="A268" s="16"/>
      <c r="B268" s="12"/>
      <c r="C268" s="12"/>
      <c r="D268" s="13"/>
      <c r="E268" s="12"/>
      <c r="F268" s="12"/>
    </row>
    <row r="269" customFormat="false" ht="15" hidden="false" customHeight="false" outlineLevel="0" collapsed="false">
      <c r="A269" s="16"/>
      <c r="B269" s="12"/>
      <c r="C269" s="12"/>
      <c r="D269" s="13"/>
      <c r="E269" s="12"/>
      <c r="F269" s="12"/>
    </row>
    <row r="270" customFormat="false" ht="15" hidden="false" customHeight="false" outlineLevel="0" collapsed="false">
      <c r="A270" s="16"/>
      <c r="B270" s="12"/>
      <c r="C270" s="12"/>
      <c r="D270" s="13"/>
      <c r="E270" s="12"/>
      <c r="F270" s="12"/>
    </row>
    <row r="271" customFormat="false" ht="15" hidden="false" customHeight="false" outlineLevel="0" collapsed="false">
      <c r="A271" s="16"/>
      <c r="B271" s="12"/>
      <c r="C271" s="12"/>
      <c r="D271" s="13"/>
      <c r="E271" s="12"/>
      <c r="F271" s="12"/>
    </row>
    <row r="272" customFormat="false" ht="15" hidden="false" customHeight="false" outlineLevel="0" collapsed="false">
      <c r="A272" s="16"/>
      <c r="B272" s="12"/>
      <c r="C272" s="12"/>
      <c r="D272" s="13"/>
      <c r="E272" s="12"/>
      <c r="F272" s="12"/>
    </row>
    <row r="273" customFormat="false" ht="15" hidden="false" customHeight="false" outlineLevel="0" collapsed="false">
      <c r="A273" s="16"/>
      <c r="B273" s="12"/>
      <c r="C273" s="12"/>
      <c r="D273" s="13"/>
      <c r="E273" s="12"/>
      <c r="F273" s="12"/>
    </row>
    <row r="274" customFormat="false" ht="15" hidden="false" customHeight="false" outlineLevel="0" collapsed="false">
      <c r="A274" s="16"/>
      <c r="B274" s="12"/>
      <c r="C274" s="12"/>
      <c r="D274" s="13"/>
      <c r="E274" s="12"/>
      <c r="F274" s="12"/>
    </row>
    <row r="275" customFormat="false" ht="15" hidden="false" customHeight="false" outlineLevel="0" collapsed="false">
      <c r="A275" s="16"/>
      <c r="B275" s="12"/>
      <c r="C275" s="12"/>
      <c r="D275" s="13"/>
      <c r="E275" s="12"/>
      <c r="F275" s="12"/>
    </row>
    <row r="276" customFormat="false" ht="15" hidden="false" customHeight="false" outlineLevel="0" collapsed="false">
      <c r="A276" s="16"/>
      <c r="B276" s="12"/>
      <c r="C276" s="12"/>
      <c r="D276" s="13"/>
      <c r="E276" s="12"/>
      <c r="F276" s="12"/>
    </row>
    <row r="277" customFormat="false" ht="15" hidden="false" customHeight="false" outlineLevel="0" collapsed="false">
      <c r="A277" s="16"/>
      <c r="B277" s="12"/>
      <c r="C277" s="12"/>
      <c r="D277" s="13"/>
      <c r="E277" s="12"/>
      <c r="F277" s="12"/>
    </row>
    <row r="278" customFormat="false" ht="15" hidden="false" customHeight="false" outlineLevel="0" collapsed="false">
      <c r="A278" s="16"/>
      <c r="B278" s="12"/>
      <c r="C278" s="12"/>
      <c r="D278" s="13"/>
      <c r="E278" s="12"/>
      <c r="F278" s="12"/>
    </row>
    <row r="279" customFormat="false" ht="15" hidden="false" customHeight="false" outlineLevel="0" collapsed="false">
      <c r="A279" s="16"/>
      <c r="B279" s="12"/>
      <c r="C279" s="12"/>
      <c r="D279" s="13"/>
      <c r="E279" s="12"/>
      <c r="F279" s="12"/>
    </row>
    <row r="280" customFormat="false" ht="15" hidden="false" customHeight="false" outlineLevel="0" collapsed="false">
      <c r="A280" s="16"/>
      <c r="B280" s="12"/>
      <c r="C280" s="12"/>
      <c r="D280" s="13"/>
      <c r="E280" s="12"/>
      <c r="F280" s="12"/>
    </row>
    <row r="281" customFormat="false" ht="15" hidden="false" customHeight="false" outlineLevel="0" collapsed="false">
      <c r="A281" s="16"/>
      <c r="B281" s="12"/>
      <c r="C281" s="12"/>
      <c r="D281" s="13"/>
      <c r="E281" s="12"/>
      <c r="F281" s="12"/>
    </row>
    <row r="282" customFormat="false" ht="15" hidden="false" customHeight="false" outlineLevel="0" collapsed="false">
      <c r="A282" s="16"/>
      <c r="B282" s="12"/>
      <c r="C282" s="12"/>
      <c r="D282" s="13"/>
      <c r="E282" s="12"/>
      <c r="F282" s="12"/>
    </row>
    <row r="283" customFormat="false" ht="15" hidden="false" customHeight="false" outlineLevel="0" collapsed="false">
      <c r="A283" s="16"/>
      <c r="B283" s="12"/>
      <c r="C283" s="12"/>
      <c r="D283" s="13"/>
      <c r="E283" s="12"/>
      <c r="F283" s="12"/>
    </row>
    <row r="284" customFormat="false" ht="15" hidden="false" customHeight="false" outlineLevel="0" collapsed="false">
      <c r="A284" s="16"/>
      <c r="B284" s="12"/>
      <c r="C284" s="12"/>
      <c r="D284" s="13"/>
      <c r="E284" s="12"/>
      <c r="F284" s="12"/>
    </row>
    <row r="285" customFormat="false" ht="15" hidden="false" customHeight="false" outlineLevel="0" collapsed="false">
      <c r="A285" s="16"/>
      <c r="B285" s="12"/>
      <c r="C285" s="12"/>
      <c r="D285" s="13"/>
      <c r="E285" s="12"/>
      <c r="F285" s="12"/>
    </row>
    <row r="286" customFormat="false" ht="15" hidden="false" customHeight="false" outlineLevel="0" collapsed="false">
      <c r="A286" s="16"/>
      <c r="B286" s="12"/>
      <c r="C286" s="12"/>
      <c r="D286" s="13"/>
      <c r="E286" s="12"/>
      <c r="F286" s="12"/>
    </row>
    <row r="287" customFormat="false" ht="15" hidden="false" customHeight="false" outlineLevel="0" collapsed="false">
      <c r="A287" s="16"/>
      <c r="B287" s="12"/>
      <c r="C287" s="12"/>
      <c r="D287" s="13"/>
      <c r="E287" s="12"/>
      <c r="F287" s="12"/>
    </row>
    <row r="288" customFormat="false" ht="15" hidden="false" customHeight="false" outlineLevel="0" collapsed="false">
      <c r="A288" s="16"/>
      <c r="B288" s="12"/>
      <c r="C288" s="12"/>
      <c r="D288" s="13"/>
      <c r="E288" s="12"/>
      <c r="F288" s="12"/>
    </row>
    <row r="289" customFormat="false" ht="15" hidden="false" customHeight="false" outlineLevel="0" collapsed="false">
      <c r="A289" s="16"/>
      <c r="B289" s="12"/>
      <c r="C289" s="12"/>
      <c r="D289" s="13"/>
      <c r="E289" s="12"/>
      <c r="F289" s="12"/>
    </row>
    <row r="290" customFormat="false" ht="15" hidden="false" customHeight="false" outlineLevel="0" collapsed="false">
      <c r="A290" s="16"/>
      <c r="B290" s="12"/>
      <c r="C290" s="12"/>
      <c r="D290" s="13"/>
      <c r="E290" s="12"/>
      <c r="F290" s="12"/>
    </row>
    <row r="291" customFormat="false" ht="15" hidden="false" customHeight="false" outlineLevel="0" collapsed="false">
      <c r="A291" s="16"/>
      <c r="B291" s="12"/>
      <c r="C291" s="12"/>
      <c r="D291" s="13"/>
      <c r="E291" s="12"/>
      <c r="F291" s="12"/>
    </row>
    <row r="292" customFormat="false" ht="15" hidden="false" customHeight="false" outlineLevel="0" collapsed="false">
      <c r="A292" s="16"/>
      <c r="B292" s="12"/>
      <c r="C292" s="12"/>
      <c r="D292" s="13"/>
      <c r="E292" s="12"/>
      <c r="F292" s="12"/>
    </row>
    <row r="293" customFormat="false" ht="15" hidden="false" customHeight="false" outlineLevel="0" collapsed="false">
      <c r="A293" s="16"/>
      <c r="B293" s="12"/>
      <c r="C293" s="12"/>
      <c r="D293" s="13"/>
      <c r="E293" s="12"/>
      <c r="F293" s="12"/>
    </row>
    <row r="294" customFormat="false" ht="15" hidden="false" customHeight="false" outlineLevel="0" collapsed="false">
      <c r="A294" s="16"/>
      <c r="B294" s="12"/>
      <c r="C294" s="12"/>
      <c r="D294" s="13"/>
      <c r="E294" s="12"/>
      <c r="F294" s="12"/>
    </row>
    <row r="295" customFormat="false" ht="15" hidden="false" customHeight="false" outlineLevel="0" collapsed="false">
      <c r="A295" s="16"/>
      <c r="B295" s="12"/>
      <c r="C295" s="12"/>
      <c r="D295" s="13"/>
      <c r="E295" s="12"/>
      <c r="F295" s="12"/>
    </row>
    <row r="296" customFormat="false" ht="15" hidden="false" customHeight="false" outlineLevel="0" collapsed="false">
      <c r="A296" s="16"/>
      <c r="B296" s="12"/>
      <c r="C296" s="12"/>
      <c r="D296" s="13"/>
      <c r="E296" s="12"/>
      <c r="F296" s="12"/>
    </row>
    <row r="297" customFormat="false" ht="15" hidden="false" customHeight="false" outlineLevel="0" collapsed="false">
      <c r="A297" s="16"/>
      <c r="B297" s="12"/>
      <c r="C297" s="12"/>
      <c r="D297" s="13"/>
      <c r="E297" s="12"/>
      <c r="F297" s="12"/>
    </row>
    <row r="298" customFormat="false" ht="15" hidden="false" customHeight="false" outlineLevel="0" collapsed="false">
      <c r="A298" s="16"/>
      <c r="B298" s="12"/>
      <c r="C298" s="12"/>
      <c r="D298" s="13"/>
      <c r="E298" s="12"/>
      <c r="F298" s="12"/>
    </row>
    <row r="299" customFormat="false" ht="15" hidden="false" customHeight="false" outlineLevel="0" collapsed="false">
      <c r="A299" s="16"/>
      <c r="B299" s="12"/>
      <c r="C299" s="12"/>
      <c r="D299" s="13"/>
      <c r="E299" s="12"/>
      <c r="F299" s="12"/>
    </row>
    <row r="300" customFormat="false" ht="15" hidden="false" customHeight="false" outlineLevel="0" collapsed="false">
      <c r="A300" s="16"/>
      <c r="B300" s="12"/>
      <c r="C300" s="12"/>
      <c r="D300" s="13"/>
      <c r="E300" s="12"/>
      <c r="F300" s="12"/>
    </row>
    <row r="301" customFormat="false" ht="15" hidden="false" customHeight="false" outlineLevel="0" collapsed="false">
      <c r="A301" s="16"/>
      <c r="B301" s="12"/>
      <c r="C301" s="12"/>
      <c r="D301" s="13"/>
      <c r="E301" s="12"/>
      <c r="F301" s="12"/>
    </row>
    <row r="302" customFormat="false" ht="15" hidden="false" customHeight="false" outlineLevel="0" collapsed="false">
      <c r="A302" s="16"/>
      <c r="B302" s="12"/>
      <c r="C302" s="12"/>
      <c r="D302" s="13"/>
      <c r="E302" s="12"/>
      <c r="F302" s="12"/>
    </row>
    <row r="303" customFormat="false" ht="15" hidden="false" customHeight="false" outlineLevel="0" collapsed="false">
      <c r="A303" s="16"/>
      <c r="B303" s="12"/>
      <c r="C303" s="12"/>
      <c r="D303" s="13"/>
      <c r="E303" s="12"/>
      <c r="F303" s="12"/>
    </row>
    <row r="304" customFormat="false" ht="15" hidden="false" customHeight="false" outlineLevel="0" collapsed="false">
      <c r="A304" s="16"/>
      <c r="B304" s="12"/>
      <c r="C304" s="12"/>
      <c r="D304" s="13"/>
      <c r="E304" s="12"/>
      <c r="F304" s="12"/>
    </row>
    <row r="305" customFormat="false" ht="15" hidden="false" customHeight="false" outlineLevel="0" collapsed="false">
      <c r="A305" s="16"/>
      <c r="B305" s="12"/>
      <c r="C305" s="12"/>
      <c r="D305" s="13"/>
      <c r="E305" s="12"/>
      <c r="F305" s="12"/>
    </row>
    <row r="306" customFormat="false" ht="15" hidden="false" customHeight="false" outlineLevel="0" collapsed="false">
      <c r="A306" s="16"/>
      <c r="B306" s="12"/>
      <c r="C306" s="12"/>
      <c r="D306" s="13"/>
      <c r="E306" s="12"/>
      <c r="F306" s="12"/>
    </row>
    <row r="307" customFormat="false" ht="15" hidden="false" customHeight="false" outlineLevel="0" collapsed="false">
      <c r="A307" s="16"/>
      <c r="B307" s="12"/>
      <c r="C307" s="12"/>
      <c r="D307" s="13"/>
      <c r="E307" s="12"/>
      <c r="F307" s="12"/>
    </row>
    <row r="308" customFormat="false" ht="15" hidden="false" customHeight="false" outlineLevel="0" collapsed="false">
      <c r="A308" s="16"/>
      <c r="B308" s="12"/>
      <c r="C308" s="12"/>
      <c r="D308" s="13"/>
      <c r="E308" s="12"/>
      <c r="F308" s="12"/>
    </row>
    <row r="309" customFormat="false" ht="15" hidden="false" customHeight="false" outlineLevel="0" collapsed="false">
      <c r="A309" s="16"/>
      <c r="B309" s="12"/>
      <c r="C309" s="12"/>
      <c r="D309" s="13"/>
      <c r="E309" s="12"/>
      <c r="F309" s="12"/>
    </row>
    <row r="310" customFormat="false" ht="15" hidden="false" customHeight="false" outlineLevel="0" collapsed="false">
      <c r="A310" s="16"/>
      <c r="B310" s="12"/>
      <c r="C310" s="12"/>
      <c r="D310" s="13"/>
      <c r="E310" s="12"/>
      <c r="F310" s="12"/>
    </row>
    <row r="311" customFormat="false" ht="15" hidden="false" customHeight="false" outlineLevel="0" collapsed="false">
      <c r="A311" s="16"/>
      <c r="B311" s="12"/>
      <c r="C311" s="12"/>
      <c r="D311" s="13"/>
      <c r="E311" s="12"/>
      <c r="F311" s="12"/>
    </row>
    <row r="312" customFormat="false" ht="15" hidden="false" customHeight="false" outlineLevel="0" collapsed="false">
      <c r="A312" s="16"/>
      <c r="B312" s="12"/>
      <c r="C312" s="12"/>
      <c r="D312" s="13"/>
      <c r="E312" s="12"/>
      <c r="F312" s="12"/>
    </row>
    <row r="313" customFormat="false" ht="15" hidden="false" customHeight="false" outlineLevel="0" collapsed="false">
      <c r="A313" s="16"/>
      <c r="B313" s="12"/>
      <c r="C313" s="12"/>
      <c r="D313" s="13"/>
      <c r="E313" s="12"/>
      <c r="F313" s="12"/>
    </row>
    <row r="314" customFormat="false" ht="15" hidden="false" customHeight="false" outlineLevel="0" collapsed="false">
      <c r="A314" s="16"/>
      <c r="B314" s="12"/>
      <c r="C314" s="12"/>
      <c r="D314" s="13"/>
      <c r="E314" s="12"/>
      <c r="F314" s="12"/>
    </row>
    <row r="315" customFormat="false" ht="15" hidden="false" customHeight="false" outlineLevel="0" collapsed="false">
      <c r="A315" s="16"/>
      <c r="B315" s="12"/>
      <c r="C315" s="12"/>
      <c r="D315" s="13"/>
      <c r="E315" s="12"/>
      <c r="F315" s="12"/>
    </row>
    <row r="316" customFormat="false" ht="15" hidden="false" customHeight="false" outlineLevel="0" collapsed="false">
      <c r="A316" s="16"/>
      <c r="B316" s="12"/>
      <c r="C316" s="12"/>
      <c r="D316" s="13"/>
      <c r="E316" s="12"/>
      <c r="F316" s="12"/>
    </row>
    <row r="317" customFormat="false" ht="15" hidden="false" customHeight="false" outlineLevel="0" collapsed="false">
      <c r="A317" s="16"/>
      <c r="B317" s="12"/>
      <c r="C317" s="12"/>
      <c r="D317" s="13"/>
      <c r="E317" s="12"/>
      <c r="F317" s="12"/>
    </row>
    <row r="318" customFormat="false" ht="15" hidden="false" customHeight="false" outlineLevel="0" collapsed="false">
      <c r="A318" s="16"/>
      <c r="B318" s="12"/>
      <c r="C318" s="12"/>
      <c r="D318" s="13"/>
      <c r="E318" s="12"/>
      <c r="F318" s="12"/>
    </row>
    <row r="319" customFormat="false" ht="15" hidden="false" customHeight="false" outlineLevel="0" collapsed="false">
      <c r="A319" s="16"/>
      <c r="B319" s="12"/>
      <c r="C319" s="12"/>
      <c r="D319" s="13"/>
      <c r="E319" s="12"/>
      <c r="F319" s="12"/>
    </row>
    <row r="320" customFormat="false" ht="15" hidden="false" customHeight="false" outlineLevel="0" collapsed="false">
      <c r="A320" s="16"/>
      <c r="B320" s="12"/>
      <c r="C320" s="12"/>
      <c r="D320" s="13"/>
      <c r="E320" s="12"/>
      <c r="F320" s="12"/>
    </row>
    <row r="321" customFormat="false" ht="15" hidden="false" customHeight="false" outlineLevel="0" collapsed="false">
      <c r="A321" s="16"/>
      <c r="B321" s="12"/>
      <c r="C321" s="12"/>
      <c r="D321" s="13"/>
      <c r="E321" s="12"/>
      <c r="F321" s="12"/>
    </row>
    <row r="322" customFormat="false" ht="15" hidden="false" customHeight="false" outlineLevel="0" collapsed="false">
      <c r="A322" s="16"/>
      <c r="B322" s="12"/>
      <c r="C322" s="12"/>
      <c r="D322" s="13"/>
      <c r="E322" s="12"/>
      <c r="F322" s="12"/>
    </row>
    <row r="323" customFormat="false" ht="15" hidden="false" customHeight="false" outlineLevel="0" collapsed="false">
      <c r="A323" s="16"/>
      <c r="B323" s="12"/>
      <c r="C323" s="12"/>
      <c r="D323" s="13"/>
      <c r="E323" s="12"/>
      <c r="F323" s="12"/>
    </row>
    <row r="324" customFormat="false" ht="15" hidden="false" customHeight="false" outlineLevel="0" collapsed="false">
      <c r="A324" s="16"/>
      <c r="B324" s="12"/>
      <c r="C324" s="12"/>
      <c r="D324" s="13"/>
      <c r="E324" s="12"/>
      <c r="F324" s="12"/>
    </row>
    <row r="325" customFormat="false" ht="15" hidden="false" customHeight="false" outlineLevel="0" collapsed="false">
      <c r="A325" s="16"/>
      <c r="B325" s="12"/>
      <c r="C325" s="12"/>
      <c r="D325" s="13"/>
      <c r="E325" s="12"/>
      <c r="F325" s="12"/>
    </row>
    <row r="326" customFormat="false" ht="15" hidden="false" customHeight="false" outlineLevel="0" collapsed="false">
      <c r="A326" s="16"/>
      <c r="B326" s="12"/>
      <c r="C326" s="12"/>
      <c r="D326" s="13"/>
      <c r="E326" s="12"/>
      <c r="F326" s="12"/>
    </row>
    <row r="327" customFormat="false" ht="15" hidden="false" customHeight="false" outlineLevel="0" collapsed="false">
      <c r="A327" s="16"/>
      <c r="B327" s="12"/>
      <c r="C327" s="12"/>
      <c r="D327" s="13"/>
      <c r="E327" s="12"/>
      <c r="F327" s="12"/>
    </row>
    <row r="328" customFormat="false" ht="15" hidden="false" customHeight="false" outlineLevel="0" collapsed="false">
      <c r="A328" s="16"/>
      <c r="B328" s="12"/>
      <c r="C328" s="12"/>
      <c r="D328" s="13"/>
      <c r="E328" s="12"/>
      <c r="F328" s="12"/>
    </row>
    <row r="329" customFormat="false" ht="15" hidden="false" customHeight="false" outlineLevel="0" collapsed="false">
      <c r="A329" s="16"/>
      <c r="B329" s="12"/>
      <c r="C329" s="12"/>
      <c r="D329" s="13"/>
      <c r="E329" s="12"/>
      <c r="F329" s="12"/>
    </row>
    <row r="330" customFormat="false" ht="15" hidden="false" customHeight="false" outlineLevel="0" collapsed="false">
      <c r="A330" s="16"/>
      <c r="B330" s="12"/>
      <c r="C330" s="12"/>
      <c r="D330" s="13"/>
      <c r="E330" s="12"/>
      <c r="F330" s="12"/>
    </row>
    <row r="331" customFormat="false" ht="15" hidden="false" customHeight="false" outlineLevel="0" collapsed="false">
      <c r="A331" s="16"/>
      <c r="B331" s="12"/>
      <c r="C331" s="12"/>
      <c r="D331" s="13"/>
      <c r="E331" s="12"/>
      <c r="F331" s="12"/>
    </row>
    <row r="332" customFormat="false" ht="15" hidden="false" customHeight="false" outlineLevel="0" collapsed="false">
      <c r="A332" s="16"/>
      <c r="B332" s="12"/>
      <c r="C332" s="12"/>
      <c r="D332" s="13"/>
      <c r="E332" s="12"/>
      <c r="F332" s="12"/>
    </row>
    <row r="333" customFormat="false" ht="15" hidden="false" customHeight="false" outlineLevel="0" collapsed="false">
      <c r="A333" s="16"/>
      <c r="B333" s="12"/>
      <c r="C333" s="12"/>
      <c r="D333" s="13"/>
      <c r="E333" s="12"/>
      <c r="F333" s="12"/>
    </row>
    <row r="334" customFormat="false" ht="15" hidden="false" customHeight="false" outlineLevel="0" collapsed="false">
      <c r="A334" s="16"/>
      <c r="B334" s="12"/>
      <c r="C334" s="12"/>
      <c r="D334" s="13"/>
      <c r="E334" s="12"/>
      <c r="F334" s="12"/>
    </row>
    <row r="335" customFormat="false" ht="15" hidden="false" customHeight="false" outlineLevel="0" collapsed="false">
      <c r="A335" s="16"/>
      <c r="B335" s="12"/>
      <c r="C335" s="12"/>
      <c r="D335" s="13"/>
      <c r="E335" s="12"/>
      <c r="F335" s="12"/>
    </row>
    <row r="336" customFormat="false" ht="15" hidden="false" customHeight="false" outlineLevel="0" collapsed="false">
      <c r="A336" s="16"/>
      <c r="B336" s="12"/>
      <c r="C336" s="12"/>
      <c r="D336" s="13"/>
      <c r="E336" s="12"/>
      <c r="F336" s="12"/>
    </row>
    <row r="337" customFormat="false" ht="15" hidden="false" customHeight="false" outlineLevel="0" collapsed="false">
      <c r="A337" s="16"/>
      <c r="B337" s="12"/>
      <c r="C337" s="12"/>
      <c r="D337" s="13"/>
      <c r="E337" s="12"/>
      <c r="F337" s="12"/>
    </row>
    <row r="338" customFormat="false" ht="15" hidden="false" customHeight="false" outlineLevel="0" collapsed="false">
      <c r="A338" s="16"/>
      <c r="B338" s="12"/>
      <c r="C338" s="12"/>
      <c r="D338" s="13"/>
      <c r="E338" s="12"/>
      <c r="F338" s="12"/>
    </row>
    <row r="339" customFormat="false" ht="15" hidden="false" customHeight="false" outlineLevel="0" collapsed="false">
      <c r="A339" s="16"/>
      <c r="B339" s="12"/>
      <c r="C339" s="12"/>
      <c r="D339" s="13"/>
      <c r="E339" s="12"/>
      <c r="F339" s="12"/>
    </row>
    <row r="340" customFormat="false" ht="15" hidden="false" customHeight="false" outlineLevel="0" collapsed="false">
      <c r="A340" s="16"/>
      <c r="B340" s="12"/>
      <c r="C340" s="12"/>
      <c r="D340" s="13"/>
      <c r="E340" s="12"/>
      <c r="F340" s="12"/>
    </row>
    <row r="341" customFormat="false" ht="15" hidden="false" customHeight="false" outlineLevel="0" collapsed="false">
      <c r="A341" s="16"/>
      <c r="B341" s="12"/>
      <c r="C341" s="12"/>
      <c r="D341" s="13"/>
      <c r="E341" s="12"/>
      <c r="F341" s="12"/>
    </row>
    <row r="342" customFormat="false" ht="15" hidden="false" customHeight="false" outlineLevel="0" collapsed="false">
      <c r="A342" s="16"/>
      <c r="B342" s="12"/>
      <c r="C342" s="12"/>
      <c r="D342" s="13"/>
      <c r="E342" s="12"/>
      <c r="F342" s="12"/>
    </row>
    <row r="343" customFormat="false" ht="15" hidden="false" customHeight="false" outlineLevel="0" collapsed="false">
      <c r="A343" s="16"/>
      <c r="B343" s="12"/>
      <c r="C343" s="12"/>
      <c r="D343" s="13"/>
      <c r="E343" s="12"/>
      <c r="F343" s="12"/>
    </row>
    <row r="344" customFormat="false" ht="15" hidden="false" customHeight="false" outlineLevel="0" collapsed="false">
      <c r="A344" s="16"/>
      <c r="B344" s="12"/>
      <c r="C344" s="12"/>
      <c r="D344" s="13"/>
      <c r="E344" s="12"/>
      <c r="F344" s="12"/>
    </row>
    <row r="345" customFormat="false" ht="15" hidden="false" customHeight="false" outlineLevel="0" collapsed="false">
      <c r="A345" s="16"/>
      <c r="B345" s="12"/>
      <c r="C345" s="12"/>
      <c r="D345" s="13"/>
      <c r="E345" s="12"/>
      <c r="F345" s="12"/>
    </row>
    <row r="346" customFormat="false" ht="15" hidden="false" customHeight="false" outlineLevel="0" collapsed="false">
      <c r="A346" s="16"/>
      <c r="B346" s="12"/>
      <c r="C346" s="12"/>
      <c r="D346" s="13"/>
      <c r="E346" s="12"/>
      <c r="F346" s="12"/>
    </row>
    <row r="347" customFormat="false" ht="15" hidden="false" customHeight="false" outlineLevel="0" collapsed="false">
      <c r="A347" s="16"/>
      <c r="B347" s="12"/>
      <c r="C347" s="12"/>
      <c r="D347" s="13"/>
      <c r="E347" s="12"/>
      <c r="F347" s="12"/>
    </row>
    <row r="348" customFormat="false" ht="15" hidden="false" customHeight="false" outlineLevel="0" collapsed="false">
      <c r="A348" s="16"/>
      <c r="B348" s="12"/>
      <c r="C348" s="12"/>
      <c r="D348" s="13"/>
      <c r="E348" s="12"/>
      <c r="F348" s="12"/>
    </row>
    <row r="349" customFormat="false" ht="15" hidden="false" customHeight="false" outlineLevel="0" collapsed="false">
      <c r="A349" s="16"/>
      <c r="B349" s="12"/>
      <c r="C349" s="12"/>
      <c r="D349" s="13"/>
      <c r="E349" s="12"/>
      <c r="F349" s="12"/>
    </row>
    <row r="350" customFormat="false" ht="15" hidden="false" customHeight="false" outlineLevel="0" collapsed="false">
      <c r="A350" s="16"/>
      <c r="B350" s="12"/>
      <c r="C350" s="12"/>
      <c r="D350" s="13"/>
      <c r="E350" s="12"/>
      <c r="F350" s="12"/>
    </row>
    <row r="351" customFormat="false" ht="15" hidden="false" customHeight="false" outlineLevel="0" collapsed="false">
      <c r="A351" s="16"/>
      <c r="B351" s="12"/>
      <c r="C351" s="12"/>
      <c r="D351" s="13"/>
      <c r="E351" s="12"/>
      <c r="F351" s="12"/>
    </row>
    <row r="352" customFormat="false" ht="15" hidden="false" customHeight="false" outlineLevel="0" collapsed="false">
      <c r="A352" s="16"/>
      <c r="B352" s="12"/>
      <c r="C352" s="12"/>
      <c r="D352" s="13"/>
      <c r="E352" s="12"/>
      <c r="F352" s="12"/>
    </row>
    <row r="353" customFormat="false" ht="15" hidden="false" customHeight="false" outlineLevel="0" collapsed="false">
      <c r="A353" s="16"/>
      <c r="B353" s="12"/>
      <c r="C353" s="12"/>
      <c r="D353" s="13"/>
      <c r="E353" s="12"/>
      <c r="F353" s="12"/>
    </row>
    <row r="354" customFormat="false" ht="15" hidden="false" customHeight="false" outlineLevel="0" collapsed="false">
      <c r="A354" s="16"/>
      <c r="B354" s="12"/>
      <c r="C354" s="12"/>
      <c r="D354" s="13"/>
      <c r="E354" s="12"/>
      <c r="F354" s="12"/>
    </row>
    <row r="355" customFormat="false" ht="15" hidden="false" customHeight="false" outlineLevel="0" collapsed="false">
      <c r="A355" s="16"/>
      <c r="B355" s="12"/>
      <c r="C355" s="12"/>
      <c r="D355" s="13"/>
      <c r="E355" s="12"/>
      <c r="F355" s="12"/>
    </row>
    <row r="356" customFormat="false" ht="15" hidden="false" customHeight="false" outlineLevel="0" collapsed="false">
      <c r="A356" s="16"/>
      <c r="B356" s="12"/>
      <c r="C356" s="12"/>
      <c r="D356" s="13"/>
      <c r="E356" s="12"/>
      <c r="F356" s="12"/>
    </row>
    <row r="357" customFormat="false" ht="15" hidden="false" customHeight="false" outlineLevel="0" collapsed="false">
      <c r="A357" s="16"/>
      <c r="B357" s="12"/>
      <c r="C357" s="12"/>
      <c r="D357" s="13"/>
      <c r="E357" s="12"/>
      <c r="F357" s="12"/>
    </row>
    <row r="358" customFormat="false" ht="15" hidden="false" customHeight="false" outlineLevel="0" collapsed="false">
      <c r="A358" s="16"/>
      <c r="B358" s="12"/>
      <c r="C358" s="12"/>
      <c r="D358" s="13"/>
      <c r="E358" s="12"/>
      <c r="F358" s="12"/>
    </row>
    <row r="359" customFormat="false" ht="15" hidden="false" customHeight="false" outlineLevel="0" collapsed="false">
      <c r="A359" s="16"/>
      <c r="B359" s="12"/>
      <c r="C359" s="12"/>
      <c r="D359" s="13"/>
      <c r="E359" s="12"/>
      <c r="F359" s="12"/>
    </row>
    <row r="360" customFormat="false" ht="15" hidden="false" customHeight="false" outlineLevel="0" collapsed="false">
      <c r="A360" s="16"/>
      <c r="B360" s="12"/>
      <c r="C360" s="12"/>
      <c r="D360" s="13"/>
      <c r="E360" s="12"/>
      <c r="F360" s="12"/>
    </row>
    <row r="361" customFormat="false" ht="15" hidden="false" customHeight="false" outlineLevel="0" collapsed="false">
      <c r="A361" s="16"/>
      <c r="B361" s="12"/>
      <c r="C361" s="12"/>
      <c r="D361" s="13"/>
      <c r="E361" s="12"/>
      <c r="F361" s="12"/>
    </row>
    <row r="362" customFormat="false" ht="15" hidden="false" customHeight="false" outlineLevel="0" collapsed="false">
      <c r="A362" s="16"/>
      <c r="B362" s="12"/>
      <c r="C362" s="12"/>
      <c r="D362" s="13"/>
      <c r="E362" s="12"/>
      <c r="F362" s="12"/>
    </row>
    <row r="363" customFormat="false" ht="15" hidden="false" customHeight="false" outlineLevel="0" collapsed="false">
      <c r="A363" s="16"/>
      <c r="B363" s="12"/>
      <c r="C363" s="12"/>
      <c r="D363" s="13"/>
      <c r="E363" s="12"/>
      <c r="F363" s="12"/>
    </row>
    <row r="364" customFormat="false" ht="15" hidden="false" customHeight="false" outlineLevel="0" collapsed="false">
      <c r="A364" s="16"/>
      <c r="B364" s="12"/>
      <c r="C364" s="12"/>
      <c r="D364" s="13"/>
      <c r="E364" s="12"/>
      <c r="F364" s="12"/>
    </row>
    <row r="365" customFormat="false" ht="15" hidden="false" customHeight="false" outlineLevel="0" collapsed="false">
      <c r="A365" s="16"/>
      <c r="B365" s="12"/>
      <c r="C365" s="12"/>
      <c r="D365" s="13"/>
      <c r="E365" s="12"/>
      <c r="F365" s="12"/>
    </row>
    <row r="366" customFormat="false" ht="15" hidden="false" customHeight="false" outlineLevel="0" collapsed="false">
      <c r="A366" s="16"/>
      <c r="B366" s="12"/>
      <c r="C366" s="12"/>
      <c r="D366" s="13"/>
      <c r="E366" s="12"/>
      <c r="F366" s="12"/>
    </row>
    <row r="367" customFormat="false" ht="15" hidden="false" customHeight="false" outlineLevel="0" collapsed="false">
      <c r="A367" s="16"/>
      <c r="B367" s="12"/>
      <c r="C367" s="12"/>
      <c r="D367" s="13"/>
      <c r="E367" s="12"/>
      <c r="F367" s="12"/>
    </row>
    <row r="368" customFormat="false" ht="15" hidden="false" customHeight="false" outlineLevel="0" collapsed="false">
      <c r="A368" s="16"/>
      <c r="B368" s="12"/>
      <c r="C368" s="12"/>
      <c r="D368" s="13"/>
      <c r="E368" s="12"/>
      <c r="F368" s="12"/>
    </row>
    <row r="369" customFormat="false" ht="15" hidden="false" customHeight="false" outlineLevel="0" collapsed="false">
      <c r="A369" s="16"/>
      <c r="B369" s="12"/>
      <c r="C369" s="12"/>
      <c r="D369" s="13"/>
      <c r="E369" s="12"/>
      <c r="F369" s="12"/>
    </row>
    <row r="370" customFormat="false" ht="15" hidden="false" customHeight="false" outlineLevel="0" collapsed="false">
      <c r="A370" s="16"/>
      <c r="B370" s="12"/>
      <c r="C370" s="12"/>
      <c r="D370" s="13"/>
      <c r="E370" s="12"/>
      <c r="F370" s="12"/>
    </row>
    <row r="371" customFormat="false" ht="15" hidden="false" customHeight="false" outlineLevel="0" collapsed="false">
      <c r="A371" s="16"/>
      <c r="B371" s="12"/>
      <c r="C371" s="12"/>
      <c r="D371" s="13"/>
      <c r="E371" s="12"/>
      <c r="F371" s="12"/>
    </row>
    <row r="372" customFormat="false" ht="15" hidden="false" customHeight="false" outlineLevel="0" collapsed="false">
      <c r="A372" s="16"/>
      <c r="B372" s="12"/>
      <c r="C372" s="12"/>
      <c r="D372" s="13"/>
      <c r="E372" s="12"/>
      <c r="F372" s="12"/>
    </row>
    <row r="373" customFormat="false" ht="15" hidden="false" customHeight="false" outlineLevel="0" collapsed="false">
      <c r="A373" s="16"/>
      <c r="B373" s="12"/>
      <c r="C373" s="12"/>
      <c r="D373" s="13"/>
      <c r="E373" s="12"/>
      <c r="F373" s="12"/>
    </row>
    <row r="374" customFormat="false" ht="15" hidden="false" customHeight="false" outlineLevel="0" collapsed="false">
      <c r="A374" s="16"/>
      <c r="B374" s="12"/>
      <c r="C374" s="12"/>
      <c r="D374" s="13"/>
      <c r="E374" s="12"/>
      <c r="F374" s="12"/>
    </row>
    <row r="375" customFormat="false" ht="15" hidden="false" customHeight="false" outlineLevel="0" collapsed="false">
      <c r="A375" s="16"/>
      <c r="B375" s="12"/>
      <c r="C375" s="12"/>
      <c r="D375" s="13"/>
      <c r="E375" s="12"/>
      <c r="F375" s="12"/>
    </row>
    <row r="376" customFormat="false" ht="15" hidden="false" customHeight="false" outlineLevel="0" collapsed="false">
      <c r="A376" s="16"/>
      <c r="B376" s="12"/>
      <c r="C376" s="12"/>
      <c r="D376" s="13"/>
      <c r="E376" s="12"/>
      <c r="F376" s="12"/>
    </row>
    <row r="377" customFormat="false" ht="15" hidden="false" customHeight="false" outlineLevel="0" collapsed="false">
      <c r="A377" s="16"/>
      <c r="B377" s="12"/>
      <c r="C377" s="12"/>
      <c r="D377" s="13"/>
      <c r="E377" s="12"/>
      <c r="F377" s="12"/>
    </row>
    <row r="378" customFormat="false" ht="15" hidden="false" customHeight="false" outlineLevel="0" collapsed="false">
      <c r="A378" s="16"/>
      <c r="B378" s="12"/>
      <c r="C378" s="12"/>
      <c r="D378" s="13"/>
      <c r="E378" s="12"/>
      <c r="F378" s="12"/>
    </row>
    <row r="379" customFormat="false" ht="15" hidden="false" customHeight="false" outlineLevel="0" collapsed="false">
      <c r="A379" s="16"/>
      <c r="B379" s="12"/>
      <c r="C379" s="12"/>
      <c r="D379" s="13"/>
      <c r="E379" s="12"/>
      <c r="F379" s="12"/>
    </row>
    <row r="380" customFormat="false" ht="15" hidden="false" customHeight="false" outlineLevel="0" collapsed="false">
      <c r="A380" s="16"/>
      <c r="B380" s="12"/>
      <c r="C380" s="12"/>
      <c r="D380" s="13"/>
      <c r="E380" s="12"/>
      <c r="F380" s="12"/>
    </row>
    <row r="381" customFormat="false" ht="15" hidden="false" customHeight="false" outlineLevel="0" collapsed="false">
      <c r="A381" s="16"/>
      <c r="B381" s="12"/>
      <c r="C381" s="12"/>
      <c r="D381" s="13"/>
      <c r="E381" s="12"/>
      <c r="F381" s="12"/>
    </row>
    <row r="382" customFormat="false" ht="15" hidden="false" customHeight="false" outlineLevel="0" collapsed="false">
      <c r="A382" s="16"/>
      <c r="B382" s="12"/>
      <c r="C382" s="12"/>
      <c r="D382" s="13"/>
      <c r="E382" s="12"/>
      <c r="F382" s="12"/>
    </row>
    <row r="383" customFormat="false" ht="15" hidden="false" customHeight="false" outlineLevel="0" collapsed="false">
      <c r="A383" s="16"/>
      <c r="B383" s="12"/>
      <c r="C383" s="12"/>
      <c r="D383" s="13"/>
      <c r="E383" s="12"/>
      <c r="F383" s="12"/>
    </row>
    <row r="384" customFormat="false" ht="15" hidden="false" customHeight="false" outlineLevel="0" collapsed="false">
      <c r="A384" s="16"/>
      <c r="B384" s="12"/>
      <c r="C384" s="12"/>
      <c r="D384" s="13"/>
      <c r="E384" s="12"/>
      <c r="F384" s="12"/>
    </row>
    <row r="385" customFormat="false" ht="15" hidden="false" customHeight="false" outlineLevel="0" collapsed="false">
      <c r="A385" s="16"/>
      <c r="B385" s="12"/>
      <c r="C385" s="12"/>
      <c r="D385" s="13"/>
      <c r="E385" s="12"/>
      <c r="F385" s="12"/>
    </row>
    <row r="386" customFormat="false" ht="15" hidden="false" customHeight="false" outlineLevel="0" collapsed="false">
      <c r="A386" s="16"/>
      <c r="B386" s="12"/>
      <c r="C386" s="12"/>
      <c r="D386" s="13"/>
      <c r="E386" s="12"/>
      <c r="F386" s="12"/>
    </row>
    <row r="387" customFormat="false" ht="15" hidden="false" customHeight="false" outlineLevel="0" collapsed="false">
      <c r="A387" s="16"/>
      <c r="B387" s="12"/>
      <c r="C387" s="12"/>
      <c r="D387" s="13"/>
      <c r="E387" s="12"/>
      <c r="F387" s="12"/>
    </row>
    <row r="388" customFormat="false" ht="15" hidden="false" customHeight="false" outlineLevel="0" collapsed="false">
      <c r="A388" s="16"/>
      <c r="B388" s="12"/>
      <c r="C388" s="12"/>
      <c r="D388" s="13"/>
      <c r="E388" s="12"/>
      <c r="F388" s="12"/>
    </row>
    <row r="389" customFormat="false" ht="15" hidden="false" customHeight="false" outlineLevel="0" collapsed="false">
      <c r="A389" s="16"/>
      <c r="B389" s="12"/>
      <c r="C389" s="12"/>
      <c r="D389" s="13"/>
      <c r="E389" s="12"/>
      <c r="F389" s="12"/>
    </row>
    <row r="390" customFormat="false" ht="15" hidden="false" customHeight="false" outlineLevel="0" collapsed="false">
      <c r="A390" s="16"/>
      <c r="B390" s="12"/>
      <c r="C390" s="12"/>
      <c r="D390" s="13"/>
      <c r="E390" s="12"/>
      <c r="F390" s="12"/>
    </row>
    <row r="391" customFormat="false" ht="15" hidden="false" customHeight="false" outlineLevel="0" collapsed="false">
      <c r="A391" s="16"/>
      <c r="B391" s="12"/>
      <c r="C391" s="12"/>
      <c r="D391" s="13"/>
      <c r="E391" s="12"/>
      <c r="F391" s="12"/>
    </row>
    <row r="392" customFormat="false" ht="15" hidden="false" customHeight="false" outlineLevel="0" collapsed="false">
      <c r="A392" s="16"/>
      <c r="B392" s="12"/>
      <c r="C392" s="12"/>
      <c r="D392" s="13"/>
      <c r="E392" s="12"/>
      <c r="F392" s="12"/>
    </row>
    <row r="393" customFormat="false" ht="15" hidden="false" customHeight="false" outlineLevel="0" collapsed="false">
      <c r="A393" s="16"/>
      <c r="B393" s="12"/>
      <c r="C393" s="12"/>
      <c r="D393" s="13"/>
      <c r="E393" s="12"/>
      <c r="F393" s="12"/>
    </row>
    <row r="394" customFormat="false" ht="15" hidden="false" customHeight="false" outlineLevel="0" collapsed="false">
      <c r="A394" s="16"/>
      <c r="B394" s="12"/>
      <c r="C394" s="12"/>
      <c r="D394" s="13"/>
      <c r="E394" s="12"/>
      <c r="F394" s="12"/>
    </row>
    <row r="395" customFormat="false" ht="15" hidden="false" customHeight="false" outlineLevel="0" collapsed="false">
      <c r="A395" s="16"/>
      <c r="B395" s="12"/>
      <c r="C395" s="12"/>
      <c r="D395" s="13"/>
      <c r="E395" s="12"/>
      <c r="F395" s="12"/>
    </row>
    <row r="396" customFormat="false" ht="15" hidden="false" customHeight="false" outlineLevel="0" collapsed="false">
      <c r="A396" s="16"/>
      <c r="B396" s="12"/>
      <c r="C396" s="12"/>
      <c r="D396" s="13"/>
      <c r="E396" s="12"/>
      <c r="F396" s="12"/>
    </row>
    <row r="397" customFormat="false" ht="15" hidden="false" customHeight="false" outlineLevel="0" collapsed="false">
      <c r="A397" s="16"/>
      <c r="B397" s="12"/>
      <c r="C397" s="12"/>
      <c r="D397" s="13"/>
      <c r="E397" s="12"/>
      <c r="F397" s="12"/>
    </row>
    <row r="398" customFormat="false" ht="15" hidden="false" customHeight="false" outlineLevel="0" collapsed="false">
      <c r="A398" s="16"/>
      <c r="B398" s="12"/>
      <c r="C398" s="12"/>
      <c r="D398" s="13"/>
      <c r="E398" s="12"/>
      <c r="F398" s="12"/>
    </row>
    <row r="399" customFormat="false" ht="15" hidden="false" customHeight="false" outlineLevel="0" collapsed="false">
      <c r="A399" s="16"/>
      <c r="B399" s="12"/>
      <c r="C399" s="12"/>
      <c r="D399" s="13"/>
      <c r="E399" s="12"/>
      <c r="F399" s="12"/>
    </row>
    <row r="400" customFormat="false" ht="15" hidden="false" customHeight="false" outlineLevel="0" collapsed="false">
      <c r="A400" s="16"/>
      <c r="B400" s="12"/>
      <c r="C400" s="12"/>
      <c r="D400" s="13"/>
      <c r="E400" s="12"/>
      <c r="F400" s="12"/>
    </row>
    <row r="401" customFormat="false" ht="15" hidden="false" customHeight="false" outlineLevel="0" collapsed="false">
      <c r="A401" s="16"/>
      <c r="B401" s="12"/>
      <c r="C401" s="12"/>
      <c r="D401" s="13"/>
      <c r="E401" s="12"/>
      <c r="F401" s="12"/>
    </row>
    <row r="402" customFormat="false" ht="15" hidden="false" customHeight="false" outlineLevel="0" collapsed="false">
      <c r="A402" s="16"/>
      <c r="B402" s="12"/>
      <c r="C402" s="12"/>
      <c r="D402" s="13"/>
      <c r="E402" s="12"/>
      <c r="F402" s="12"/>
    </row>
    <row r="403" customFormat="false" ht="15" hidden="false" customHeight="false" outlineLevel="0" collapsed="false">
      <c r="A403" s="16"/>
      <c r="B403" s="12"/>
      <c r="C403" s="12"/>
      <c r="D403" s="13"/>
      <c r="E403" s="12"/>
      <c r="F403" s="12"/>
    </row>
    <row r="404" customFormat="false" ht="15" hidden="false" customHeight="false" outlineLevel="0" collapsed="false">
      <c r="A404" s="16"/>
      <c r="B404" s="12"/>
      <c r="C404" s="12"/>
      <c r="D404" s="13"/>
      <c r="E404" s="12"/>
      <c r="F404" s="12"/>
    </row>
    <row r="405" customFormat="false" ht="15" hidden="false" customHeight="false" outlineLevel="0" collapsed="false">
      <c r="A405" s="16"/>
      <c r="B405" s="12"/>
      <c r="C405" s="12"/>
      <c r="D405" s="13"/>
      <c r="E405" s="12"/>
      <c r="F405" s="12"/>
    </row>
    <row r="406" customFormat="false" ht="15" hidden="false" customHeight="false" outlineLevel="0" collapsed="false">
      <c r="A406" s="16"/>
      <c r="B406" s="12"/>
      <c r="C406" s="12"/>
      <c r="D406" s="13"/>
      <c r="E406" s="12"/>
      <c r="F406" s="12"/>
    </row>
    <row r="407" customFormat="false" ht="15" hidden="false" customHeight="false" outlineLevel="0" collapsed="false">
      <c r="A407" s="16"/>
      <c r="B407" s="12"/>
      <c r="C407" s="12"/>
      <c r="D407" s="13"/>
      <c r="E407" s="12"/>
      <c r="F407" s="12"/>
    </row>
    <row r="408" customFormat="false" ht="15" hidden="false" customHeight="false" outlineLevel="0" collapsed="false">
      <c r="A408" s="16"/>
      <c r="B408" s="12"/>
      <c r="C408" s="12"/>
      <c r="D408" s="13"/>
      <c r="E408" s="12"/>
      <c r="F408" s="12"/>
    </row>
    <row r="409" customFormat="false" ht="15" hidden="false" customHeight="false" outlineLevel="0" collapsed="false">
      <c r="A409" s="16"/>
      <c r="B409" s="12"/>
      <c r="C409" s="12"/>
      <c r="D409" s="13"/>
      <c r="E409" s="12"/>
      <c r="F409" s="12"/>
    </row>
    <row r="410" customFormat="false" ht="15" hidden="false" customHeight="false" outlineLevel="0" collapsed="false">
      <c r="A410" s="16"/>
      <c r="B410" s="12"/>
      <c r="C410" s="12"/>
      <c r="D410" s="13"/>
      <c r="E410" s="12"/>
      <c r="F410" s="12"/>
    </row>
    <row r="411" customFormat="false" ht="15" hidden="false" customHeight="false" outlineLevel="0" collapsed="false">
      <c r="A411" s="16"/>
      <c r="B411" s="12"/>
      <c r="C411" s="12"/>
      <c r="D411" s="13"/>
      <c r="E411" s="12"/>
      <c r="F411" s="12"/>
    </row>
    <row r="412" customFormat="false" ht="15" hidden="false" customHeight="false" outlineLevel="0" collapsed="false">
      <c r="A412" s="16"/>
      <c r="B412" s="12"/>
      <c r="C412" s="12"/>
      <c r="D412" s="13"/>
      <c r="E412" s="12"/>
      <c r="F412" s="12"/>
    </row>
    <row r="413" customFormat="false" ht="15" hidden="false" customHeight="false" outlineLevel="0" collapsed="false">
      <c r="A413" s="16"/>
      <c r="B413" s="12"/>
      <c r="C413" s="12"/>
      <c r="D413" s="13"/>
      <c r="E413" s="12"/>
      <c r="F413" s="12"/>
    </row>
    <row r="414" customFormat="false" ht="15" hidden="false" customHeight="false" outlineLevel="0" collapsed="false">
      <c r="A414" s="16"/>
      <c r="B414" s="12"/>
      <c r="C414" s="12"/>
      <c r="D414" s="13"/>
      <c r="E414" s="12"/>
      <c r="F414" s="12"/>
    </row>
    <row r="415" customFormat="false" ht="15" hidden="false" customHeight="false" outlineLevel="0" collapsed="false">
      <c r="A415" s="16"/>
      <c r="B415" s="12"/>
      <c r="C415" s="12"/>
      <c r="D415" s="13"/>
      <c r="E415" s="12"/>
      <c r="F415" s="12"/>
    </row>
    <row r="416" customFormat="false" ht="15" hidden="false" customHeight="false" outlineLevel="0" collapsed="false">
      <c r="A416" s="16"/>
      <c r="B416" s="12"/>
      <c r="C416" s="12"/>
      <c r="D416" s="13"/>
      <c r="E416" s="12"/>
      <c r="F416" s="12"/>
    </row>
    <row r="417" customFormat="false" ht="15" hidden="false" customHeight="false" outlineLevel="0" collapsed="false">
      <c r="A417" s="16"/>
      <c r="B417" s="12"/>
      <c r="C417" s="12"/>
      <c r="D417" s="13"/>
      <c r="E417" s="12"/>
      <c r="F417" s="12"/>
    </row>
    <row r="418" customFormat="false" ht="15" hidden="false" customHeight="false" outlineLevel="0" collapsed="false">
      <c r="A418" s="16"/>
      <c r="B418" s="12"/>
      <c r="C418" s="12"/>
      <c r="D418" s="13"/>
      <c r="E418" s="12"/>
      <c r="F418" s="12"/>
    </row>
    <row r="419" customFormat="false" ht="15" hidden="false" customHeight="false" outlineLevel="0" collapsed="false">
      <c r="A419" s="16"/>
      <c r="B419" s="12"/>
      <c r="C419" s="12"/>
      <c r="D419" s="13"/>
      <c r="E419" s="12"/>
      <c r="F419" s="12"/>
    </row>
    <row r="420" customFormat="false" ht="15" hidden="false" customHeight="false" outlineLevel="0" collapsed="false">
      <c r="A420" s="16"/>
      <c r="B420" s="12"/>
      <c r="C420" s="12"/>
      <c r="D420" s="13"/>
      <c r="E420" s="12"/>
      <c r="F420" s="12"/>
    </row>
    <row r="421" customFormat="false" ht="15" hidden="false" customHeight="false" outlineLevel="0" collapsed="false">
      <c r="A421" s="16"/>
      <c r="B421" s="12"/>
      <c r="C421" s="12"/>
      <c r="D421" s="13"/>
      <c r="E421" s="12"/>
      <c r="F421" s="12"/>
    </row>
    <row r="422" customFormat="false" ht="15" hidden="false" customHeight="false" outlineLevel="0" collapsed="false">
      <c r="A422" s="16"/>
      <c r="B422" s="12"/>
      <c r="C422" s="12"/>
      <c r="D422" s="13"/>
      <c r="E422" s="12"/>
      <c r="F422" s="12"/>
    </row>
    <row r="423" customFormat="false" ht="15" hidden="false" customHeight="false" outlineLevel="0" collapsed="false">
      <c r="A423" s="16"/>
      <c r="B423" s="12"/>
      <c r="C423" s="12"/>
      <c r="D423" s="13"/>
      <c r="E423" s="12"/>
      <c r="F423" s="12"/>
    </row>
    <row r="424" customFormat="false" ht="15" hidden="false" customHeight="false" outlineLevel="0" collapsed="false">
      <c r="A424" s="16"/>
      <c r="B424" s="12"/>
      <c r="C424" s="12"/>
      <c r="D424" s="13"/>
      <c r="E424" s="12"/>
      <c r="F424" s="12"/>
    </row>
    <row r="425" customFormat="false" ht="15" hidden="false" customHeight="false" outlineLevel="0" collapsed="false">
      <c r="A425" s="16"/>
      <c r="B425" s="12"/>
      <c r="C425" s="12"/>
      <c r="D425" s="13"/>
      <c r="E425" s="12"/>
      <c r="F425" s="12"/>
    </row>
    <row r="426" customFormat="false" ht="15" hidden="false" customHeight="false" outlineLevel="0" collapsed="false">
      <c r="A426" s="16"/>
      <c r="B426" s="12"/>
      <c r="C426" s="12"/>
      <c r="D426" s="13"/>
      <c r="E426" s="12"/>
      <c r="F426" s="12"/>
    </row>
    <row r="427" customFormat="false" ht="15" hidden="false" customHeight="false" outlineLevel="0" collapsed="false">
      <c r="A427" s="16"/>
      <c r="B427" s="12"/>
      <c r="C427" s="12"/>
      <c r="D427" s="13"/>
      <c r="E427" s="12"/>
      <c r="F427" s="12"/>
    </row>
    <row r="428" customFormat="false" ht="15" hidden="false" customHeight="false" outlineLevel="0" collapsed="false">
      <c r="A428" s="16"/>
      <c r="B428" s="12"/>
      <c r="C428" s="12"/>
      <c r="D428" s="13"/>
      <c r="E428" s="12"/>
      <c r="F428" s="12"/>
    </row>
    <row r="429" customFormat="false" ht="15" hidden="false" customHeight="false" outlineLevel="0" collapsed="false">
      <c r="A429" s="16"/>
      <c r="B429" s="12"/>
      <c r="C429" s="12"/>
      <c r="D429" s="13"/>
      <c r="E429" s="12"/>
      <c r="F429" s="12"/>
    </row>
    <row r="430" customFormat="false" ht="15" hidden="false" customHeight="false" outlineLevel="0" collapsed="false">
      <c r="A430" s="16"/>
      <c r="B430" s="12"/>
      <c r="C430" s="12"/>
      <c r="D430" s="13"/>
      <c r="E430" s="12"/>
      <c r="F430" s="12"/>
    </row>
    <row r="431" customFormat="false" ht="15" hidden="false" customHeight="false" outlineLevel="0" collapsed="false">
      <c r="A431" s="16"/>
      <c r="B431" s="12"/>
      <c r="C431" s="12"/>
      <c r="D431" s="13"/>
      <c r="E431" s="12"/>
      <c r="F431" s="12"/>
    </row>
    <row r="432" customFormat="false" ht="15" hidden="false" customHeight="false" outlineLevel="0" collapsed="false">
      <c r="A432" s="16"/>
      <c r="B432" s="12"/>
      <c r="C432" s="12"/>
      <c r="D432" s="13"/>
      <c r="E432" s="12"/>
      <c r="F432" s="12"/>
    </row>
    <row r="433" customFormat="false" ht="15" hidden="false" customHeight="false" outlineLevel="0" collapsed="false">
      <c r="A433" s="16"/>
      <c r="B433" s="12"/>
      <c r="C433" s="12"/>
      <c r="D433" s="13"/>
      <c r="E433" s="12"/>
      <c r="F433" s="12"/>
    </row>
    <row r="434" customFormat="false" ht="15" hidden="false" customHeight="false" outlineLevel="0" collapsed="false">
      <c r="A434" s="16"/>
      <c r="B434" s="12"/>
      <c r="C434" s="12"/>
      <c r="D434" s="13"/>
      <c r="E434" s="12"/>
      <c r="F434" s="12"/>
    </row>
    <row r="435" customFormat="false" ht="15" hidden="false" customHeight="false" outlineLevel="0" collapsed="false">
      <c r="A435" s="16"/>
      <c r="B435" s="12"/>
      <c r="C435" s="12"/>
      <c r="D435" s="13"/>
      <c r="E435" s="12"/>
      <c r="F435" s="12"/>
    </row>
    <row r="436" customFormat="false" ht="15" hidden="false" customHeight="false" outlineLevel="0" collapsed="false">
      <c r="A436" s="16"/>
      <c r="B436" s="12"/>
      <c r="C436" s="12"/>
      <c r="D436" s="13"/>
      <c r="E436" s="12"/>
      <c r="F436" s="12"/>
    </row>
    <row r="437" customFormat="false" ht="15" hidden="false" customHeight="false" outlineLevel="0" collapsed="false">
      <c r="A437" s="16"/>
      <c r="B437" s="12"/>
      <c r="C437" s="12"/>
      <c r="D437" s="13"/>
      <c r="E437" s="12"/>
      <c r="F437" s="12"/>
    </row>
    <row r="438" customFormat="false" ht="15" hidden="false" customHeight="false" outlineLevel="0" collapsed="false">
      <c r="A438" s="16"/>
      <c r="B438" s="12"/>
      <c r="C438" s="12"/>
      <c r="D438" s="13"/>
      <c r="E438" s="12"/>
      <c r="F438" s="12"/>
    </row>
    <row r="439" customFormat="false" ht="15" hidden="false" customHeight="false" outlineLevel="0" collapsed="false">
      <c r="A439" s="16"/>
      <c r="B439" s="12"/>
      <c r="C439" s="12"/>
      <c r="D439" s="13"/>
      <c r="E439" s="12"/>
      <c r="F439" s="12"/>
    </row>
    <row r="440" customFormat="false" ht="15" hidden="false" customHeight="false" outlineLevel="0" collapsed="false">
      <c r="A440" s="16"/>
      <c r="B440" s="12"/>
      <c r="C440" s="12"/>
      <c r="D440" s="13"/>
      <c r="E440" s="12"/>
      <c r="F440" s="12"/>
    </row>
    <row r="441" customFormat="false" ht="15" hidden="false" customHeight="false" outlineLevel="0" collapsed="false">
      <c r="A441" s="16"/>
      <c r="B441" s="12"/>
      <c r="C441" s="12"/>
      <c r="D441" s="13"/>
      <c r="E441" s="12"/>
      <c r="F441" s="12"/>
    </row>
    <row r="442" customFormat="false" ht="15" hidden="false" customHeight="false" outlineLevel="0" collapsed="false">
      <c r="A442" s="16"/>
      <c r="B442" s="12"/>
      <c r="C442" s="12"/>
      <c r="D442" s="13"/>
      <c r="E442" s="12"/>
      <c r="F442" s="12"/>
    </row>
    <row r="443" customFormat="false" ht="15" hidden="false" customHeight="false" outlineLevel="0" collapsed="false">
      <c r="A443" s="16"/>
      <c r="B443" s="12"/>
      <c r="C443" s="12"/>
      <c r="D443" s="13"/>
      <c r="E443" s="12"/>
      <c r="F443" s="12"/>
    </row>
    <row r="444" customFormat="false" ht="15" hidden="false" customHeight="false" outlineLevel="0" collapsed="false">
      <c r="A444" s="16"/>
      <c r="B444" s="12"/>
      <c r="C444" s="12"/>
      <c r="D444" s="13"/>
      <c r="E444" s="12"/>
      <c r="F444" s="12"/>
    </row>
    <row r="445" customFormat="false" ht="15" hidden="false" customHeight="false" outlineLevel="0" collapsed="false">
      <c r="A445" s="16"/>
      <c r="B445" s="12"/>
      <c r="C445" s="12"/>
      <c r="D445" s="13"/>
      <c r="E445" s="12"/>
      <c r="F445" s="12"/>
    </row>
    <row r="446" customFormat="false" ht="15" hidden="false" customHeight="false" outlineLevel="0" collapsed="false">
      <c r="A446" s="16"/>
      <c r="B446" s="12"/>
      <c r="C446" s="12"/>
      <c r="D446" s="13"/>
      <c r="E446" s="12"/>
      <c r="F446" s="12"/>
    </row>
    <row r="447" customFormat="false" ht="15" hidden="false" customHeight="false" outlineLevel="0" collapsed="false">
      <c r="A447" s="16"/>
      <c r="B447" s="12"/>
      <c r="C447" s="12"/>
      <c r="D447" s="13"/>
      <c r="E447" s="12"/>
      <c r="F447" s="12"/>
    </row>
    <row r="448" customFormat="false" ht="15" hidden="false" customHeight="false" outlineLevel="0" collapsed="false">
      <c r="A448" s="16"/>
      <c r="B448" s="12"/>
      <c r="C448" s="12"/>
      <c r="D448" s="13"/>
      <c r="E448" s="12"/>
      <c r="F448" s="12"/>
    </row>
    <row r="449" customFormat="false" ht="15" hidden="false" customHeight="false" outlineLevel="0" collapsed="false">
      <c r="A449" s="16"/>
      <c r="B449" s="12"/>
      <c r="C449" s="12"/>
      <c r="D449" s="13"/>
      <c r="E449" s="12"/>
      <c r="F449" s="12"/>
    </row>
    <row r="450" customFormat="false" ht="15" hidden="false" customHeight="false" outlineLevel="0" collapsed="false">
      <c r="A450" s="16"/>
      <c r="B450" s="12"/>
      <c r="C450" s="12"/>
      <c r="D450" s="13"/>
      <c r="E450" s="12"/>
      <c r="F450" s="12"/>
    </row>
    <row r="451" customFormat="false" ht="15" hidden="false" customHeight="false" outlineLevel="0" collapsed="false">
      <c r="A451" s="16"/>
      <c r="B451" s="12"/>
      <c r="C451" s="12"/>
      <c r="D451" s="13"/>
      <c r="E451" s="12"/>
      <c r="F451" s="12"/>
    </row>
    <row r="452" customFormat="false" ht="15" hidden="false" customHeight="false" outlineLevel="0" collapsed="false">
      <c r="A452" s="16"/>
      <c r="B452" s="12"/>
      <c r="C452" s="12"/>
      <c r="D452" s="13"/>
      <c r="E452" s="12"/>
      <c r="F452" s="12"/>
    </row>
    <row r="453" customFormat="false" ht="15" hidden="false" customHeight="false" outlineLevel="0" collapsed="false">
      <c r="A453" s="16"/>
      <c r="B453" s="12"/>
      <c r="C453" s="12"/>
      <c r="D453" s="13"/>
      <c r="E453" s="12"/>
      <c r="F453" s="12"/>
    </row>
    <row r="454" customFormat="false" ht="15" hidden="false" customHeight="false" outlineLevel="0" collapsed="false">
      <c r="A454" s="16"/>
      <c r="B454" s="12"/>
      <c r="C454" s="12"/>
      <c r="D454" s="13"/>
      <c r="E454" s="12"/>
      <c r="F454" s="12"/>
    </row>
    <row r="455" customFormat="false" ht="15" hidden="false" customHeight="false" outlineLevel="0" collapsed="false">
      <c r="A455" s="16"/>
      <c r="B455" s="12"/>
      <c r="C455" s="12"/>
      <c r="D455" s="13"/>
      <c r="E455" s="12"/>
      <c r="F455" s="12"/>
    </row>
    <row r="456" customFormat="false" ht="15" hidden="false" customHeight="false" outlineLevel="0" collapsed="false">
      <c r="A456" s="16"/>
      <c r="B456" s="12"/>
      <c r="C456" s="12"/>
      <c r="D456" s="13"/>
      <c r="E456" s="12"/>
      <c r="F456" s="12"/>
    </row>
    <row r="457" customFormat="false" ht="15" hidden="false" customHeight="false" outlineLevel="0" collapsed="false">
      <c r="A457" s="16"/>
      <c r="B457" s="12"/>
      <c r="C457" s="12"/>
      <c r="D457" s="13"/>
      <c r="E457" s="12"/>
      <c r="F457" s="12"/>
    </row>
    <row r="458" customFormat="false" ht="15" hidden="false" customHeight="false" outlineLevel="0" collapsed="false">
      <c r="A458" s="16"/>
      <c r="B458" s="12"/>
      <c r="C458" s="12"/>
      <c r="D458" s="13"/>
      <c r="E458" s="12"/>
      <c r="F458" s="12"/>
    </row>
    <row r="459" customFormat="false" ht="15" hidden="false" customHeight="false" outlineLevel="0" collapsed="false">
      <c r="A459" s="16"/>
      <c r="B459" s="12"/>
      <c r="C459" s="12"/>
      <c r="D459" s="13"/>
      <c r="E459" s="12"/>
      <c r="F459" s="12"/>
    </row>
    <row r="460" customFormat="false" ht="15" hidden="false" customHeight="false" outlineLevel="0" collapsed="false">
      <c r="A460" s="16"/>
      <c r="B460" s="12"/>
      <c r="C460" s="12"/>
      <c r="D460" s="13"/>
      <c r="E460" s="12"/>
      <c r="F460" s="12"/>
    </row>
    <row r="461" customFormat="false" ht="15" hidden="false" customHeight="false" outlineLevel="0" collapsed="false">
      <c r="A461" s="16"/>
      <c r="B461" s="12"/>
      <c r="C461" s="12"/>
      <c r="D461" s="13"/>
      <c r="E461" s="12"/>
      <c r="F461" s="12"/>
    </row>
    <row r="462" customFormat="false" ht="15" hidden="false" customHeight="false" outlineLevel="0" collapsed="false">
      <c r="A462" s="16"/>
      <c r="B462" s="12"/>
      <c r="C462" s="12"/>
      <c r="D462" s="13"/>
      <c r="E462" s="12"/>
      <c r="F462" s="12"/>
    </row>
    <row r="463" customFormat="false" ht="15" hidden="false" customHeight="false" outlineLevel="0" collapsed="false">
      <c r="A463" s="16"/>
      <c r="B463" s="12"/>
      <c r="C463" s="12"/>
      <c r="D463" s="13"/>
      <c r="E463" s="12"/>
      <c r="F463" s="12"/>
    </row>
    <row r="464" customFormat="false" ht="15" hidden="false" customHeight="false" outlineLevel="0" collapsed="false">
      <c r="A464" s="16"/>
      <c r="B464" s="12"/>
      <c r="C464" s="12"/>
      <c r="D464" s="13"/>
      <c r="E464" s="12"/>
      <c r="F464" s="12"/>
    </row>
    <row r="465" customFormat="false" ht="15" hidden="false" customHeight="false" outlineLevel="0" collapsed="false">
      <c r="A465" s="16"/>
      <c r="B465" s="12"/>
      <c r="C465" s="12"/>
      <c r="D465" s="13"/>
      <c r="E465" s="12"/>
      <c r="F465" s="12"/>
    </row>
    <row r="466" customFormat="false" ht="15" hidden="false" customHeight="false" outlineLevel="0" collapsed="false">
      <c r="A466" s="16"/>
      <c r="B466" s="12"/>
      <c r="C466" s="12"/>
      <c r="D466" s="13"/>
      <c r="E466" s="12"/>
      <c r="F466" s="12"/>
    </row>
    <row r="467" customFormat="false" ht="15" hidden="false" customHeight="false" outlineLevel="0" collapsed="false">
      <c r="A467" s="16"/>
      <c r="B467" s="12"/>
      <c r="C467" s="12"/>
      <c r="D467" s="13"/>
      <c r="E467" s="12"/>
      <c r="F467" s="12"/>
    </row>
    <row r="468" customFormat="false" ht="15" hidden="false" customHeight="false" outlineLevel="0" collapsed="false">
      <c r="A468" s="16"/>
      <c r="B468" s="12"/>
      <c r="C468" s="12"/>
      <c r="D468" s="13"/>
      <c r="E468" s="12"/>
      <c r="F468" s="12"/>
    </row>
    <row r="469" customFormat="false" ht="15" hidden="false" customHeight="false" outlineLevel="0" collapsed="false">
      <c r="A469" s="16"/>
      <c r="B469" s="12"/>
      <c r="C469" s="12"/>
      <c r="D469" s="13"/>
      <c r="E469" s="12"/>
      <c r="F469" s="12"/>
    </row>
    <row r="470" customFormat="false" ht="15" hidden="false" customHeight="false" outlineLevel="0" collapsed="false">
      <c r="A470" s="16"/>
      <c r="B470" s="12"/>
      <c r="C470" s="12"/>
      <c r="D470" s="13"/>
      <c r="E470" s="12"/>
      <c r="F470" s="12"/>
    </row>
    <row r="471" customFormat="false" ht="15" hidden="false" customHeight="false" outlineLevel="0" collapsed="false">
      <c r="A471" s="16"/>
      <c r="B471" s="12"/>
      <c r="C471" s="12"/>
      <c r="D471" s="13"/>
      <c r="E471" s="12"/>
      <c r="F471" s="12"/>
    </row>
    <row r="472" customFormat="false" ht="15" hidden="false" customHeight="false" outlineLevel="0" collapsed="false">
      <c r="A472" s="16"/>
      <c r="B472" s="12"/>
      <c r="C472" s="12"/>
      <c r="D472" s="13"/>
      <c r="E472" s="12"/>
      <c r="F472" s="12"/>
    </row>
    <row r="473" customFormat="false" ht="15" hidden="false" customHeight="false" outlineLevel="0" collapsed="false">
      <c r="A473" s="16"/>
      <c r="B473" s="12"/>
      <c r="C473" s="12"/>
      <c r="D473" s="13"/>
      <c r="E473" s="12"/>
      <c r="F473" s="12"/>
    </row>
    <row r="474" customFormat="false" ht="15" hidden="false" customHeight="false" outlineLevel="0" collapsed="false">
      <c r="A474" s="16"/>
      <c r="B474" s="12"/>
      <c r="C474" s="12"/>
      <c r="D474" s="13"/>
      <c r="E474" s="12"/>
      <c r="F474" s="12"/>
    </row>
    <row r="475" customFormat="false" ht="15" hidden="false" customHeight="false" outlineLevel="0" collapsed="false">
      <c r="A475" s="16"/>
      <c r="B475" s="12"/>
      <c r="C475" s="12"/>
      <c r="D475" s="13"/>
      <c r="E475" s="12"/>
      <c r="F475" s="12"/>
    </row>
    <row r="476" customFormat="false" ht="15" hidden="false" customHeight="false" outlineLevel="0" collapsed="false">
      <c r="A476" s="16"/>
      <c r="B476" s="12"/>
      <c r="C476" s="12"/>
      <c r="D476" s="13"/>
      <c r="E476" s="12"/>
      <c r="F476" s="12"/>
    </row>
    <row r="477" customFormat="false" ht="15" hidden="false" customHeight="false" outlineLevel="0" collapsed="false">
      <c r="A477" s="16"/>
      <c r="B477" s="12"/>
      <c r="C477" s="12"/>
      <c r="D477" s="13"/>
      <c r="E477" s="12"/>
      <c r="F477" s="12"/>
    </row>
    <row r="478" customFormat="false" ht="15" hidden="false" customHeight="false" outlineLevel="0" collapsed="false">
      <c r="A478" s="16"/>
      <c r="B478" s="12"/>
      <c r="C478" s="12"/>
      <c r="D478" s="13"/>
      <c r="E478" s="12"/>
      <c r="F478" s="12"/>
    </row>
    <row r="479" customFormat="false" ht="15" hidden="false" customHeight="false" outlineLevel="0" collapsed="false">
      <c r="A479" s="16"/>
      <c r="B479" s="12"/>
      <c r="C479" s="12"/>
      <c r="D479" s="13"/>
      <c r="E479" s="12"/>
      <c r="F479" s="12"/>
    </row>
    <row r="480" customFormat="false" ht="15" hidden="false" customHeight="false" outlineLevel="0" collapsed="false">
      <c r="A480" s="16"/>
      <c r="B480" s="12"/>
      <c r="C480" s="12"/>
      <c r="D480" s="13"/>
      <c r="E480" s="12"/>
      <c r="F480" s="12"/>
    </row>
    <row r="481" customFormat="false" ht="15" hidden="false" customHeight="false" outlineLevel="0" collapsed="false">
      <c r="A481" s="16"/>
      <c r="B481" s="12"/>
      <c r="C481" s="12"/>
      <c r="D481" s="13"/>
      <c r="E481" s="12"/>
      <c r="F481" s="12"/>
    </row>
    <row r="482" customFormat="false" ht="15" hidden="false" customHeight="false" outlineLevel="0" collapsed="false">
      <c r="A482" s="16"/>
      <c r="B482" s="12"/>
      <c r="C482" s="12"/>
      <c r="D482" s="13"/>
      <c r="E482" s="12"/>
      <c r="F482" s="12"/>
    </row>
    <row r="483" customFormat="false" ht="15" hidden="false" customHeight="false" outlineLevel="0" collapsed="false">
      <c r="A483" s="16"/>
      <c r="B483" s="12"/>
      <c r="C483" s="12"/>
      <c r="D483" s="13"/>
      <c r="E483" s="12"/>
      <c r="F483" s="12"/>
    </row>
    <row r="484" customFormat="false" ht="15" hidden="false" customHeight="false" outlineLevel="0" collapsed="false">
      <c r="A484" s="16"/>
      <c r="B484" s="12"/>
      <c r="C484" s="12"/>
      <c r="D484" s="13"/>
      <c r="E484" s="12"/>
      <c r="F484" s="12"/>
    </row>
    <row r="485" customFormat="false" ht="15" hidden="false" customHeight="false" outlineLevel="0" collapsed="false">
      <c r="A485" s="16"/>
      <c r="B485" s="12"/>
      <c r="C485" s="12"/>
      <c r="D485" s="13"/>
      <c r="E485" s="12"/>
      <c r="F485" s="12"/>
    </row>
    <row r="486" customFormat="false" ht="15" hidden="false" customHeight="false" outlineLevel="0" collapsed="false">
      <c r="A486" s="16"/>
      <c r="B486" s="12"/>
      <c r="C486" s="12"/>
      <c r="D486" s="13"/>
      <c r="E486" s="12"/>
      <c r="F486" s="12"/>
    </row>
    <row r="487" customFormat="false" ht="15" hidden="false" customHeight="false" outlineLevel="0" collapsed="false">
      <c r="A487" s="16"/>
      <c r="B487" s="12"/>
      <c r="C487" s="12"/>
      <c r="D487" s="13"/>
      <c r="E487" s="12"/>
      <c r="F487" s="12"/>
    </row>
    <row r="488" customFormat="false" ht="15" hidden="false" customHeight="false" outlineLevel="0" collapsed="false">
      <c r="A488" s="16"/>
      <c r="B488" s="12"/>
      <c r="C488" s="12"/>
      <c r="D488" s="13"/>
      <c r="E488" s="12"/>
      <c r="F488" s="12"/>
    </row>
    <row r="489" customFormat="false" ht="15" hidden="false" customHeight="false" outlineLevel="0" collapsed="false">
      <c r="A489" s="16"/>
      <c r="B489" s="12"/>
      <c r="C489" s="12"/>
      <c r="D489" s="13"/>
      <c r="E489" s="12"/>
      <c r="F489" s="12"/>
    </row>
    <row r="490" customFormat="false" ht="15" hidden="false" customHeight="false" outlineLevel="0" collapsed="false">
      <c r="A490" s="16"/>
      <c r="B490" s="12"/>
      <c r="C490" s="12"/>
      <c r="D490" s="13"/>
      <c r="E490" s="12"/>
      <c r="F490" s="12"/>
    </row>
    <row r="491" customFormat="false" ht="15" hidden="false" customHeight="false" outlineLevel="0" collapsed="false">
      <c r="A491" s="16"/>
      <c r="B491" s="12"/>
      <c r="C491" s="12"/>
      <c r="D491" s="13"/>
      <c r="E491" s="12"/>
      <c r="F491" s="12"/>
    </row>
    <row r="492" customFormat="false" ht="15" hidden="false" customHeight="false" outlineLevel="0" collapsed="false">
      <c r="A492" s="16"/>
      <c r="B492" s="12"/>
      <c r="C492" s="12"/>
      <c r="D492" s="13"/>
      <c r="E492" s="12"/>
      <c r="F492" s="12"/>
    </row>
    <row r="493" customFormat="false" ht="15" hidden="false" customHeight="false" outlineLevel="0" collapsed="false">
      <c r="A493" s="16"/>
      <c r="B493" s="12"/>
      <c r="C493" s="12"/>
      <c r="D493" s="13"/>
      <c r="E493" s="12"/>
      <c r="F493" s="12"/>
    </row>
    <row r="494" customFormat="false" ht="15" hidden="false" customHeight="false" outlineLevel="0" collapsed="false">
      <c r="A494" s="16"/>
      <c r="B494" s="12"/>
      <c r="C494" s="12"/>
      <c r="D494" s="13"/>
      <c r="E494" s="12"/>
      <c r="F494" s="12"/>
    </row>
    <row r="495" customFormat="false" ht="15" hidden="false" customHeight="false" outlineLevel="0" collapsed="false">
      <c r="A495" s="16"/>
      <c r="B495" s="12"/>
      <c r="C495" s="12"/>
      <c r="D495" s="13"/>
      <c r="E495" s="12"/>
      <c r="F495" s="12"/>
    </row>
    <row r="496" customFormat="false" ht="15" hidden="false" customHeight="false" outlineLevel="0" collapsed="false">
      <c r="A496" s="16"/>
      <c r="B496" s="12"/>
      <c r="C496" s="12"/>
      <c r="D496" s="13"/>
      <c r="E496" s="12"/>
      <c r="F496" s="12"/>
    </row>
    <row r="497" customFormat="false" ht="15" hidden="false" customHeight="false" outlineLevel="0" collapsed="false">
      <c r="A497" s="16"/>
      <c r="B497" s="12"/>
      <c r="C497" s="12"/>
      <c r="D497" s="13"/>
      <c r="E497" s="12"/>
      <c r="F497" s="12"/>
    </row>
    <row r="498" customFormat="false" ht="15" hidden="false" customHeight="false" outlineLevel="0" collapsed="false">
      <c r="A498" s="16"/>
      <c r="B498" s="12"/>
      <c r="C498" s="12"/>
      <c r="D498" s="13"/>
      <c r="E498" s="12"/>
      <c r="F498" s="12"/>
    </row>
    <row r="499" customFormat="false" ht="15" hidden="false" customHeight="false" outlineLevel="0" collapsed="false">
      <c r="A499" s="16"/>
      <c r="B499" s="12"/>
      <c r="C499" s="12"/>
      <c r="D499" s="13"/>
      <c r="E499" s="12"/>
      <c r="F499" s="12"/>
    </row>
    <row r="500" customFormat="false" ht="15" hidden="false" customHeight="false" outlineLevel="0" collapsed="false">
      <c r="A500" s="16"/>
      <c r="B500" s="12"/>
      <c r="C500" s="12"/>
      <c r="D500" s="13"/>
      <c r="E500" s="12"/>
      <c r="F500" s="12"/>
    </row>
    <row r="501" customFormat="false" ht="15" hidden="false" customHeight="false" outlineLevel="0" collapsed="false">
      <c r="A501" s="16"/>
      <c r="B501" s="12"/>
      <c r="C501" s="12"/>
      <c r="D501" s="13"/>
      <c r="E501" s="12"/>
      <c r="F501" s="12"/>
    </row>
    <row r="502" customFormat="false" ht="15" hidden="false" customHeight="false" outlineLevel="0" collapsed="false">
      <c r="A502" s="16"/>
      <c r="B502" s="12"/>
      <c r="C502" s="12"/>
      <c r="D502" s="13"/>
      <c r="E502" s="12"/>
      <c r="F502" s="12"/>
    </row>
    <row r="503" customFormat="false" ht="15" hidden="false" customHeight="false" outlineLevel="0" collapsed="false">
      <c r="A503" s="16"/>
      <c r="B503" s="12"/>
      <c r="C503" s="12"/>
      <c r="D503" s="13"/>
      <c r="E503" s="12"/>
      <c r="F503" s="12"/>
    </row>
    <row r="504" customFormat="false" ht="15" hidden="false" customHeight="false" outlineLevel="0" collapsed="false">
      <c r="A504" s="16"/>
      <c r="B504" s="12"/>
      <c r="C504" s="12"/>
      <c r="D504" s="13"/>
      <c r="E504" s="12"/>
      <c r="F504" s="12"/>
    </row>
  </sheetData>
  <dataValidations count="4">
    <dataValidation allowBlank="true" error="Enter a real date, for example 7/14/2026 (or your usual date format)." errorStyle="stop" errorTitle="Check this entry" operator="between" prompt="Date of the expense, e.g. 7/14/2026." promptTitle="Tip" showDropDown="false" showErrorMessage="true" showInputMessage="true" sqref="A5:A504" type="date">
      <formula1>36526</formula1>
      <formula2>73050</formula2>
    </dataValidation>
    <dataValidation allowBlank="true" error="Pick a value from the dropdown list." errorStyle="stop" errorTitle="Check this entry" operator="between" showDropDown="false" showErrorMessage="true" showInputMessage="true" sqref="B5:B504" type="list">
      <formula1>Settings!$H$5:$H$19</formula1>
      <formula2>0</formula2>
    </dataValidation>
    <dataValidation allowBlank="true" error="Enter a number of 0 or more (no currency symbols or text)." errorStyle="stop" errorTitle="Check this entry" operator="greaterThanOrEqual" showDropDown="false" showErrorMessage="true" showInputMessage="true" sqref="D5:D504" type="decimal">
      <formula1>0</formula1>
      <formula2>0</formula2>
    </dataValidation>
    <dataValidation allowBlank="true" error="Pick a value from the dropdown list." errorStyle="stop" errorTitle="Check this entry" operator="between" showDropDown="false" showErrorMessage="true" showInputMessage="true" sqref="E5:E504" type="list">
      <formula1>Settings!$J$5:$J$12</formula1>
      <formula2>0</formula2>
    </dataValidation>
  </dataValidation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6" min="4" style="0" width="13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4" min="9" style="0" width="12"/>
  </cols>
  <sheetData>
    <row r="1" customFormat="false" ht="19.7" hidden="false" customHeight="false" outlineLevel="0" collapsed="false">
      <c r="A1" s="1" t="str">
        <f aca="false">Settings!$B$5&amp;" - Monthly Profit &amp; Loss "&amp;Settings!$B$12</f>
        <v>Sparkle &amp; Shine Cleaning Co. - Monthly Profit &amp; Loss 2026</v>
      </c>
    </row>
    <row r="2" customFormat="false" ht="15" hidden="false" customHeight="false" outlineLevel="0" collapsed="false">
      <c r="A2" s="2" t="s">
        <v>206</v>
      </c>
    </row>
    <row r="4" customFormat="false" ht="32" hidden="false" customHeight="true" outlineLevel="0" collapsed="false">
      <c r="A4" s="11" t="s">
        <v>207</v>
      </c>
      <c r="B4" s="11" t="s">
        <v>208</v>
      </c>
      <c r="C4" s="11" t="str">
        <f aca="false">"Revenue (before tax) ("&amp;Settings!$B$10&amp;")"</f>
        <v>Revenue (before tax) ($)</v>
      </c>
      <c r="D4" s="11" t="str">
        <f aca="false">"Sales tax collected ("&amp;Settings!$B$10&amp;")"</f>
        <v>Sales tax collected ($)</v>
      </c>
      <c r="E4" s="11" t="str">
        <f aca="false">"Expenses ("&amp;Settings!$B$10&amp;")"</f>
        <v>Expenses ($)</v>
      </c>
      <c r="F4" s="11" t="str">
        <f aca="false">"Net profit ("&amp;Settings!$B$10&amp;")"</f>
        <v>Net profit ($)</v>
      </c>
      <c r="G4" s="11" t="s">
        <v>209</v>
      </c>
      <c r="H4" s="11" t="str">
        <f aca="false">"Cash collected ("&amp;Settings!$B$10&amp;")"</f>
        <v>Cash collected ($)</v>
      </c>
    </row>
    <row r="5" customFormat="false" ht="15" hidden="false" customHeight="false" outlineLevel="0" collapsed="false">
      <c r="A5" s="23" t="n">
        <f aca="false">DATE(Settings!$B$12,1,1)</f>
        <v>46023</v>
      </c>
      <c r="B5" s="14" t="n">
        <f aca="false">COUNTIFS(Jobs!$G$5:$G$504,"Completed",Jobs!$A$5:$A$504,"&gt;="&amp;$A5,Jobs!$A$5:$A$504,"&lt;="&amp;EOMONTH($A5,0))</f>
        <v>0</v>
      </c>
      <c r="C5" s="15" t="n">
        <f aca="false">SUMIFS(Jobs!$L$5:$L$504,Jobs!$G$5:$G$504,"Completed",Jobs!$A$5:$A$504,"&gt;="&amp;$A5,Jobs!$A$5:$A$504,"&lt;="&amp;EOMONTH($A5,0))</f>
        <v>0</v>
      </c>
      <c r="D5" s="15" t="n">
        <f aca="false">SUMIFS(Jobs!$M$5:$M$504,Jobs!$G$5:$G$504,"Completed",Jobs!$A$5:$A$504,"&gt;="&amp;$A5,Jobs!$A$5:$A$504,"&lt;="&amp;EOMONTH($A5,0))</f>
        <v>0</v>
      </c>
      <c r="E5" s="15" t="n">
        <f aca="false">SUMIFS(Expenses!$D$5:$D$504,Expenses!$A$5:$A$504,"&gt;="&amp;$A5,Expenses!$A$5:$A$504,"&lt;="&amp;EOMONTH($A5,0))</f>
        <v>0</v>
      </c>
      <c r="F5" s="15" t="n">
        <f aca="false">$C5-$E5</f>
        <v>0</v>
      </c>
      <c r="G5" s="24" t="str">
        <f aca="false">IF($C5=0,"",$F5/$C5)</f>
        <v/>
      </c>
      <c r="H5" s="15" t="n">
        <f aca="false">SUMIFS(Invoices!$P$5:$P$1004,Invoices!$M$5:$M$1004,"&gt;="&amp;$A5,Invoices!$M$5:$M$1004,"&lt;="&amp;EOMONTH($A5,0))</f>
        <v>0</v>
      </c>
    </row>
    <row r="6" customFormat="false" ht="15" hidden="false" customHeight="false" outlineLevel="0" collapsed="false">
      <c r="A6" s="23" t="n">
        <f aca="false">DATE(Settings!$B$12,2,1)</f>
        <v>46054</v>
      </c>
      <c r="B6" s="14" t="n">
        <f aca="false">COUNTIFS(Jobs!$G$5:$G$504,"Completed",Jobs!$A$5:$A$504,"&gt;="&amp;$A6,Jobs!$A$5:$A$504,"&lt;="&amp;EOMONTH($A6,0))</f>
        <v>0</v>
      </c>
      <c r="C6" s="15" t="n">
        <f aca="false">SUMIFS(Jobs!$L$5:$L$504,Jobs!$G$5:$G$504,"Completed",Jobs!$A$5:$A$504,"&gt;="&amp;$A6,Jobs!$A$5:$A$504,"&lt;="&amp;EOMONTH($A6,0))</f>
        <v>0</v>
      </c>
      <c r="D6" s="15" t="n">
        <f aca="false">SUMIFS(Jobs!$M$5:$M$504,Jobs!$G$5:$G$504,"Completed",Jobs!$A$5:$A$504,"&gt;="&amp;$A6,Jobs!$A$5:$A$504,"&lt;="&amp;EOMONTH($A6,0))</f>
        <v>0</v>
      </c>
      <c r="E6" s="15" t="n">
        <f aca="false">SUMIFS(Expenses!$D$5:$D$504,Expenses!$A$5:$A$504,"&gt;="&amp;$A6,Expenses!$A$5:$A$504,"&lt;="&amp;EOMONTH($A6,0))</f>
        <v>0</v>
      </c>
      <c r="F6" s="15" t="n">
        <f aca="false">$C6-$E6</f>
        <v>0</v>
      </c>
      <c r="G6" s="24" t="str">
        <f aca="false">IF($C6=0,"",$F6/$C6)</f>
        <v/>
      </c>
      <c r="H6" s="15" t="n">
        <f aca="false">SUMIFS(Invoices!$P$5:$P$1004,Invoices!$M$5:$M$1004,"&gt;="&amp;$A6,Invoices!$M$5:$M$1004,"&lt;="&amp;EOMONTH($A6,0))</f>
        <v>0</v>
      </c>
    </row>
    <row r="7" customFormat="false" ht="15" hidden="false" customHeight="false" outlineLevel="0" collapsed="false">
      <c r="A7" s="23" t="n">
        <f aca="false">DATE(Settings!$B$12,3,1)</f>
        <v>46082</v>
      </c>
      <c r="B7" s="14" t="n">
        <f aca="false">COUNTIFS(Jobs!$G$5:$G$504,"Completed",Jobs!$A$5:$A$504,"&gt;="&amp;$A7,Jobs!$A$5:$A$504,"&lt;="&amp;EOMONTH($A7,0))</f>
        <v>0</v>
      </c>
      <c r="C7" s="15" t="n">
        <f aca="false">SUMIFS(Jobs!$L$5:$L$504,Jobs!$G$5:$G$504,"Completed",Jobs!$A$5:$A$504,"&gt;="&amp;$A7,Jobs!$A$5:$A$504,"&lt;="&amp;EOMONTH($A7,0))</f>
        <v>0</v>
      </c>
      <c r="D7" s="15" t="n">
        <f aca="false">SUMIFS(Jobs!$M$5:$M$504,Jobs!$G$5:$G$504,"Completed",Jobs!$A$5:$A$504,"&gt;="&amp;$A7,Jobs!$A$5:$A$504,"&lt;="&amp;EOMONTH($A7,0))</f>
        <v>0</v>
      </c>
      <c r="E7" s="15" t="n">
        <f aca="false">SUMIFS(Expenses!$D$5:$D$504,Expenses!$A$5:$A$504,"&gt;="&amp;$A7,Expenses!$A$5:$A$504,"&lt;="&amp;EOMONTH($A7,0))</f>
        <v>0</v>
      </c>
      <c r="F7" s="15" t="n">
        <f aca="false">$C7-$E7</f>
        <v>0</v>
      </c>
      <c r="G7" s="24" t="str">
        <f aca="false">IF($C7=0,"",$F7/$C7)</f>
        <v/>
      </c>
      <c r="H7" s="15" t="n">
        <f aca="false">SUMIFS(Invoices!$P$5:$P$1004,Invoices!$M$5:$M$1004,"&gt;="&amp;$A7,Invoices!$M$5:$M$1004,"&lt;="&amp;EOMONTH($A7,0))</f>
        <v>0</v>
      </c>
    </row>
    <row r="8" customFormat="false" ht="15" hidden="false" customHeight="false" outlineLevel="0" collapsed="false">
      <c r="A8" s="23" t="n">
        <f aca="false">DATE(Settings!$B$12,4,1)</f>
        <v>46113</v>
      </c>
      <c r="B8" s="14" t="n">
        <f aca="false">COUNTIFS(Jobs!$G$5:$G$504,"Completed",Jobs!$A$5:$A$504,"&gt;="&amp;$A8,Jobs!$A$5:$A$504,"&lt;="&amp;EOMONTH($A8,0))</f>
        <v>0</v>
      </c>
      <c r="C8" s="15" t="n">
        <f aca="false">SUMIFS(Jobs!$L$5:$L$504,Jobs!$G$5:$G$504,"Completed",Jobs!$A$5:$A$504,"&gt;="&amp;$A8,Jobs!$A$5:$A$504,"&lt;="&amp;EOMONTH($A8,0))</f>
        <v>0</v>
      </c>
      <c r="D8" s="15" t="n">
        <f aca="false">SUMIFS(Jobs!$M$5:$M$504,Jobs!$G$5:$G$504,"Completed",Jobs!$A$5:$A$504,"&gt;="&amp;$A8,Jobs!$A$5:$A$504,"&lt;="&amp;EOMONTH($A8,0))</f>
        <v>0</v>
      </c>
      <c r="E8" s="15" t="n">
        <f aca="false">SUMIFS(Expenses!$D$5:$D$504,Expenses!$A$5:$A$504,"&gt;="&amp;$A8,Expenses!$A$5:$A$504,"&lt;="&amp;EOMONTH($A8,0))</f>
        <v>0</v>
      </c>
      <c r="F8" s="15" t="n">
        <f aca="false">$C8-$E8</f>
        <v>0</v>
      </c>
      <c r="G8" s="24" t="str">
        <f aca="false">IF($C8=0,"",$F8/$C8)</f>
        <v/>
      </c>
      <c r="H8" s="15" t="n">
        <f aca="false">SUMIFS(Invoices!$P$5:$P$1004,Invoices!$M$5:$M$1004,"&gt;="&amp;$A8,Invoices!$M$5:$M$1004,"&lt;="&amp;EOMONTH($A8,0))</f>
        <v>0</v>
      </c>
    </row>
    <row r="9" customFormat="false" ht="15" hidden="false" customHeight="false" outlineLevel="0" collapsed="false">
      <c r="A9" s="23" t="n">
        <f aca="false">DATE(Settings!$B$12,5,1)</f>
        <v>46143</v>
      </c>
      <c r="B9" s="14" t="n">
        <f aca="false">COUNTIFS(Jobs!$G$5:$G$504,"Completed",Jobs!$A$5:$A$504,"&gt;="&amp;$A9,Jobs!$A$5:$A$504,"&lt;="&amp;EOMONTH($A9,0))</f>
        <v>0</v>
      </c>
      <c r="C9" s="15" t="n">
        <f aca="false">SUMIFS(Jobs!$L$5:$L$504,Jobs!$G$5:$G$504,"Completed",Jobs!$A$5:$A$504,"&gt;="&amp;$A9,Jobs!$A$5:$A$504,"&lt;="&amp;EOMONTH($A9,0))</f>
        <v>0</v>
      </c>
      <c r="D9" s="15" t="n">
        <f aca="false">SUMIFS(Jobs!$M$5:$M$504,Jobs!$G$5:$G$504,"Completed",Jobs!$A$5:$A$504,"&gt;="&amp;$A9,Jobs!$A$5:$A$504,"&lt;="&amp;EOMONTH($A9,0))</f>
        <v>0</v>
      </c>
      <c r="E9" s="15" t="n">
        <f aca="false">SUMIFS(Expenses!$D$5:$D$504,Expenses!$A$5:$A$504,"&gt;="&amp;$A9,Expenses!$A$5:$A$504,"&lt;="&amp;EOMONTH($A9,0))</f>
        <v>0</v>
      </c>
      <c r="F9" s="15" t="n">
        <f aca="false">$C9-$E9</f>
        <v>0</v>
      </c>
      <c r="G9" s="24" t="str">
        <f aca="false">IF($C9=0,"",$F9/$C9)</f>
        <v/>
      </c>
      <c r="H9" s="15" t="n">
        <f aca="false">SUMIFS(Invoices!$P$5:$P$1004,Invoices!$M$5:$M$1004,"&gt;="&amp;$A9,Invoices!$M$5:$M$1004,"&lt;="&amp;EOMONTH($A9,0))</f>
        <v>0</v>
      </c>
    </row>
    <row r="10" customFormat="false" ht="15" hidden="false" customHeight="false" outlineLevel="0" collapsed="false">
      <c r="A10" s="23" t="n">
        <f aca="false">DATE(Settings!$B$12,6,1)</f>
        <v>46174</v>
      </c>
      <c r="B10" s="14" t="n">
        <f aca="false">COUNTIFS(Jobs!$G$5:$G$504,"Completed",Jobs!$A$5:$A$504,"&gt;="&amp;$A10,Jobs!$A$5:$A$504,"&lt;="&amp;EOMONTH($A10,0))</f>
        <v>0</v>
      </c>
      <c r="C10" s="15" t="n">
        <f aca="false">SUMIFS(Jobs!$L$5:$L$504,Jobs!$G$5:$G$504,"Completed",Jobs!$A$5:$A$504,"&gt;="&amp;$A10,Jobs!$A$5:$A$504,"&lt;="&amp;EOMONTH($A10,0))</f>
        <v>0</v>
      </c>
      <c r="D10" s="15" t="n">
        <f aca="false">SUMIFS(Jobs!$M$5:$M$504,Jobs!$G$5:$G$504,"Completed",Jobs!$A$5:$A$504,"&gt;="&amp;$A10,Jobs!$A$5:$A$504,"&lt;="&amp;EOMONTH($A10,0))</f>
        <v>0</v>
      </c>
      <c r="E10" s="15" t="n">
        <f aca="false">SUMIFS(Expenses!$D$5:$D$504,Expenses!$A$5:$A$504,"&gt;="&amp;$A10,Expenses!$A$5:$A$504,"&lt;="&amp;EOMONTH($A10,0))</f>
        <v>0</v>
      </c>
      <c r="F10" s="15" t="n">
        <f aca="false">$C10-$E10</f>
        <v>0</v>
      </c>
      <c r="G10" s="24" t="str">
        <f aca="false">IF($C10=0,"",$F10/$C10)</f>
        <v/>
      </c>
      <c r="H10" s="15" t="n">
        <f aca="false">SUMIFS(Invoices!$P$5:$P$1004,Invoices!$M$5:$M$1004,"&gt;="&amp;$A10,Invoices!$M$5:$M$1004,"&lt;="&amp;EOMONTH($A10,0))</f>
        <v>0</v>
      </c>
    </row>
    <row r="11" customFormat="false" ht="15" hidden="false" customHeight="false" outlineLevel="0" collapsed="false">
      <c r="A11" s="23" t="n">
        <f aca="false">DATE(Settings!$B$12,7,1)</f>
        <v>46204</v>
      </c>
      <c r="B11" s="14" t="n">
        <f aca="false">COUNTIFS(Jobs!$G$5:$G$504,"Completed",Jobs!$A$5:$A$504,"&gt;="&amp;$A11,Jobs!$A$5:$A$504,"&lt;="&amp;EOMONTH($A11,0))</f>
        <v>10</v>
      </c>
      <c r="C11" s="15" t="n">
        <f aca="false">SUMIFS(Jobs!$L$5:$L$504,Jobs!$G$5:$G$504,"Completed",Jobs!$A$5:$A$504,"&gt;="&amp;$A11,Jobs!$A$5:$A$504,"&lt;="&amp;EOMONTH($A11,0))</f>
        <v>1435</v>
      </c>
      <c r="D11" s="15" t="n">
        <f aca="false">SUMIFS(Jobs!$M$5:$M$504,Jobs!$G$5:$G$504,"Completed",Jobs!$A$5:$A$504,"&gt;="&amp;$A11,Jobs!$A$5:$A$504,"&lt;="&amp;EOMONTH($A11,0))</f>
        <v>86.1</v>
      </c>
      <c r="E11" s="15" t="n">
        <f aca="false">SUMIFS(Expenses!$D$5:$D$504,Expenses!$A$5:$A$504,"&gt;="&amp;$A11,Expenses!$A$5:$A$504,"&lt;="&amp;EOMONTH($A11,0))</f>
        <v>483.14</v>
      </c>
      <c r="F11" s="15" t="n">
        <f aca="false">$C11-$E11</f>
        <v>951.86</v>
      </c>
      <c r="G11" s="24" t="n">
        <f aca="false">IF($C11=0,"",$F11/$C11)</f>
        <v>0.663317073170732</v>
      </c>
      <c r="H11" s="15" t="n">
        <f aca="false">SUMIFS(Invoices!$P$5:$P$1004,Invoices!$M$5:$M$1004,"&gt;="&amp;$A11,Invoices!$M$5:$M$1004,"&lt;="&amp;EOMONTH($A11,0))</f>
        <v>1393.9</v>
      </c>
    </row>
    <row r="12" customFormat="false" ht="15" hidden="false" customHeight="false" outlineLevel="0" collapsed="false">
      <c r="A12" s="23" t="n">
        <f aca="false">DATE(Settings!$B$12,8,1)</f>
        <v>46235</v>
      </c>
      <c r="B12" s="14" t="n">
        <f aca="false">COUNTIFS(Jobs!$G$5:$G$504,"Completed",Jobs!$A$5:$A$504,"&gt;="&amp;$A12,Jobs!$A$5:$A$504,"&lt;="&amp;EOMONTH($A12,0))</f>
        <v>9</v>
      </c>
      <c r="C12" s="15" t="n">
        <f aca="false">SUMIFS(Jobs!$L$5:$L$504,Jobs!$G$5:$G$504,"Completed",Jobs!$A$5:$A$504,"&gt;="&amp;$A12,Jobs!$A$5:$A$504,"&lt;="&amp;EOMONTH($A12,0))</f>
        <v>1325</v>
      </c>
      <c r="D12" s="15" t="n">
        <f aca="false">SUMIFS(Jobs!$M$5:$M$504,Jobs!$G$5:$G$504,"Completed",Jobs!$A$5:$A$504,"&gt;="&amp;$A12,Jobs!$A$5:$A$504,"&lt;="&amp;EOMONTH($A12,0))</f>
        <v>79.5</v>
      </c>
      <c r="E12" s="15" t="n">
        <f aca="false">SUMIFS(Expenses!$D$5:$D$504,Expenses!$A$5:$A$504,"&gt;="&amp;$A12,Expenses!$A$5:$A$504,"&lt;="&amp;EOMONTH($A12,0))</f>
        <v>569.2</v>
      </c>
      <c r="F12" s="15" t="n">
        <f aca="false">$C12-$E12</f>
        <v>755.8</v>
      </c>
      <c r="G12" s="24" t="n">
        <f aca="false">IF($C12=0,"",$F12/$C12)</f>
        <v>0.570415094339623</v>
      </c>
      <c r="H12" s="15" t="n">
        <f aca="false">SUMIFS(Invoices!$P$5:$P$1004,Invoices!$M$5:$M$1004,"&gt;="&amp;$A12,Invoices!$M$5:$M$1004,"&lt;="&amp;EOMONTH($A12,0))</f>
        <v>1244.1</v>
      </c>
    </row>
    <row r="13" customFormat="false" ht="15" hidden="false" customHeight="false" outlineLevel="0" collapsed="false">
      <c r="A13" s="23" t="n">
        <f aca="false">DATE(Settings!$B$12,9,1)</f>
        <v>46266</v>
      </c>
      <c r="B13" s="14" t="n">
        <f aca="false">COUNTIFS(Jobs!$G$5:$G$504,"Completed",Jobs!$A$5:$A$504,"&gt;="&amp;$A13,Jobs!$A$5:$A$504,"&lt;="&amp;EOMONTH($A13,0))</f>
        <v>8</v>
      </c>
      <c r="C13" s="15" t="n">
        <f aca="false">SUMIFS(Jobs!$L$5:$L$504,Jobs!$G$5:$G$504,"Completed",Jobs!$A$5:$A$504,"&gt;="&amp;$A13,Jobs!$A$5:$A$504,"&lt;="&amp;EOMONTH($A13,0))</f>
        <v>1182.5</v>
      </c>
      <c r="D13" s="15" t="n">
        <f aca="false">SUMIFS(Jobs!$M$5:$M$504,Jobs!$G$5:$G$504,"Completed",Jobs!$A$5:$A$504,"&gt;="&amp;$A13,Jobs!$A$5:$A$504,"&lt;="&amp;EOMONTH($A13,0))</f>
        <v>70.95</v>
      </c>
      <c r="E13" s="15" t="n">
        <f aca="false">SUMIFS(Expenses!$D$5:$D$504,Expenses!$A$5:$A$504,"&gt;="&amp;$A13,Expenses!$A$5:$A$504,"&lt;="&amp;EOMONTH($A13,0))</f>
        <v>246.35</v>
      </c>
      <c r="F13" s="15" t="n">
        <f aca="false">$C13-$E13</f>
        <v>936.15</v>
      </c>
      <c r="G13" s="24" t="n">
        <f aca="false">IF($C13=0,"",$F13/$C13)</f>
        <v>0.791670190274841</v>
      </c>
      <c r="H13" s="15" t="n">
        <f aca="false">SUMIFS(Invoices!$P$5:$P$1004,Invoices!$M$5:$M$1004,"&gt;="&amp;$A13,Invoices!$M$5:$M$1004,"&lt;="&amp;EOMONTH($A13,0))</f>
        <v>484.95</v>
      </c>
    </row>
    <row r="14" customFormat="false" ht="15" hidden="false" customHeight="false" outlineLevel="0" collapsed="false">
      <c r="A14" s="23" t="n">
        <f aca="false">DATE(Settings!$B$12,10,1)</f>
        <v>46296</v>
      </c>
      <c r="B14" s="14" t="n">
        <f aca="false">COUNTIFS(Jobs!$G$5:$G$504,"Completed",Jobs!$A$5:$A$504,"&gt;="&amp;$A14,Jobs!$A$5:$A$504,"&lt;="&amp;EOMONTH($A14,0))</f>
        <v>0</v>
      </c>
      <c r="C14" s="15" t="n">
        <f aca="false">SUMIFS(Jobs!$L$5:$L$504,Jobs!$G$5:$G$504,"Completed",Jobs!$A$5:$A$504,"&gt;="&amp;$A14,Jobs!$A$5:$A$504,"&lt;="&amp;EOMONTH($A14,0))</f>
        <v>0</v>
      </c>
      <c r="D14" s="15" t="n">
        <f aca="false">SUMIFS(Jobs!$M$5:$M$504,Jobs!$G$5:$G$504,"Completed",Jobs!$A$5:$A$504,"&gt;="&amp;$A14,Jobs!$A$5:$A$504,"&lt;="&amp;EOMONTH($A14,0))</f>
        <v>0</v>
      </c>
      <c r="E14" s="15" t="n">
        <f aca="false">SUMIFS(Expenses!$D$5:$D$504,Expenses!$A$5:$A$504,"&gt;="&amp;$A14,Expenses!$A$5:$A$504,"&lt;="&amp;EOMONTH($A14,0))</f>
        <v>0</v>
      </c>
      <c r="F14" s="15" t="n">
        <f aca="false">$C14-$E14</f>
        <v>0</v>
      </c>
      <c r="G14" s="24" t="str">
        <f aca="false">IF($C14=0,"",$F14/$C14)</f>
        <v/>
      </c>
      <c r="H14" s="15" t="n">
        <f aca="false">SUMIFS(Invoices!$P$5:$P$1004,Invoices!$M$5:$M$1004,"&gt;="&amp;$A14,Invoices!$M$5:$M$1004,"&lt;="&amp;EOMONTH($A14,0))</f>
        <v>0</v>
      </c>
    </row>
    <row r="15" customFormat="false" ht="15" hidden="false" customHeight="false" outlineLevel="0" collapsed="false">
      <c r="A15" s="23" t="n">
        <f aca="false">DATE(Settings!$B$12,11,1)</f>
        <v>46327</v>
      </c>
      <c r="B15" s="14" t="n">
        <f aca="false">COUNTIFS(Jobs!$G$5:$G$504,"Completed",Jobs!$A$5:$A$504,"&gt;="&amp;$A15,Jobs!$A$5:$A$504,"&lt;="&amp;EOMONTH($A15,0))</f>
        <v>0</v>
      </c>
      <c r="C15" s="15" t="n">
        <f aca="false">SUMIFS(Jobs!$L$5:$L$504,Jobs!$G$5:$G$504,"Completed",Jobs!$A$5:$A$504,"&gt;="&amp;$A15,Jobs!$A$5:$A$504,"&lt;="&amp;EOMONTH($A15,0))</f>
        <v>0</v>
      </c>
      <c r="D15" s="15" t="n">
        <f aca="false">SUMIFS(Jobs!$M$5:$M$504,Jobs!$G$5:$G$504,"Completed",Jobs!$A$5:$A$504,"&gt;="&amp;$A15,Jobs!$A$5:$A$504,"&lt;="&amp;EOMONTH($A15,0))</f>
        <v>0</v>
      </c>
      <c r="E15" s="15" t="n">
        <f aca="false">SUMIFS(Expenses!$D$5:$D$504,Expenses!$A$5:$A$504,"&gt;="&amp;$A15,Expenses!$A$5:$A$504,"&lt;="&amp;EOMONTH($A15,0))</f>
        <v>0</v>
      </c>
      <c r="F15" s="15" t="n">
        <f aca="false">$C15-$E15</f>
        <v>0</v>
      </c>
      <c r="G15" s="24" t="str">
        <f aca="false">IF($C15=0,"",$F15/$C15)</f>
        <v/>
      </c>
      <c r="H15" s="15" t="n">
        <f aca="false">SUMIFS(Invoices!$P$5:$P$1004,Invoices!$M$5:$M$1004,"&gt;="&amp;$A15,Invoices!$M$5:$M$1004,"&lt;="&amp;EOMONTH($A15,0))</f>
        <v>0</v>
      </c>
    </row>
    <row r="16" customFormat="false" ht="15" hidden="false" customHeight="false" outlineLevel="0" collapsed="false">
      <c r="A16" s="23" t="n">
        <f aca="false">DATE(Settings!$B$12,12,1)</f>
        <v>46357</v>
      </c>
      <c r="B16" s="14" t="n">
        <f aca="false">COUNTIFS(Jobs!$G$5:$G$504,"Completed",Jobs!$A$5:$A$504,"&gt;="&amp;$A16,Jobs!$A$5:$A$504,"&lt;="&amp;EOMONTH($A16,0))</f>
        <v>0</v>
      </c>
      <c r="C16" s="15" t="n">
        <f aca="false">SUMIFS(Jobs!$L$5:$L$504,Jobs!$G$5:$G$504,"Completed",Jobs!$A$5:$A$504,"&gt;="&amp;$A16,Jobs!$A$5:$A$504,"&lt;="&amp;EOMONTH($A16,0))</f>
        <v>0</v>
      </c>
      <c r="D16" s="15" t="n">
        <f aca="false">SUMIFS(Jobs!$M$5:$M$504,Jobs!$G$5:$G$504,"Completed",Jobs!$A$5:$A$504,"&gt;="&amp;$A16,Jobs!$A$5:$A$504,"&lt;="&amp;EOMONTH($A16,0))</f>
        <v>0</v>
      </c>
      <c r="E16" s="15" t="n">
        <f aca="false">SUMIFS(Expenses!$D$5:$D$504,Expenses!$A$5:$A$504,"&gt;="&amp;$A16,Expenses!$A$5:$A$504,"&lt;="&amp;EOMONTH($A16,0))</f>
        <v>0</v>
      </c>
      <c r="F16" s="15" t="n">
        <f aca="false">$C16-$E16</f>
        <v>0</v>
      </c>
      <c r="G16" s="24" t="str">
        <f aca="false">IF($C16=0,"",$F16/$C16)</f>
        <v/>
      </c>
      <c r="H16" s="15" t="n">
        <f aca="false">SUMIFS(Invoices!$P$5:$P$1004,Invoices!$M$5:$M$1004,"&gt;="&amp;$A16,Invoices!$M$5:$M$1004,"&lt;="&amp;EOMONTH($A16,0))</f>
        <v>0</v>
      </c>
    </row>
    <row r="17" customFormat="false" ht="15" hidden="false" customHeight="false" outlineLevel="0" collapsed="false">
      <c r="A17" s="25" t="s">
        <v>210</v>
      </c>
      <c r="B17" s="26" t="n">
        <f aca="false">SUM(B5:B16)</f>
        <v>27</v>
      </c>
      <c r="C17" s="27" t="n">
        <f aca="false">SUM(C5:C16)</f>
        <v>3942.5</v>
      </c>
      <c r="D17" s="27" t="n">
        <f aca="false">SUM(D5:D16)</f>
        <v>236.55</v>
      </c>
      <c r="E17" s="27" t="n">
        <f aca="false">SUM(E5:E16)</f>
        <v>1298.69</v>
      </c>
      <c r="F17" s="27" t="n">
        <f aca="false">SUM(F5:F16)</f>
        <v>2643.81</v>
      </c>
      <c r="G17" s="28" t="n">
        <f aca="false">IF($C17=0,"",$F17/$C17)</f>
        <v>0.67059226379201</v>
      </c>
      <c r="H17" s="27" t="n">
        <f aca="false">SUM(H5:H16)</f>
        <v>3122.95</v>
      </c>
    </row>
    <row r="19" customFormat="false" ht="15" hidden="false" customHeight="false" outlineLevel="0" collapsed="false">
      <c r="A19" s="3" t="s">
        <v>211</v>
      </c>
    </row>
    <row r="20" customFormat="false" ht="20" hidden="false" customHeight="true" outlineLevel="0" collapsed="false">
      <c r="A20" s="11" t="s">
        <v>195</v>
      </c>
      <c r="B20" s="11" t="s">
        <v>212</v>
      </c>
      <c r="C20" s="11" t="s">
        <v>213</v>
      </c>
      <c r="D20" s="11" t="s">
        <v>214</v>
      </c>
      <c r="E20" s="11" t="s">
        <v>215</v>
      </c>
      <c r="F20" s="11" t="s">
        <v>216</v>
      </c>
      <c r="G20" s="11" t="s">
        <v>217</v>
      </c>
      <c r="H20" s="11" t="s">
        <v>218</v>
      </c>
      <c r="I20" s="11" t="s">
        <v>219</v>
      </c>
      <c r="J20" s="11" t="s">
        <v>220</v>
      </c>
      <c r="K20" s="11" t="s">
        <v>221</v>
      </c>
      <c r="L20" s="11" t="s">
        <v>222</v>
      </c>
      <c r="M20" s="11" t="s">
        <v>223</v>
      </c>
      <c r="N20" s="11" t="s">
        <v>210</v>
      </c>
    </row>
    <row r="21" customFormat="false" ht="15" hidden="false" customHeight="false" outlineLevel="0" collapsed="false">
      <c r="A21" s="19" t="str">
        <f aca="false">IF(Settings!$H$5="","",Settings!$H$5)</f>
        <v>Cleaning Supplies</v>
      </c>
      <c r="B21" s="15" t="n">
        <f aca="false">IF($A21="","",SUMIFS(Expenses!$D$5:$D$504,Expenses!$B$5:$B$504,$A21,Expenses!$A$5:$A$504,"&gt;="&amp;DATE(Settings!$B$12,1,1),Expenses!$A$5:$A$504,"&lt;="&amp;EOMONTH(DATE(Settings!$B$12,1,1),0)))</f>
        <v>0</v>
      </c>
      <c r="C21" s="15" t="n">
        <f aca="false">IF($A21="","",SUMIFS(Expenses!$D$5:$D$504,Expenses!$B$5:$B$504,$A21,Expenses!$A$5:$A$504,"&gt;="&amp;DATE(Settings!$B$12,2,1),Expenses!$A$5:$A$504,"&lt;="&amp;EOMONTH(DATE(Settings!$B$12,2,1),0)))</f>
        <v>0</v>
      </c>
      <c r="D21" s="15" t="n">
        <f aca="false">IF($A21="","",SUMIFS(Expenses!$D$5:$D$504,Expenses!$B$5:$B$504,$A21,Expenses!$A$5:$A$504,"&gt;="&amp;DATE(Settings!$B$12,3,1),Expenses!$A$5:$A$504,"&lt;="&amp;EOMONTH(DATE(Settings!$B$12,3,1),0)))</f>
        <v>0</v>
      </c>
      <c r="E21" s="15" t="n">
        <f aca="false">IF($A21="","",SUMIFS(Expenses!$D$5:$D$504,Expenses!$B$5:$B$504,$A21,Expenses!$A$5:$A$504,"&gt;="&amp;DATE(Settings!$B$12,4,1),Expenses!$A$5:$A$504,"&lt;="&amp;EOMONTH(DATE(Settings!$B$12,4,1),0)))</f>
        <v>0</v>
      </c>
      <c r="F21" s="15" t="n">
        <f aca="false">IF($A21="","",SUMIFS(Expenses!$D$5:$D$504,Expenses!$B$5:$B$504,$A21,Expenses!$A$5:$A$504,"&gt;="&amp;DATE(Settings!$B$12,5,1),Expenses!$A$5:$A$504,"&lt;="&amp;EOMONTH(DATE(Settings!$B$12,5,1),0)))</f>
        <v>0</v>
      </c>
      <c r="G21" s="15" t="n">
        <f aca="false">IF($A21="","",SUMIFS(Expenses!$D$5:$D$504,Expenses!$B$5:$B$504,$A21,Expenses!$A$5:$A$504,"&gt;="&amp;DATE(Settings!$B$12,6,1),Expenses!$A$5:$A$504,"&lt;="&amp;EOMONTH(DATE(Settings!$B$12,6,1),0)))</f>
        <v>0</v>
      </c>
      <c r="H21" s="15" t="n">
        <f aca="false">IF($A21="","",SUMIFS(Expenses!$D$5:$D$504,Expenses!$B$5:$B$504,$A21,Expenses!$A$5:$A$504,"&gt;="&amp;DATE(Settings!$B$12,7,1),Expenses!$A$5:$A$504,"&lt;="&amp;EOMONTH(DATE(Settings!$B$12,7,1),0)))</f>
        <v>186.4</v>
      </c>
      <c r="I21" s="15" t="n">
        <f aca="false">IF($A21="","",SUMIFS(Expenses!$D$5:$D$504,Expenses!$B$5:$B$504,$A21,Expenses!$A$5:$A$504,"&gt;="&amp;DATE(Settings!$B$12,8,1),Expenses!$A$5:$A$504,"&lt;="&amp;EOMONTH(DATE(Settings!$B$12,8,1),0)))</f>
        <v>0</v>
      </c>
      <c r="J21" s="15" t="n">
        <f aca="false">IF($A21="","",SUMIFS(Expenses!$D$5:$D$504,Expenses!$B$5:$B$504,$A21,Expenses!$A$5:$A$504,"&gt;="&amp;DATE(Settings!$B$12,9,1),Expenses!$A$5:$A$504,"&lt;="&amp;EOMONTH(DATE(Settings!$B$12,9,1),0)))</f>
        <v>112.35</v>
      </c>
      <c r="K21" s="15" t="n">
        <f aca="false">IF($A21="","",SUMIFS(Expenses!$D$5:$D$504,Expenses!$B$5:$B$504,$A21,Expenses!$A$5:$A$504,"&gt;="&amp;DATE(Settings!$B$12,10,1),Expenses!$A$5:$A$504,"&lt;="&amp;EOMONTH(DATE(Settings!$B$12,10,1),0)))</f>
        <v>0</v>
      </c>
      <c r="L21" s="15" t="n">
        <f aca="false">IF($A21="","",SUMIFS(Expenses!$D$5:$D$504,Expenses!$B$5:$B$504,$A21,Expenses!$A$5:$A$504,"&gt;="&amp;DATE(Settings!$B$12,11,1),Expenses!$A$5:$A$504,"&lt;="&amp;EOMONTH(DATE(Settings!$B$12,11,1),0)))</f>
        <v>0</v>
      </c>
      <c r="M21" s="15" t="n">
        <f aca="false">IF($A21="","",SUMIFS(Expenses!$D$5:$D$504,Expenses!$B$5:$B$504,$A21,Expenses!$A$5:$A$504,"&gt;="&amp;DATE(Settings!$B$12,12,1),Expenses!$A$5:$A$504,"&lt;="&amp;EOMONTH(DATE(Settings!$B$12,12,1),0)))</f>
        <v>0</v>
      </c>
      <c r="N21" s="27" t="n">
        <f aca="false">IF($A21="","",SUM(B21:M21))</f>
        <v>298.75</v>
      </c>
    </row>
    <row r="22" customFormat="false" ht="15" hidden="false" customHeight="false" outlineLevel="0" collapsed="false">
      <c r="A22" s="19" t="str">
        <f aca="false">IF(Settings!$H$6="","",Settings!$H$6)</f>
        <v>Equipment</v>
      </c>
      <c r="B22" s="15" t="n">
        <f aca="false">IF($A22="","",SUMIFS(Expenses!$D$5:$D$504,Expenses!$B$5:$B$504,$A22,Expenses!$A$5:$A$504,"&gt;="&amp;DATE(Settings!$B$12,1,1),Expenses!$A$5:$A$504,"&lt;="&amp;EOMONTH(DATE(Settings!$B$12,1,1),0)))</f>
        <v>0</v>
      </c>
      <c r="C22" s="15" t="n">
        <f aca="false">IF($A22="","",SUMIFS(Expenses!$D$5:$D$504,Expenses!$B$5:$B$504,$A22,Expenses!$A$5:$A$504,"&gt;="&amp;DATE(Settings!$B$12,2,1),Expenses!$A$5:$A$504,"&lt;="&amp;EOMONTH(DATE(Settings!$B$12,2,1),0)))</f>
        <v>0</v>
      </c>
      <c r="D22" s="15" t="n">
        <f aca="false">IF($A22="","",SUMIFS(Expenses!$D$5:$D$504,Expenses!$B$5:$B$504,$A22,Expenses!$A$5:$A$504,"&gt;="&amp;DATE(Settings!$B$12,3,1),Expenses!$A$5:$A$504,"&lt;="&amp;EOMONTH(DATE(Settings!$B$12,3,1),0)))</f>
        <v>0</v>
      </c>
      <c r="E22" s="15" t="n">
        <f aca="false">IF($A22="","",SUMIFS(Expenses!$D$5:$D$504,Expenses!$B$5:$B$504,$A22,Expenses!$A$5:$A$504,"&gt;="&amp;DATE(Settings!$B$12,4,1),Expenses!$A$5:$A$504,"&lt;="&amp;EOMONTH(DATE(Settings!$B$12,4,1),0)))</f>
        <v>0</v>
      </c>
      <c r="F22" s="15" t="n">
        <f aca="false">IF($A22="","",SUMIFS(Expenses!$D$5:$D$504,Expenses!$B$5:$B$504,$A22,Expenses!$A$5:$A$504,"&gt;="&amp;DATE(Settings!$B$12,5,1),Expenses!$A$5:$A$504,"&lt;="&amp;EOMONTH(DATE(Settings!$B$12,5,1),0)))</f>
        <v>0</v>
      </c>
      <c r="G22" s="15" t="n">
        <f aca="false">IF($A22="","",SUMIFS(Expenses!$D$5:$D$504,Expenses!$B$5:$B$504,$A22,Expenses!$A$5:$A$504,"&gt;="&amp;DATE(Settings!$B$12,6,1),Expenses!$A$5:$A$504,"&lt;="&amp;EOMONTH(DATE(Settings!$B$12,6,1),0)))</f>
        <v>0</v>
      </c>
      <c r="H22" s="15" t="n">
        <f aca="false">IF($A22="","",SUMIFS(Expenses!$D$5:$D$504,Expenses!$B$5:$B$504,$A22,Expenses!$A$5:$A$504,"&gt;="&amp;DATE(Settings!$B$12,7,1),Expenses!$A$5:$A$504,"&lt;="&amp;EOMONTH(DATE(Settings!$B$12,7,1),0)))</f>
        <v>0</v>
      </c>
      <c r="I22" s="15" t="n">
        <f aca="false">IF($A22="","",SUMIFS(Expenses!$D$5:$D$504,Expenses!$B$5:$B$504,$A22,Expenses!$A$5:$A$504,"&gt;="&amp;DATE(Settings!$B$12,8,1),Expenses!$A$5:$A$504,"&lt;="&amp;EOMONTH(DATE(Settings!$B$12,8,1),0)))</f>
        <v>329</v>
      </c>
      <c r="J22" s="15" t="n">
        <f aca="false">IF($A22="","",SUMIFS(Expenses!$D$5:$D$504,Expenses!$B$5:$B$504,$A22,Expenses!$A$5:$A$504,"&gt;="&amp;DATE(Settings!$B$12,9,1),Expenses!$A$5:$A$504,"&lt;="&amp;EOMONTH(DATE(Settings!$B$12,9,1),0)))</f>
        <v>0</v>
      </c>
      <c r="K22" s="15" t="n">
        <f aca="false">IF($A22="","",SUMIFS(Expenses!$D$5:$D$504,Expenses!$B$5:$B$504,$A22,Expenses!$A$5:$A$504,"&gt;="&amp;DATE(Settings!$B$12,10,1),Expenses!$A$5:$A$504,"&lt;="&amp;EOMONTH(DATE(Settings!$B$12,10,1),0)))</f>
        <v>0</v>
      </c>
      <c r="L22" s="15" t="n">
        <f aca="false">IF($A22="","",SUMIFS(Expenses!$D$5:$D$504,Expenses!$B$5:$B$504,$A22,Expenses!$A$5:$A$504,"&gt;="&amp;DATE(Settings!$B$12,11,1),Expenses!$A$5:$A$504,"&lt;="&amp;EOMONTH(DATE(Settings!$B$12,11,1),0)))</f>
        <v>0</v>
      </c>
      <c r="M22" s="15" t="n">
        <f aca="false">IF($A22="","",SUMIFS(Expenses!$D$5:$D$504,Expenses!$B$5:$B$504,$A22,Expenses!$A$5:$A$504,"&gt;="&amp;DATE(Settings!$B$12,12,1),Expenses!$A$5:$A$504,"&lt;="&amp;EOMONTH(DATE(Settings!$B$12,12,1),0)))</f>
        <v>0</v>
      </c>
      <c r="N22" s="27" t="n">
        <f aca="false">IF($A22="","",SUM(B22:M22))</f>
        <v>329</v>
      </c>
    </row>
    <row r="23" customFormat="false" ht="15" hidden="false" customHeight="false" outlineLevel="0" collapsed="false">
      <c r="A23" s="19" t="str">
        <f aca="false">IF(Settings!$H$7="","",Settings!$H$7)</f>
        <v>Fuel &amp; Mileage</v>
      </c>
      <c r="B23" s="15" t="n">
        <f aca="false">IF($A23="","",SUMIFS(Expenses!$D$5:$D$504,Expenses!$B$5:$B$504,$A23,Expenses!$A$5:$A$504,"&gt;="&amp;DATE(Settings!$B$12,1,1),Expenses!$A$5:$A$504,"&lt;="&amp;EOMONTH(DATE(Settings!$B$12,1,1),0)))</f>
        <v>0</v>
      </c>
      <c r="C23" s="15" t="n">
        <f aca="false">IF($A23="","",SUMIFS(Expenses!$D$5:$D$504,Expenses!$B$5:$B$504,$A23,Expenses!$A$5:$A$504,"&gt;="&amp;DATE(Settings!$B$12,2,1),Expenses!$A$5:$A$504,"&lt;="&amp;EOMONTH(DATE(Settings!$B$12,2,1),0)))</f>
        <v>0</v>
      </c>
      <c r="D23" s="15" t="n">
        <f aca="false">IF($A23="","",SUMIFS(Expenses!$D$5:$D$504,Expenses!$B$5:$B$504,$A23,Expenses!$A$5:$A$504,"&gt;="&amp;DATE(Settings!$B$12,3,1),Expenses!$A$5:$A$504,"&lt;="&amp;EOMONTH(DATE(Settings!$B$12,3,1),0)))</f>
        <v>0</v>
      </c>
      <c r="E23" s="15" t="n">
        <f aca="false">IF($A23="","",SUMIFS(Expenses!$D$5:$D$504,Expenses!$B$5:$B$504,$A23,Expenses!$A$5:$A$504,"&gt;="&amp;DATE(Settings!$B$12,4,1),Expenses!$A$5:$A$504,"&lt;="&amp;EOMONTH(DATE(Settings!$B$12,4,1),0)))</f>
        <v>0</v>
      </c>
      <c r="F23" s="15" t="n">
        <f aca="false">IF($A23="","",SUMIFS(Expenses!$D$5:$D$504,Expenses!$B$5:$B$504,$A23,Expenses!$A$5:$A$504,"&gt;="&amp;DATE(Settings!$B$12,5,1),Expenses!$A$5:$A$504,"&lt;="&amp;EOMONTH(DATE(Settings!$B$12,5,1),0)))</f>
        <v>0</v>
      </c>
      <c r="G23" s="15" t="n">
        <f aca="false">IF($A23="","",SUMIFS(Expenses!$D$5:$D$504,Expenses!$B$5:$B$504,$A23,Expenses!$A$5:$A$504,"&gt;="&amp;DATE(Settings!$B$12,6,1),Expenses!$A$5:$A$504,"&lt;="&amp;EOMONTH(DATE(Settings!$B$12,6,1),0)))</f>
        <v>0</v>
      </c>
      <c r="H23" s="15" t="n">
        <f aca="false">IF($A23="","",SUMIFS(Expenses!$D$5:$D$504,Expenses!$B$5:$B$504,$A23,Expenses!$A$5:$A$504,"&gt;="&amp;DATE(Settings!$B$12,7,1),Expenses!$A$5:$A$504,"&lt;="&amp;EOMONTH(DATE(Settings!$B$12,7,1),0)))</f>
        <v>142.75</v>
      </c>
      <c r="I23" s="15" t="n">
        <f aca="false">IF($A23="","",SUMIFS(Expenses!$D$5:$D$504,Expenses!$B$5:$B$504,$A23,Expenses!$A$5:$A$504,"&gt;="&amp;DATE(Settings!$B$12,8,1),Expenses!$A$5:$A$504,"&lt;="&amp;EOMONTH(DATE(Settings!$B$12,8,1),0)))</f>
        <v>151.2</v>
      </c>
      <c r="J23" s="15" t="n">
        <f aca="false">IF($A23="","",SUMIFS(Expenses!$D$5:$D$504,Expenses!$B$5:$B$504,$A23,Expenses!$A$5:$A$504,"&gt;="&amp;DATE(Settings!$B$12,9,1),Expenses!$A$5:$A$504,"&lt;="&amp;EOMONTH(DATE(Settings!$B$12,9,1),0)))</f>
        <v>0</v>
      </c>
      <c r="K23" s="15" t="n">
        <f aca="false">IF($A23="","",SUMIFS(Expenses!$D$5:$D$504,Expenses!$B$5:$B$504,$A23,Expenses!$A$5:$A$504,"&gt;="&amp;DATE(Settings!$B$12,10,1),Expenses!$A$5:$A$504,"&lt;="&amp;EOMONTH(DATE(Settings!$B$12,10,1),0)))</f>
        <v>0</v>
      </c>
      <c r="L23" s="15" t="n">
        <f aca="false">IF($A23="","",SUMIFS(Expenses!$D$5:$D$504,Expenses!$B$5:$B$504,$A23,Expenses!$A$5:$A$504,"&gt;="&amp;DATE(Settings!$B$12,11,1),Expenses!$A$5:$A$504,"&lt;="&amp;EOMONTH(DATE(Settings!$B$12,11,1),0)))</f>
        <v>0</v>
      </c>
      <c r="M23" s="15" t="n">
        <f aca="false">IF($A23="","",SUMIFS(Expenses!$D$5:$D$504,Expenses!$B$5:$B$504,$A23,Expenses!$A$5:$A$504,"&gt;="&amp;DATE(Settings!$B$12,12,1),Expenses!$A$5:$A$504,"&lt;="&amp;EOMONTH(DATE(Settings!$B$12,12,1),0)))</f>
        <v>0</v>
      </c>
      <c r="N23" s="27" t="n">
        <f aca="false">IF($A23="","",SUM(B23:M23))</f>
        <v>293.95</v>
      </c>
    </row>
    <row r="24" customFormat="false" ht="15" hidden="false" customHeight="false" outlineLevel="0" collapsed="false">
      <c r="A24" s="19" t="str">
        <f aca="false">IF(Settings!$H$8="","",Settings!$H$8)</f>
        <v>Wages &amp; Contractors</v>
      </c>
      <c r="B24" s="15" t="n">
        <f aca="false">IF($A24="","",SUMIFS(Expenses!$D$5:$D$504,Expenses!$B$5:$B$504,$A24,Expenses!$A$5:$A$504,"&gt;="&amp;DATE(Settings!$B$12,1,1),Expenses!$A$5:$A$504,"&lt;="&amp;EOMONTH(DATE(Settings!$B$12,1,1),0)))</f>
        <v>0</v>
      </c>
      <c r="C24" s="15" t="n">
        <f aca="false">IF($A24="","",SUMIFS(Expenses!$D$5:$D$504,Expenses!$B$5:$B$504,$A24,Expenses!$A$5:$A$504,"&gt;="&amp;DATE(Settings!$B$12,2,1),Expenses!$A$5:$A$504,"&lt;="&amp;EOMONTH(DATE(Settings!$B$12,2,1),0)))</f>
        <v>0</v>
      </c>
      <c r="D24" s="15" t="n">
        <f aca="false">IF($A24="","",SUMIFS(Expenses!$D$5:$D$504,Expenses!$B$5:$B$504,$A24,Expenses!$A$5:$A$504,"&gt;="&amp;DATE(Settings!$B$12,3,1),Expenses!$A$5:$A$504,"&lt;="&amp;EOMONTH(DATE(Settings!$B$12,3,1),0)))</f>
        <v>0</v>
      </c>
      <c r="E24" s="15" t="n">
        <f aca="false">IF($A24="","",SUMIFS(Expenses!$D$5:$D$504,Expenses!$B$5:$B$504,$A24,Expenses!$A$5:$A$504,"&gt;="&amp;DATE(Settings!$B$12,4,1),Expenses!$A$5:$A$504,"&lt;="&amp;EOMONTH(DATE(Settings!$B$12,4,1),0)))</f>
        <v>0</v>
      </c>
      <c r="F24" s="15" t="n">
        <f aca="false">IF($A24="","",SUMIFS(Expenses!$D$5:$D$504,Expenses!$B$5:$B$504,$A24,Expenses!$A$5:$A$504,"&gt;="&amp;DATE(Settings!$B$12,5,1),Expenses!$A$5:$A$504,"&lt;="&amp;EOMONTH(DATE(Settings!$B$12,5,1),0)))</f>
        <v>0</v>
      </c>
      <c r="G24" s="15" t="n">
        <f aca="false">IF($A24="","",SUMIFS(Expenses!$D$5:$D$504,Expenses!$B$5:$B$504,$A24,Expenses!$A$5:$A$504,"&gt;="&amp;DATE(Settings!$B$12,6,1),Expenses!$A$5:$A$504,"&lt;="&amp;EOMONTH(DATE(Settings!$B$12,6,1),0)))</f>
        <v>0</v>
      </c>
      <c r="H24" s="15" t="n">
        <f aca="false">IF($A24="","",SUMIFS(Expenses!$D$5:$D$504,Expenses!$B$5:$B$504,$A24,Expenses!$A$5:$A$504,"&gt;="&amp;DATE(Settings!$B$12,7,1),Expenses!$A$5:$A$504,"&lt;="&amp;EOMONTH(DATE(Settings!$B$12,7,1),0)))</f>
        <v>0</v>
      </c>
      <c r="I24" s="15" t="n">
        <f aca="false">IF($A24="","",SUMIFS(Expenses!$D$5:$D$504,Expenses!$B$5:$B$504,$A24,Expenses!$A$5:$A$504,"&gt;="&amp;DATE(Settings!$B$12,8,1),Expenses!$A$5:$A$504,"&lt;="&amp;EOMONTH(DATE(Settings!$B$12,8,1),0)))</f>
        <v>0</v>
      </c>
      <c r="J24" s="15" t="n">
        <f aca="false">IF($A24="","",SUMIFS(Expenses!$D$5:$D$504,Expenses!$B$5:$B$504,$A24,Expenses!$A$5:$A$504,"&gt;="&amp;DATE(Settings!$B$12,9,1),Expenses!$A$5:$A$504,"&lt;="&amp;EOMONTH(DATE(Settings!$B$12,9,1),0)))</f>
        <v>0</v>
      </c>
      <c r="K24" s="15" t="n">
        <f aca="false">IF($A24="","",SUMIFS(Expenses!$D$5:$D$504,Expenses!$B$5:$B$504,$A24,Expenses!$A$5:$A$504,"&gt;="&amp;DATE(Settings!$B$12,10,1),Expenses!$A$5:$A$504,"&lt;="&amp;EOMONTH(DATE(Settings!$B$12,10,1),0)))</f>
        <v>0</v>
      </c>
      <c r="L24" s="15" t="n">
        <f aca="false">IF($A24="","",SUMIFS(Expenses!$D$5:$D$504,Expenses!$B$5:$B$504,$A24,Expenses!$A$5:$A$504,"&gt;="&amp;DATE(Settings!$B$12,11,1),Expenses!$A$5:$A$504,"&lt;="&amp;EOMONTH(DATE(Settings!$B$12,11,1),0)))</f>
        <v>0</v>
      </c>
      <c r="M24" s="15" t="n">
        <f aca="false">IF($A24="","",SUMIFS(Expenses!$D$5:$D$504,Expenses!$B$5:$B$504,$A24,Expenses!$A$5:$A$504,"&gt;="&amp;DATE(Settings!$B$12,12,1),Expenses!$A$5:$A$504,"&lt;="&amp;EOMONTH(DATE(Settings!$B$12,12,1),0)))</f>
        <v>0</v>
      </c>
      <c r="N24" s="27" t="n">
        <f aca="false">IF($A24="","",SUM(B24:M24))</f>
        <v>0</v>
      </c>
    </row>
    <row r="25" customFormat="false" ht="15" hidden="false" customHeight="false" outlineLevel="0" collapsed="false">
      <c r="A25" s="19" t="str">
        <f aca="false">IF(Settings!$H$9="","",Settings!$H$9)</f>
        <v>Insurance</v>
      </c>
      <c r="B25" s="15" t="n">
        <f aca="false">IF($A25="","",SUMIFS(Expenses!$D$5:$D$504,Expenses!$B$5:$B$504,$A25,Expenses!$A$5:$A$504,"&gt;="&amp;DATE(Settings!$B$12,1,1),Expenses!$A$5:$A$504,"&lt;="&amp;EOMONTH(DATE(Settings!$B$12,1,1),0)))</f>
        <v>0</v>
      </c>
      <c r="C25" s="15" t="n">
        <f aca="false">IF($A25="","",SUMIFS(Expenses!$D$5:$D$504,Expenses!$B$5:$B$504,$A25,Expenses!$A$5:$A$504,"&gt;="&amp;DATE(Settings!$B$12,2,1),Expenses!$A$5:$A$504,"&lt;="&amp;EOMONTH(DATE(Settings!$B$12,2,1),0)))</f>
        <v>0</v>
      </c>
      <c r="D25" s="15" t="n">
        <f aca="false">IF($A25="","",SUMIFS(Expenses!$D$5:$D$504,Expenses!$B$5:$B$504,$A25,Expenses!$A$5:$A$504,"&gt;="&amp;DATE(Settings!$B$12,3,1),Expenses!$A$5:$A$504,"&lt;="&amp;EOMONTH(DATE(Settings!$B$12,3,1),0)))</f>
        <v>0</v>
      </c>
      <c r="E25" s="15" t="n">
        <f aca="false">IF($A25="","",SUMIFS(Expenses!$D$5:$D$504,Expenses!$B$5:$B$504,$A25,Expenses!$A$5:$A$504,"&gt;="&amp;DATE(Settings!$B$12,4,1),Expenses!$A$5:$A$504,"&lt;="&amp;EOMONTH(DATE(Settings!$B$12,4,1),0)))</f>
        <v>0</v>
      </c>
      <c r="F25" s="15" t="n">
        <f aca="false">IF($A25="","",SUMIFS(Expenses!$D$5:$D$504,Expenses!$B$5:$B$504,$A25,Expenses!$A$5:$A$504,"&gt;="&amp;DATE(Settings!$B$12,5,1),Expenses!$A$5:$A$504,"&lt;="&amp;EOMONTH(DATE(Settings!$B$12,5,1),0)))</f>
        <v>0</v>
      </c>
      <c r="G25" s="15" t="n">
        <f aca="false">IF($A25="","",SUMIFS(Expenses!$D$5:$D$504,Expenses!$B$5:$B$504,$A25,Expenses!$A$5:$A$504,"&gt;="&amp;DATE(Settings!$B$12,6,1),Expenses!$A$5:$A$504,"&lt;="&amp;EOMONTH(DATE(Settings!$B$12,6,1),0)))</f>
        <v>0</v>
      </c>
      <c r="H25" s="15" t="n">
        <f aca="false">IF($A25="","",SUMIFS(Expenses!$D$5:$D$504,Expenses!$B$5:$B$504,$A25,Expenses!$A$5:$A$504,"&gt;="&amp;DATE(Settings!$B$12,7,1),Expenses!$A$5:$A$504,"&lt;="&amp;EOMONTH(DATE(Settings!$B$12,7,1),0)))</f>
        <v>89</v>
      </c>
      <c r="I25" s="15" t="n">
        <f aca="false">IF($A25="","",SUMIFS(Expenses!$D$5:$D$504,Expenses!$B$5:$B$504,$A25,Expenses!$A$5:$A$504,"&gt;="&amp;DATE(Settings!$B$12,8,1),Expenses!$A$5:$A$504,"&lt;="&amp;EOMONTH(DATE(Settings!$B$12,8,1),0)))</f>
        <v>89</v>
      </c>
      <c r="J25" s="15" t="n">
        <f aca="false">IF($A25="","",SUMIFS(Expenses!$D$5:$D$504,Expenses!$B$5:$B$504,$A25,Expenses!$A$5:$A$504,"&gt;="&amp;DATE(Settings!$B$12,9,1),Expenses!$A$5:$A$504,"&lt;="&amp;EOMONTH(DATE(Settings!$B$12,9,1),0)))</f>
        <v>89</v>
      </c>
      <c r="K25" s="15" t="n">
        <f aca="false">IF($A25="","",SUMIFS(Expenses!$D$5:$D$504,Expenses!$B$5:$B$504,$A25,Expenses!$A$5:$A$504,"&gt;="&amp;DATE(Settings!$B$12,10,1),Expenses!$A$5:$A$504,"&lt;="&amp;EOMONTH(DATE(Settings!$B$12,10,1),0)))</f>
        <v>0</v>
      </c>
      <c r="L25" s="15" t="n">
        <f aca="false">IF($A25="","",SUMIFS(Expenses!$D$5:$D$504,Expenses!$B$5:$B$504,$A25,Expenses!$A$5:$A$504,"&gt;="&amp;DATE(Settings!$B$12,11,1),Expenses!$A$5:$A$504,"&lt;="&amp;EOMONTH(DATE(Settings!$B$12,11,1),0)))</f>
        <v>0</v>
      </c>
      <c r="M25" s="15" t="n">
        <f aca="false">IF($A25="","",SUMIFS(Expenses!$D$5:$D$504,Expenses!$B$5:$B$504,$A25,Expenses!$A$5:$A$504,"&gt;="&amp;DATE(Settings!$B$12,12,1),Expenses!$A$5:$A$504,"&lt;="&amp;EOMONTH(DATE(Settings!$B$12,12,1),0)))</f>
        <v>0</v>
      </c>
      <c r="N25" s="27" t="n">
        <f aca="false">IF($A25="","",SUM(B25:M25))</f>
        <v>267</v>
      </c>
    </row>
    <row r="26" customFormat="false" ht="15" hidden="false" customHeight="false" outlineLevel="0" collapsed="false">
      <c r="A26" s="19" t="str">
        <f aca="false">IF(Settings!$H$10="","",Settings!$H$10)</f>
        <v>Marketing &amp; Advertising</v>
      </c>
      <c r="B26" s="15" t="n">
        <f aca="false">IF($A26="","",SUMIFS(Expenses!$D$5:$D$504,Expenses!$B$5:$B$504,$A26,Expenses!$A$5:$A$504,"&gt;="&amp;DATE(Settings!$B$12,1,1),Expenses!$A$5:$A$504,"&lt;="&amp;EOMONTH(DATE(Settings!$B$12,1,1),0)))</f>
        <v>0</v>
      </c>
      <c r="C26" s="15" t="n">
        <f aca="false">IF($A26="","",SUMIFS(Expenses!$D$5:$D$504,Expenses!$B$5:$B$504,$A26,Expenses!$A$5:$A$504,"&gt;="&amp;DATE(Settings!$B$12,2,1),Expenses!$A$5:$A$504,"&lt;="&amp;EOMONTH(DATE(Settings!$B$12,2,1),0)))</f>
        <v>0</v>
      </c>
      <c r="D26" s="15" t="n">
        <f aca="false">IF($A26="","",SUMIFS(Expenses!$D$5:$D$504,Expenses!$B$5:$B$504,$A26,Expenses!$A$5:$A$504,"&gt;="&amp;DATE(Settings!$B$12,3,1),Expenses!$A$5:$A$504,"&lt;="&amp;EOMONTH(DATE(Settings!$B$12,3,1),0)))</f>
        <v>0</v>
      </c>
      <c r="E26" s="15" t="n">
        <f aca="false">IF($A26="","",SUMIFS(Expenses!$D$5:$D$504,Expenses!$B$5:$B$504,$A26,Expenses!$A$5:$A$504,"&gt;="&amp;DATE(Settings!$B$12,4,1),Expenses!$A$5:$A$504,"&lt;="&amp;EOMONTH(DATE(Settings!$B$12,4,1),0)))</f>
        <v>0</v>
      </c>
      <c r="F26" s="15" t="n">
        <f aca="false">IF($A26="","",SUMIFS(Expenses!$D$5:$D$504,Expenses!$B$5:$B$504,$A26,Expenses!$A$5:$A$504,"&gt;="&amp;DATE(Settings!$B$12,5,1),Expenses!$A$5:$A$504,"&lt;="&amp;EOMONTH(DATE(Settings!$B$12,5,1),0)))</f>
        <v>0</v>
      </c>
      <c r="G26" s="15" t="n">
        <f aca="false">IF($A26="","",SUMIFS(Expenses!$D$5:$D$504,Expenses!$B$5:$B$504,$A26,Expenses!$A$5:$A$504,"&gt;="&amp;DATE(Settings!$B$12,6,1),Expenses!$A$5:$A$504,"&lt;="&amp;EOMONTH(DATE(Settings!$B$12,6,1),0)))</f>
        <v>0</v>
      </c>
      <c r="H26" s="15" t="n">
        <f aca="false">IF($A26="","",SUMIFS(Expenses!$D$5:$D$504,Expenses!$B$5:$B$504,$A26,Expenses!$A$5:$A$504,"&gt;="&amp;DATE(Settings!$B$12,7,1),Expenses!$A$5:$A$504,"&lt;="&amp;EOMONTH(DATE(Settings!$B$12,7,1),0)))</f>
        <v>64.99</v>
      </c>
      <c r="I26" s="15" t="n">
        <f aca="false">IF($A26="","",SUMIFS(Expenses!$D$5:$D$504,Expenses!$B$5:$B$504,$A26,Expenses!$A$5:$A$504,"&gt;="&amp;DATE(Settings!$B$12,8,1),Expenses!$A$5:$A$504,"&lt;="&amp;EOMONTH(DATE(Settings!$B$12,8,1),0)))</f>
        <v>0</v>
      </c>
      <c r="J26" s="15" t="n">
        <f aca="false">IF($A26="","",SUMIFS(Expenses!$D$5:$D$504,Expenses!$B$5:$B$504,$A26,Expenses!$A$5:$A$504,"&gt;="&amp;DATE(Settings!$B$12,9,1),Expenses!$A$5:$A$504,"&lt;="&amp;EOMONTH(DATE(Settings!$B$12,9,1),0)))</f>
        <v>0</v>
      </c>
      <c r="K26" s="15" t="n">
        <f aca="false">IF($A26="","",SUMIFS(Expenses!$D$5:$D$504,Expenses!$B$5:$B$504,$A26,Expenses!$A$5:$A$504,"&gt;="&amp;DATE(Settings!$B$12,10,1),Expenses!$A$5:$A$504,"&lt;="&amp;EOMONTH(DATE(Settings!$B$12,10,1),0)))</f>
        <v>0</v>
      </c>
      <c r="L26" s="15" t="n">
        <f aca="false">IF($A26="","",SUMIFS(Expenses!$D$5:$D$504,Expenses!$B$5:$B$504,$A26,Expenses!$A$5:$A$504,"&gt;="&amp;DATE(Settings!$B$12,11,1),Expenses!$A$5:$A$504,"&lt;="&amp;EOMONTH(DATE(Settings!$B$12,11,1),0)))</f>
        <v>0</v>
      </c>
      <c r="M26" s="15" t="n">
        <f aca="false">IF($A26="","",SUMIFS(Expenses!$D$5:$D$504,Expenses!$B$5:$B$504,$A26,Expenses!$A$5:$A$504,"&gt;="&amp;DATE(Settings!$B$12,12,1),Expenses!$A$5:$A$504,"&lt;="&amp;EOMONTH(DATE(Settings!$B$12,12,1),0)))</f>
        <v>0</v>
      </c>
      <c r="N26" s="27" t="n">
        <f aca="false">IF($A26="","",SUM(B26:M26))</f>
        <v>64.99</v>
      </c>
    </row>
    <row r="27" customFormat="false" ht="15" hidden="false" customHeight="false" outlineLevel="0" collapsed="false">
      <c r="A27" s="19" t="str">
        <f aca="false">IF(Settings!$H$11="","",Settings!$H$11)</f>
        <v>Phone &amp; Software</v>
      </c>
      <c r="B27" s="15" t="n">
        <f aca="false">IF($A27="","",SUMIFS(Expenses!$D$5:$D$504,Expenses!$B$5:$B$504,$A27,Expenses!$A$5:$A$504,"&gt;="&amp;DATE(Settings!$B$12,1,1),Expenses!$A$5:$A$504,"&lt;="&amp;EOMONTH(DATE(Settings!$B$12,1,1),0)))</f>
        <v>0</v>
      </c>
      <c r="C27" s="15" t="n">
        <f aca="false">IF($A27="","",SUMIFS(Expenses!$D$5:$D$504,Expenses!$B$5:$B$504,$A27,Expenses!$A$5:$A$504,"&gt;="&amp;DATE(Settings!$B$12,2,1),Expenses!$A$5:$A$504,"&lt;="&amp;EOMONTH(DATE(Settings!$B$12,2,1),0)))</f>
        <v>0</v>
      </c>
      <c r="D27" s="15" t="n">
        <f aca="false">IF($A27="","",SUMIFS(Expenses!$D$5:$D$504,Expenses!$B$5:$B$504,$A27,Expenses!$A$5:$A$504,"&gt;="&amp;DATE(Settings!$B$12,3,1),Expenses!$A$5:$A$504,"&lt;="&amp;EOMONTH(DATE(Settings!$B$12,3,1),0)))</f>
        <v>0</v>
      </c>
      <c r="E27" s="15" t="n">
        <f aca="false">IF($A27="","",SUMIFS(Expenses!$D$5:$D$504,Expenses!$B$5:$B$504,$A27,Expenses!$A$5:$A$504,"&gt;="&amp;DATE(Settings!$B$12,4,1),Expenses!$A$5:$A$504,"&lt;="&amp;EOMONTH(DATE(Settings!$B$12,4,1),0)))</f>
        <v>0</v>
      </c>
      <c r="F27" s="15" t="n">
        <f aca="false">IF($A27="","",SUMIFS(Expenses!$D$5:$D$504,Expenses!$B$5:$B$504,$A27,Expenses!$A$5:$A$504,"&gt;="&amp;DATE(Settings!$B$12,5,1),Expenses!$A$5:$A$504,"&lt;="&amp;EOMONTH(DATE(Settings!$B$12,5,1),0)))</f>
        <v>0</v>
      </c>
      <c r="G27" s="15" t="n">
        <f aca="false">IF($A27="","",SUMIFS(Expenses!$D$5:$D$504,Expenses!$B$5:$B$504,$A27,Expenses!$A$5:$A$504,"&gt;="&amp;DATE(Settings!$B$12,6,1),Expenses!$A$5:$A$504,"&lt;="&amp;EOMONTH(DATE(Settings!$B$12,6,1),0)))</f>
        <v>0</v>
      </c>
      <c r="H27" s="15" t="n">
        <f aca="false">IF($A27="","",SUMIFS(Expenses!$D$5:$D$504,Expenses!$B$5:$B$504,$A27,Expenses!$A$5:$A$504,"&gt;="&amp;DATE(Settings!$B$12,7,1),Expenses!$A$5:$A$504,"&lt;="&amp;EOMONTH(DATE(Settings!$B$12,7,1),0)))</f>
        <v>0</v>
      </c>
      <c r="I27" s="15" t="n">
        <f aca="false">IF($A27="","",SUMIFS(Expenses!$D$5:$D$504,Expenses!$B$5:$B$504,$A27,Expenses!$A$5:$A$504,"&gt;="&amp;DATE(Settings!$B$12,8,1),Expenses!$A$5:$A$504,"&lt;="&amp;EOMONTH(DATE(Settings!$B$12,8,1),0)))</f>
        <v>0</v>
      </c>
      <c r="J27" s="15" t="n">
        <f aca="false">IF($A27="","",SUMIFS(Expenses!$D$5:$D$504,Expenses!$B$5:$B$504,$A27,Expenses!$A$5:$A$504,"&gt;="&amp;DATE(Settings!$B$12,9,1),Expenses!$A$5:$A$504,"&lt;="&amp;EOMONTH(DATE(Settings!$B$12,9,1),0)))</f>
        <v>45</v>
      </c>
      <c r="K27" s="15" t="n">
        <f aca="false">IF($A27="","",SUMIFS(Expenses!$D$5:$D$504,Expenses!$B$5:$B$504,$A27,Expenses!$A$5:$A$504,"&gt;="&amp;DATE(Settings!$B$12,10,1),Expenses!$A$5:$A$504,"&lt;="&amp;EOMONTH(DATE(Settings!$B$12,10,1),0)))</f>
        <v>0</v>
      </c>
      <c r="L27" s="15" t="n">
        <f aca="false">IF($A27="","",SUMIFS(Expenses!$D$5:$D$504,Expenses!$B$5:$B$504,$A27,Expenses!$A$5:$A$504,"&gt;="&amp;DATE(Settings!$B$12,11,1),Expenses!$A$5:$A$504,"&lt;="&amp;EOMONTH(DATE(Settings!$B$12,11,1),0)))</f>
        <v>0</v>
      </c>
      <c r="M27" s="15" t="n">
        <f aca="false">IF($A27="","",SUMIFS(Expenses!$D$5:$D$504,Expenses!$B$5:$B$504,$A27,Expenses!$A$5:$A$504,"&gt;="&amp;DATE(Settings!$B$12,12,1),Expenses!$A$5:$A$504,"&lt;="&amp;EOMONTH(DATE(Settings!$B$12,12,1),0)))</f>
        <v>0</v>
      </c>
      <c r="N27" s="27" t="n">
        <f aca="false">IF($A27="","",SUM(B27:M27))</f>
        <v>45</v>
      </c>
    </row>
    <row r="28" customFormat="false" ht="15" hidden="false" customHeight="false" outlineLevel="0" collapsed="false">
      <c r="A28" s="19" t="str">
        <f aca="false">IF(Settings!$H$12="","",Settings!$H$12)</f>
        <v>Vehicle Maintenance</v>
      </c>
      <c r="B28" s="15" t="n">
        <f aca="false">IF($A28="","",SUMIFS(Expenses!$D$5:$D$504,Expenses!$B$5:$B$504,$A28,Expenses!$A$5:$A$504,"&gt;="&amp;DATE(Settings!$B$12,1,1),Expenses!$A$5:$A$504,"&lt;="&amp;EOMONTH(DATE(Settings!$B$12,1,1),0)))</f>
        <v>0</v>
      </c>
      <c r="C28" s="15" t="n">
        <f aca="false">IF($A28="","",SUMIFS(Expenses!$D$5:$D$504,Expenses!$B$5:$B$504,$A28,Expenses!$A$5:$A$504,"&gt;="&amp;DATE(Settings!$B$12,2,1),Expenses!$A$5:$A$504,"&lt;="&amp;EOMONTH(DATE(Settings!$B$12,2,1),0)))</f>
        <v>0</v>
      </c>
      <c r="D28" s="15" t="n">
        <f aca="false">IF($A28="","",SUMIFS(Expenses!$D$5:$D$504,Expenses!$B$5:$B$504,$A28,Expenses!$A$5:$A$504,"&gt;="&amp;DATE(Settings!$B$12,3,1),Expenses!$A$5:$A$504,"&lt;="&amp;EOMONTH(DATE(Settings!$B$12,3,1),0)))</f>
        <v>0</v>
      </c>
      <c r="E28" s="15" t="n">
        <f aca="false">IF($A28="","",SUMIFS(Expenses!$D$5:$D$504,Expenses!$B$5:$B$504,$A28,Expenses!$A$5:$A$504,"&gt;="&amp;DATE(Settings!$B$12,4,1),Expenses!$A$5:$A$504,"&lt;="&amp;EOMONTH(DATE(Settings!$B$12,4,1),0)))</f>
        <v>0</v>
      </c>
      <c r="F28" s="15" t="n">
        <f aca="false">IF($A28="","",SUMIFS(Expenses!$D$5:$D$504,Expenses!$B$5:$B$504,$A28,Expenses!$A$5:$A$504,"&gt;="&amp;DATE(Settings!$B$12,5,1),Expenses!$A$5:$A$504,"&lt;="&amp;EOMONTH(DATE(Settings!$B$12,5,1),0)))</f>
        <v>0</v>
      </c>
      <c r="G28" s="15" t="n">
        <f aca="false">IF($A28="","",SUMIFS(Expenses!$D$5:$D$504,Expenses!$B$5:$B$504,$A28,Expenses!$A$5:$A$504,"&gt;="&amp;DATE(Settings!$B$12,6,1),Expenses!$A$5:$A$504,"&lt;="&amp;EOMONTH(DATE(Settings!$B$12,6,1),0)))</f>
        <v>0</v>
      </c>
      <c r="H28" s="15" t="n">
        <f aca="false">IF($A28="","",SUMIFS(Expenses!$D$5:$D$504,Expenses!$B$5:$B$504,$A28,Expenses!$A$5:$A$504,"&gt;="&amp;DATE(Settings!$B$12,7,1),Expenses!$A$5:$A$504,"&lt;="&amp;EOMONTH(DATE(Settings!$B$12,7,1),0)))</f>
        <v>0</v>
      </c>
      <c r="I28" s="15" t="n">
        <f aca="false">IF($A28="","",SUMIFS(Expenses!$D$5:$D$504,Expenses!$B$5:$B$504,$A28,Expenses!$A$5:$A$504,"&gt;="&amp;DATE(Settings!$B$12,8,1),Expenses!$A$5:$A$504,"&lt;="&amp;EOMONTH(DATE(Settings!$B$12,8,1),0)))</f>
        <v>0</v>
      </c>
      <c r="J28" s="15" t="n">
        <f aca="false">IF($A28="","",SUMIFS(Expenses!$D$5:$D$504,Expenses!$B$5:$B$504,$A28,Expenses!$A$5:$A$504,"&gt;="&amp;DATE(Settings!$B$12,9,1),Expenses!$A$5:$A$504,"&lt;="&amp;EOMONTH(DATE(Settings!$B$12,9,1),0)))</f>
        <v>0</v>
      </c>
      <c r="K28" s="15" t="n">
        <f aca="false">IF($A28="","",SUMIFS(Expenses!$D$5:$D$504,Expenses!$B$5:$B$504,$A28,Expenses!$A$5:$A$504,"&gt;="&amp;DATE(Settings!$B$12,10,1),Expenses!$A$5:$A$504,"&lt;="&amp;EOMONTH(DATE(Settings!$B$12,10,1),0)))</f>
        <v>0</v>
      </c>
      <c r="L28" s="15" t="n">
        <f aca="false">IF($A28="","",SUMIFS(Expenses!$D$5:$D$504,Expenses!$B$5:$B$504,$A28,Expenses!$A$5:$A$504,"&gt;="&amp;DATE(Settings!$B$12,11,1),Expenses!$A$5:$A$504,"&lt;="&amp;EOMONTH(DATE(Settings!$B$12,11,1),0)))</f>
        <v>0</v>
      </c>
      <c r="M28" s="15" t="n">
        <f aca="false">IF($A28="","",SUMIFS(Expenses!$D$5:$D$504,Expenses!$B$5:$B$504,$A28,Expenses!$A$5:$A$504,"&gt;="&amp;DATE(Settings!$B$12,12,1),Expenses!$A$5:$A$504,"&lt;="&amp;EOMONTH(DATE(Settings!$B$12,12,1),0)))</f>
        <v>0</v>
      </c>
      <c r="N28" s="27" t="n">
        <f aca="false">IF($A28="","",SUM(B28:M28))</f>
        <v>0</v>
      </c>
    </row>
    <row r="29" customFormat="false" ht="15" hidden="false" customHeight="false" outlineLevel="0" collapsed="false">
      <c r="A29" s="19" t="str">
        <f aca="false">IF(Settings!$H$13="","",Settings!$H$13)</f>
        <v>Licenses &amp; Fees</v>
      </c>
      <c r="B29" s="15" t="n">
        <f aca="false">IF($A29="","",SUMIFS(Expenses!$D$5:$D$504,Expenses!$B$5:$B$504,$A29,Expenses!$A$5:$A$504,"&gt;="&amp;DATE(Settings!$B$12,1,1),Expenses!$A$5:$A$504,"&lt;="&amp;EOMONTH(DATE(Settings!$B$12,1,1),0)))</f>
        <v>0</v>
      </c>
      <c r="C29" s="15" t="n">
        <f aca="false">IF($A29="","",SUMIFS(Expenses!$D$5:$D$504,Expenses!$B$5:$B$504,$A29,Expenses!$A$5:$A$504,"&gt;="&amp;DATE(Settings!$B$12,2,1),Expenses!$A$5:$A$504,"&lt;="&amp;EOMONTH(DATE(Settings!$B$12,2,1),0)))</f>
        <v>0</v>
      </c>
      <c r="D29" s="15" t="n">
        <f aca="false">IF($A29="","",SUMIFS(Expenses!$D$5:$D$504,Expenses!$B$5:$B$504,$A29,Expenses!$A$5:$A$504,"&gt;="&amp;DATE(Settings!$B$12,3,1),Expenses!$A$5:$A$504,"&lt;="&amp;EOMONTH(DATE(Settings!$B$12,3,1),0)))</f>
        <v>0</v>
      </c>
      <c r="E29" s="15" t="n">
        <f aca="false">IF($A29="","",SUMIFS(Expenses!$D$5:$D$504,Expenses!$B$5:$B$504,$A29,Expenses!$A$5:$A$504,"&gt;="&amp;DATE(Settings!$B$12,4,1),Expenses!$A$5:$A$504,"&lt;="&amp;EOMONTH(DATE(Settings!$B$12,4,1),0)))</f>
        <v>0</v>
      </c>
      <c r="F29" s="15" t="n">
        <f aca="false">IF($A29="","",SUMIFS(Expenses!$D$5:$D$504,Expenses!$B$5:$B$504,$A29,Expenses!$A$5:$A$504,"&gt;="&amp;DATE(Settings!$B$12,5,1),Expenses!$A$5:$A$504,"&lt;="&amp;EOMONTH(DATE(Settings!$B$12,5,1),0)))</f>
        <v>0</v>
      </c>
      <c r="G29" s="15" t="n">
        <f aca="false">IF($A29="","",SUMIFS(Expenses!$D$5:$D$504,Expenses!$B$5:$B$504,$A29,Expenses!$A$5:$A$504,"&gt;="&amp;DATE(Settings!$B$12,6,1),Expenses!$A$5:$A$504,"&lt;="&amp;EOMONTH(DATE(Settings!$B$12,6,1),0)))</f>
        <v>0</v>
      </c>
      <c r="H29" s="15" t="n">
        <f aca="false">IF($A29="","",SUMIFS(Expenses!$D$5:$D$504,Expenses!$B$5:$B$504,$A29,Expenses!$A$5:$A$504,"&gt;="&amp;DATE(Settings!$B$12,7,1),Expenses!$A$5:$A$504,"&lt;="&amp;EOMONTH(DATE(Settings!$B$12,7,1),0)))</f>
        <v>0</v>
      </c>
      <c r="I29" s="15" t="n">
        <f aca="false">IF($A29="","",SUMIFS(Expenses!$D$5:$D$504,Expenses!$B$5:$B$504,$A29,Expenses!$A$5:$A$504,"&gt;="&amp;DATE(Settings!$B$12,8,1),Expenses!$A$5:$A$504,"&lt;="&amp;EOMONTH(DATE(Settings!$B$12,8,1),0)))</f>
        <v>0</v>
      </c>
      <c r="J29" s="15" t="n">
        <f aca="false">IF($A29="","",SUMIFS(Expenses!$D$5:$D$504,Expenses!$B$5:$B$504,$A29,Expenses!$A$5:$A$504,"&gt;="&amp;DATE(Settings!$B$12,9,1),Expenses!$A$5:$A$504,"&lt;="&amp;EOMONTH(DATE(Settings!$B$12,9,1),0)))</f>
        <v>0</v>
      </c>
      <c r="K29" s="15" t="n">
        <f aca="false">IF($A29="","",SUMIFS(Expenses!$D$5:$D$504,Expenses!$B$5:$B$504,$A29,Expenses!$A$5:$A$504,"&gt;="&amp;DATE(Settings!$B$12,10,1),Expenses!$A$5:$A$504,"&lt;="&amp;EOMONTH(DATE(Settings!$B$12,10,1),0)))</f>
        <v>0</v>
      </c>
      <c r="L29" s="15" t="n">
        <f aca="false">IF($A29="","",SUMIFS(Expenses!$D$5:$D$504,Expenses!$B$5:$B$504,$A29,Expenses!$A$5:$A$504,"&gt;="&amp;DATE(Settings!$B$12,11,1),Expenses!$A$5:$A$504,"&lt;="&amp;EOMONTH(DATE(Settings!$B$12,11,1),0)))</f>
        <v>0</v>
      </c>
      <c r="M29" s="15" t="n">
        <f aca="false">IF($A29="","",SUMIFS(Expenses!$D$5:$D$504,Expenses!$B$5:$B$504,$A29,Expenses!$A$5:$A$504,"&gt;="&amp;DATE(Settings!$B$12,12,1),Expenses!$A$5:$A$504,"&lt;="&amp;EOMONTH(DATE(Settings!$B$12,12,1),0)))</f>
        <v>0</v>
      </c>
      <c r="N29" s="27" t="n">
        <f aca="false">IF($A29="","",SUM(B29:M29))</f>
        <v>0</v>
      </c>
    </row>
    <row r="30" customFormat="false" ht="15" hidden="false" customHeight="false" outlineLevel="0" collapsed="false">
      <c r="A30" s="19" t="str">
        <f aca="false">IF(Settings!$H$14="","",Settings!$H$14)</f>
        <v>Other</v>
      </c>
      <c r="B30" s="15" t="n">
        <f aca="false">IF($A30="","",SUMIFS(Expenses!$D$5:$D$504,Expenses!$B$5:$B$504,$A30,Expenses!$A$5:$A$504,"&gt;="&amp;DATE(Settings!$B$12,1,1),Expenses!$A$5:$A$504,"&lt;="&amp;EOMONTH(DATE(Settings!$B$12,1,1),0)))</f>
        <v>0</v>
      </c>
      <c r="C30" s="15" t="n">
        <f aca="false">IF($A30="","",SUMIFS(Expenses!$D$5:$D$504,Expenses!$B$5:$B$504,$A30,Expenses!$A$5:$A$504,"&gt;="&amp;DATE(Settings!$B$12,2,1),Expenses!$A$5:$A$504,"&lt;="&amp;EOMONTH(DATE(Settings!$B$12,2,1),0)))</f>
        <v>0</v>
      </c>
      <c r="D30" s="15" t="n">
        <f aca="false">IF($A30="","",SUMIFS(Expenses!$D$5:$D$504,Expenses!$B$5:$B$504,$A30,Expenses!$A$5:$A$504,"&gt;="&amp;DATE(Settings!$B$12,3,1),Expenses!$A$5:$A$504,"&lt;="&amp;EOMONTH(DATE(Settings!$B$12,3,1),0)))</f>
        <v>0</v>
      </c>
      <c r="E30" s="15" t="n">
        <f aca="false">IF($A30="","",SUMIFS(Expenses!$D$5:$D$504,Expenses!$B$5:$B$504,$A30,Expenses!$A$5:$A$504,"&gt;="&amp;DATE(Settings!$B$12,4,1),Expenses!$A$5:$A$504,"&lt;="&amp;EOMONTH(DATE(Settings!$B$12,4,1),0)))</f>
        <v>0</v>
      </c>
      <c r="F30" s="15" t="n">
        <f aca="false">IF($A30="","",SUMIFS(Expenses!$D$5:$D$504,Expenses!$B$5:$B$504,$A30,Expenses!$A$5:$A$504,"&gt;="&amp;DATE(Settings!$B$12,5,1),Expenses!$A$5:$A$504,"&lt;="&amp;EOMONTH(DATE(Settings!$B$12,5,1),0)))</f>
        <v>0</v>
      </c>
      <c r="G30" s="15" t="n">
        <f aca="false">IF($A30="","",SUMIFS(Expenses!$D$5:$D$504,Expenses!$B$5:$B$504,$A30,Expenses!$A$5:$A$504,"&gt;="&amp;DATE(Settings!$B$12,6,1),Expenses!$A$5:$A$504,"&lt;="&amp;EOMONTH(DATE(Settings!$B$12,6,1),0)))</f>
        <v>0</v>
      </c>
      <c r="H30" s="15" t="n">
        <f aca="false">IF($A30="","",SUMIFS(Expenses!$D$5:$D$504,Expenses!$B$5:$B$504,$A30,Expenses!$A$5:$A$504,"&gt;="&amp;DATE(Settings!$B$12,7,1),Expenses!$A$5:$A$504,"&lt;="&amp;EOMONTH(DATE(Settings!$B$12,7,1),0)))</f>
        <v>0</v>
      </c>
      <c r="I30" s="15" t="n">
        <f aca="false">IF($A30="","",SUMIFS(Expenses!$D$5:$D$504,Expenses!$B$5:$B$504,$A30,Expenses!$A$5:$A$504,"&gt;="&amp;DATE(Settings!$B$12,8,1),Expenses!$A$5:$A$504,"&lt;="&amp;EOMONTH(DATE(Settings!$B$12,8,1),0)))</f>
        <v>0</v>
      </c>
      <c r="J30" s="15" t="n">
        <f aca="false">IF($A30="","",SUMIFS(Expenses!$D$5:$D$504,Expenses!$B$5:$B$504,$A30,Expenses!$A$5:$A$504,"&gt;="&amp;DATE(Settings!$B$12,9,1),Expenses!$A$5:$A$504,"&lt;="&amp;EOMONTH(DATE(Settings!$B$12,9,1),0)))</f>
        <v>0</v>
      </c>
      <c r="K30" s="15" t="n">
        <f aca="false">IF($A30="","",SUMIFS(Expenses!$D$5:$D$504,Expenses!$B$5:$B$504,$A30,Expenses!$A$5:$A$504,"&gt;="&amp;DATE(Settings!$B$12,10,1),Expenses!$A$5:$A$504,"&lt;="&amp;EOMONTH(DATE(Settings!$B$12,10,1),0)))</f>
        <v>0</v>
      </c>
      <c r="L30" s="15" t="n">
        <f aca="false">IF($A30="","",SUMIFS(Expenses!$D$5:$D$504,Expenses!$B$5:$B$504,$A30,Expenses!$A$5:$A$504,"&gt;="&amp;DATE(Settings!$B$12,11,1),Expenses!$A$5:$A$504,"&lt;="&amp;EOMONTH(DATE(Settings!$B$12,11,1),0)))</f>
        <v>0</v>
      </c>
      <c r="M30" s="15" t="n">
        <f aca="false">IF($A30="","",SUMIFS(Expenses!$D$5:$D$504,Expenses!$B$5:$B$504,$A30,Expenses!$A$5:$A$504,"&gt;="&amp;DATE(Settings!$B$12,12,1),Expenses!$A$5:$A$504,"&lt;="&amp;EOMONTH(DATE(Settings!$B$12,12,1),0)))</f>
        <v>0</v>
      </c>
      <c r="N30" s="27" t="n">
        <f aca="false">IF($A30="","",SUM(B30:M30))</f>
        <v>0</v>
      </c>
    </row>
    <row r="31" customFormat="false" ht="15" hidden="false" customHeight="false" outlineLevel="0" collapsed="false">
      <c r="A31" s="19" t="str">
        <f aca="false">IF(Settings!$H$15="","",Settings!$H$15)</f>
        <v/>
      </c>
      <c r="B31" s="15" t="str">
        <f aca="false">IF($A31="","",SUMIFS(Expenses!$D$5:$D$504,Expenses!$B$5:$B$504,$A31,Expenses!$A$5:$A$504,"&gt;="&amp;DATE(Settings!$B$12,1,1),Expenses!$A$5:$A$504,"&lt;="&amp;EOMONTH(DATE(Settings!$B$12,1,1),0)))</f>
        <v/>
      </c>
      <c r="C31" s="15" t="str">
        <f aca="false">IF($A31="","",SUMIFS(Expenses!$D$5:$D$504,Expenses!$B$5:$B$504,$A31,Expenses!$A$5:$A$504,"&gt;="&amp;DATE(Settings!$B$12,2,1),Expenses!$A$5:$A$504,"&lt;="&amp;EOMONTH(DATE(Settings!$B$12,2,1),0)))</f>
        <v/>
      </c>
      <c r="D31" s="15" t="str">
        <f aca="false">IF($A31="","",SUMIFS(Expenses!$D$5:$D$504,Expenses!$B$5:$B$504,$A31,Expenses!$A$5:$A$504,"&gt;="&amp;DATE(Settings!$B$12,3,1),Expenses!$A$5:$A$504,"&lt;="&amp;EOMONTH(DATE(Settings!$B$12,3,1),0)))</f>
        <v/>
      </c>
      <c r="E31" s="15" t="str">
        <f aca="false">IF($A31="","",SUMIFS(Expenses!$D$5:$D$504,Expenses!$B$5:$B$504,$A31,Expenses!$A$5:$A$504,"&gt;="&amp;DATE(Settings!$B$12,4,1),Expenses!$A$5:$A$504,"&lt;="&amp;EOMONTH(DATE(Settings!$B$12,4,1),0)))</f>
        <v/>
      </c>
      <c r="F31" s="15" t="str">
        <f aca="false">IF($A31="","",SUMIFS(Expenses!$D$5:$D$504,Expenses!$B$5:$B$504,$A31,Expenses!$A$5:$A$504,"&gt;="&amp;DATE(Settings!$B$12,5,1),Expenses!$A$5:$A$504,"&lt;="&amp;EOMONTH(DATE(Settings!$B$12,5,1),0)))</f>
        <v/>
      </c>
      <c r="G31" s="15" t="str">
        <f aca="false">IF($A31="","",SUMIFS(Expenses!$D$5:$D$504,Expenses!$B$5:$B$504,$A31,Expenses!$A$5:$A$504,"&gt;="&amp;DATE(Settings!$B$12,6,1),Expenses!$A$5:$A$504,"&lt;="&amp;EOMONTH(DATE(Settings!$B$12,6,1),0)))</f>
        <v/>
      </c>
      <c r="H31" s="15" t="str">
        <f aca="false">IF($A31="","",SUMIFS(Expenses!$D$5:$D$504,Expenses!$B$5:$B$504,$A31,Expenses!$A$5:$A$504,"&gt;="&amp;DATE(Settings!$B$12,7,1),Expenses!$A$5:$A$504,"&lt;="&amp;EOMONTH(DATE(Settings!$B$12,7,1),0)))</f>
        <v/>
      </c>
      <c r="I31" s="15" t="str">
        <f aca="false">IF($A31="","",SUMIFS(Expenses!$D$5:$D$504,Expenses!$B$5:$B$504,$A31,Expenses!$A$5:$A$504,"&gt;="&amp;DATE(Settings!$B$12,8,1),Expenses!$A$5:$A$504,"&lt;="&amp;EOMONTH(DATE(Settings!$B$12,8,1),0)))</f>
        <v/>
      </c>
      <c r="J31" s="15" t="str">
        <f aca="false">IF($A31="","",SUMIFS(Expenses!$D$5:$D$504,Expenses!$B$5:$B$504,$A31,Expenses!$A$5:$A$504,"&gt;="&amp;DATE(Settings!$B$12,9,1),Expenses!$A$5:$A$504,"&lt;="&amp;EOMONTH(DATE(Settings!$B$12,9,1),0)))</f>
        <v/>
      </c>
      <c r="K31" s="15" t="str">
        <f aca="false">IF($A31="","",SUMIFS(Expenses!$D$5:$D$504,Expenses!$B$5:$B$504,$A31,Expenses!$A$5:$A$504,"&gt;="&amp;DATE(Settings!$B$12,10,1),Expenses!$A$5:$A$504,"&lt;="&amp;EOMONTH(DATE(Settings!$B$12,10,1),0)))</f>
        <v/>
      </c>
      <c r="L31" s="15" t="str">
        <f aca="false">IF($A31="","",SUMIFS(Expenses!$D$5:$D$504,Expenses!$B$5:$B$504,$A31,Expenses!$A$5:$A$504,"&gt;="&amp;DATE(Settings!$B$12,11,1),Expenses!$A$5:$A$504,"&lt;="&amp;EOMONTH(DATE(Settings!$B$12,11,1),0)))</f>
        <v/>
      </c>
      <c r="M31" s="15" t="str">
        <f aca="false">IF($A31="","",SUMIFS(Expenses!$D$5:$D$504,Expenses!$B$5:$B$504,$A31,Expenses!$A$5:$A$504,"&gt;="&amp;DATE(Settings!$B$12,12,1),Expenses!$A$5:$A$504,"&lt;="&amp;EOMONTH(DATE(Settings!$B$12,12,1),0)))</f>
        <v/>
      </c>
      <c r="N31" s="27" t="str">
        <f aca="false">IF($A31="","",SUM(B31:M31))</f>
        <v/>
      </c>
    </row>
    <row r="32" customFormat="false" ht="15" hidden="false" customHeight="false" outlineLevel="0" collapsed="false">
      <c r="A32" s="19" t="str">
        <f aca="false">IF(Settings!$H$16="","",Settings!$H$16)</f>
        <v/>
      </c>
      <c r="B32" s="15" t="str">
        <f aca="false">IF($A32="","",SUMIFS(Expenses!$D$5:$D$504,Expenses!$B$5:$B$504,$A32,Expenses!$A$5:$A$504,"&gt;="&amp;DATE(Settings!$B$12,1,1),Expenses!$A$5:$A$504,"&lt;="&amp;EOMONTH(DATE(Settings!$B$12,1,1),0)))</f>
        <v/>
      </c>
      <c r="C32" s="15" t="str">
        <f aca="false">IF($A32="","",SUMIFS(Expenses!$D$5:$D$504,Expenses!$B$5:$B$504,$A32,Expenses!$A$5:$A$504,"&gt;="&amp;DATE(Settings!$B$12,2,1),Expenses!$A$5:$A$504,"&lt;="&amp;EOMONTH(DATE(Settings!$B$12,2,1),0)))</f>
        <v/>
      </c>
      <c r="D32" s="15" t="str">
        <f aca="false">IF($A32="","",SUMIFS(Expenses!$D$5:$D$504,Expenses!$B$5:$B$504,$A32,Expenses!$A$5:$A$504,"&gt;="&amp;DATE(Settings!$B$12,3,1),Expenses!$A$5:$A$504,"&lt;="&amp;EOMONTH(DATE(Settings!$B$12,3,1),0)))</f>
        <v/>
      </c>
      <c r="E32" s="15" t="str">
        <f aca="false">IF($A32="","",SUMIFS(Expenses!$D$5:$D$504,Expenses!$B$5:$B$504,$A32,Expenses!$A$5:$A$504,"&gt;="&amp;DATE(Settings!$B$12,4,1),Expenses!$A$5:$A$504,"&lt;="&amp;EOMONTH(DATE(Settings!$B$12,4,1),0)))</f>
        <v/>
      </c>
      <c r="F32" s="15" t="str">
        <f aca="false">IF($A32="","",SUMIFS(Expenses!$D$5:$D$504,Expenses!$B$5:$B$504,$A32,Expenses!$A$5:$A$504,"&gt;="&amp;DATE(Settings!$B$12,5,1),Expenses!$A$5:$A$504,"&lt;="&amp;EOMONTH(DATE(Settings!$B$12,5,1),0)))</f>
        <v/>
      </c>
      <c r="G32" s="15" t="str">
        <f aca="false">IF($A32="","",SUMIFS(Expenses!$D$5:$D$504,Expenses!$B$5:$B$504,$A32,Expenses!$A$5:$A$504,"&gt;="&amp;DATE(Settings!$B$12,6,1),Expenses!$A$5:$A$504,"&lt;="&amp;EOMONTH(DATE(Settings!$B$12,6,1),0)))</f>
        <v/>
      </c>
      <c r="H32" s="15" t="str">
        <f aca="false">IF($A32="","",SUMIFS(Expenses!$D$5:$D$504,Expenses!$B$5:$B$504,$A32,Expenses!$A$5:$A$504,"&gt;="&amp;DATE(Settings!$B$12,7,1),Expenses!$A$5:$A$504,"&lt;="&amp;EOMONTH(DATE(Settings!$B$12,7,1),0)))</f>
        <v/>
      </c>
      <c r="I32" s="15" t="str">
        <f aca="false">IF($A32="","",SUMIFS(Expenses!$D$5:$D$504,Expenses!$B$5:$B$504,$A32,Expenses!$A$5:$A$504,"&gt;="&amp;DATE(Settings!$B$12,8,1),Expenses!$A$5:$A$504,"&lt;="&amp;EOMONTH(DATE(Settings!$B$12,8,1),0)))</f>
        <v/>
      </c>
      <c r="J32" s="15" t="str">
        <f aca="false">IF($A32="","",SUMIFS(Expenses!$D$5:$D$504,Expenses!$B$5:$B$504,$A32,Expenses!$A$5:$A$504,"&gt;="&amp;DATE(Settings!$B$12,9,1),Expenses!$A$5:$A$504,"&lt;="&amp;EOMONTH(DATE(Settings!$B$12,9,1),0)))</f>
        <v/>
      </c>
      <c r="K32" s="15" t="str">
        <f aca="false">IF($A32="","",SUMIFS(Expenses!$D$5:$D$504,Expenses!$B$5:$B$504,$A32,Expenses!$A$5:$A$504,"&gt;="&amp;DATE(Settings!$B$12,10,1),Expenses!$A$5:$A$504,"&lt;="&amp;EOMONTH(DATE(Settings!$B$12,10,1),0)))</f>
        <v/>
      </c>
      <c r="L32" s="15" t="str">
        <f aca="false">IF($A32="","",SUMIFS(Expenses!$D$5:$D$504,Expenses!$B$5:$B$504,$A32,Expenses!$A$5:$A$504,"&gt;="&amp;DATE(Settings!$B$12,11,1),Expenses!$A$5:$A$504,"&lt;="&amp;EOMONTH(DATE(Settings!$B$12,11,1),0)))</f>
        <v/>
      </c>
      <c r="M32" s="15" t="str">
        <f aca="false">IF($A32="","",SUMIFS(Expenses!$D$5:$D$504,Expenses!$B$5:$B$504,$A32,Expenses!$A$5:$A$504,"&gt;="&amp;DATE(Settings!$B$12,12,1),Expenses!$A$5:$A$504,"&lt;="&amp;EOMONTH(DATE(Settings!$B$12,12,1),0)))</f>
        <v/>
      </c>
      <c r="N32" s="27" t="str">
        <f aca="false">IF($A32="","",SUM(B32:M32))</f>
        <v/>
      </c>
    </row>
    <row r="33" customFormat="false" ht="15" hidden="false" customHeight="false" outlineLevel="0" collapsed="false">
      <c r="A33" s="19" t="str">
        <f aca="false">IF(Settings!$H$17="","",Settings!$H$17)</f>
        <v/>
      </c>
      <c r="B33" s="15" t="str">
        <f aca="false">IF($A33="","",SUMIFS(Expenses!$D$5:$D$504,Expenses!$B$5:$B$504,$A33,Expenses!$A$5:$A$504,"&gt;="&amp;DATE(Settings!$B$12,1,1),Expenses!$A$5:$A$504,"&lt;="&amp;EOMONTH(DATE(Settings!$B$12,1,1),0)))</f>
        <v/>
      </c>
      <c r="C33" s="15" t="str">
        <f aca="false">IF($A33="","",SUMIFS(Expenses!$D$5:$D$504,Expenses!$B$5:$B$504,$A33,Expenses!$A$5:$A$504,"&gt;="&amp;DATE(Settings!$B$12,2,1),Expenses!$A$5:$A$504,"&lt;="&amp;EOMONTH(DATE(Settings!$B$12,2,1),0)))</f>
        <v/>
      </c>
      <c r="D33" s="15" t="str">
        <f aca="false">IF($A33="","",SUMIFS(Expenses!$D$5:$D$504,Expenses!$B$5:$B$504,$A33,Expenses!$A$5:$A$504,"&gt;="&amp;DATE(Settings!$B$12,3,1),Expenses!$A$5:$A$504,"&lt;="&amp;EOMONTH(DATE(Settings!$B$12,3,1),0)))</f>
        <v/>
      </c>
      <c r="E33" s="15" t="str">
        <f aca="false">IF($A33="","",SUMIFS(Expenses!$D$5:$D$504,Expenses!$B$5:$B$504,$A33,Expenses!$A$5:$A$504,"&gt;="&amp;DATE(Settings!$B$12,4,1),Expenses!$A$5:$A$504,"&lt;="&amp;EOMONTH(DATE(Settings!$B$12,4,1),0)))</f>
        <v/>
      </c>
      <c r="F33" s="15" t="str">
        <f aca="false">IF($A33="","",SUMIFS(Expenses!$D$5:$D$504,Expenses!$B$5:$B$504,$A33,Expenses!$A$5:$A$504,"&gt;="&amp;DATE(Settings!$B$12,5,1),Expenses!$A$5:$A$504,"&lt;="&amp;EOMONTH(DATE(Settings!$B$12,5,1),0)))</f>
        <v/>
      </c>
      <c r="G33" s="15" t="str">
        <f aca="false">IF($A33="","",SUMIFS(Expenses!$D$5:$D$504,Expenses!$B$5:$B$504,$A33,Expenses!$A$5:$A$504,"&gt;="&amp;DATE(Settings!$B$12,6,1),Expenses!$A$5:$A$504,"&lt;="&amp;EOMONTH(DATE(Settings!$B$12,6,1),0)))</f>
        <v/>
      </c>
      <c r="H33" s="15" t="str">
        <f aca="false">IF($A33="","",SUMIFS(Expenses!$D$5:$D$504,Expenses!$B$5:$B$504,$A33,Expenses!$A$5:$A$504,"&gt;="&amp;DATE(Settings!$B$12,7,1),Expenses!$A$5:$A$504,"&lt;="&amp;EOMONTH(DATE(Settings!$B$12,7,1),0)))</f>
        <v/>
      </c>
      <c r="I33" s="15" t="str">
        <f aca="false">IF($A33="","",SUMIFS(Expenses!$D$5:$D$504,Expenses!$B$5:$B$504,$A33,Expenses!$A$5:$A$504,"&gt;="&amp;DATE(Settings!$B$12,8,1),Expenses!$A$5:$A$504,"&lt;="&amp;EOMONTH(DATE(Settings!$B$12,8,1),0)))</f>
        <v/>
      </c>
      <c r="J33" s="15" t="str">
        <f aca="false">IF($A33="","",SUMIFS(Expenses!$D$5:$D$504,Expenses!$B$5:$B$504,$A33,Expenses!$A$5:$A$504,"&gt;="&amp;DATE(Settings!$B$12,9,1),Expenses!$A$5:$A$504,"&lt;="&amp;EOMONTH(DATE(Settings!$B$12,9,1),0)))</f>
        <v/>
      </c>
      <c r="K33" s="15" t="str">
        <f aca="false">IF($A33="","",SUMIFS(Expenses!$D$5:$D$504,Expenses!$B$5:$B$504,$A33,Expenses!$A$5:$A$504,"&gt;="&amp;DATE(Settings!$B$12,10,1),Expenses!$A$5:$A$504,"&lt;="&amp;EOMONTH(DATE(Settings!$B$12,10,1),0)))</f>
        <v/>
      </c>
      <c r="L33" s="15" t="str">
        <f aca="false">IF($A33="","",SUMIFS(Expenses!$D$5:$D$504,Expenses!$B$5:$B$504,$A33,Expenses!$A$5:$A$504,"&gt;="&amp;DATE(Settings!$B$12,11,1),Expenses!$A$5:$A$504,"&lt;="&amp;EOMONTH(DATE(Settings!$B$12,11,1),0)))</f>
        <v/>
      </c>
      <c r="M33" s="15" t="str">
        <f aca="false">IF($A33="","",SUMIFS(Expenses!$D$5:$D$504,Expenses!$B$5:$B$504,$A33,Expenses!$A$5:$A$504,"&gt;="&amp;DATE(Settings!$B$12,12,1),Expenses!$A$5:$A$504,"&lt;="&amp;EOMONTH(DATE(Settings!$B$12,12,1),0)))</f>
        <v/>
      </c>
      <c r="N33" s="27" t="str">
        <f aca="false">IF($A33="","",SUM(B33:M33))</f>
        <v/>
      </c>
    </row>
    <row r="34" customFormat="false" ht="15" hidden="false" customHeight="false" outlineLevel="0" collapsed="false">
      <c r="A34" s="19" t="str">
        <f aca="false">IF(Settings!$H$18="","",Settings!$H$18)</f>
        <v/>
      </c>
      <c r="B34" s="15" t="str">
        <f aca="false">IF($A34="","",SUMIFS(Expenses!$D$5:$D$504,Expenses!$B$5:$B$504,$A34,Expenses!$A$5:$A$504,"&gt;="&amp;DATE(Settings!$B$12,1,1),Expenses!$A$5:$A$504,"&lt;="&amp;EOMONTH(DATE(Settings!$B$12,1,1),0)))</f>
        <v/>
      </c>
      <c r="C34" s="15" t="str">
        <f aca="false">IF($A34="","",SUMIFS(Expenses!$D$5:$D$504,Expenses!$B$5:$B$504,$A34,Expenses!$A$5:$A$504,"&gt;="&amp;DATE(Settings!$B$12,2,1),Expenses!$A$5:$A$504,"&lt;="&amp;EOMONTH(DATE(Settings!$B$12,2,1),0)))</f>
        <v/>
      </c>
      <c r="D34" s="15" t="str">
        <f aca="false">IF($A34="","",SUMIFS(Expenses!$D$5:$D$504,Expenses!$B$5:$B$504,$A34,Expenses!$A$5:$A$504,"&gt;="&amp;DATE(Settings!$B$12,3,1),Expenses!$A$5:$A$504,"&lt;="&amp;EOMONTH(DATE(Settings!$B$12,3,1),0)))</f>
        <v/>
      </c>
      <c r="E34" s="15" t="str">
        <f aca="false">IF($A34="","",SUMIFS(Expenses!$D$5:$D$504,Expenses!$B$5:$B$504,$A34,Expenses!$A$5:$A$504,"&gt;="&amp;DATE(Settings!$B$12,4,1),Expenses!$A$5:$A$504,"&lt;="&amp;EOMONTH(DATE(Settings!$B$12,4,1),0)))</f>
        <v/>
      </c>
      <c r="F34" s="15" t="str">
        <f aca="false">IF($A34="","",SUMIFS(Expenses!$D$5:$D$504,Expenses!$B$5:$B$504,$A34,Expenses!$A$5:$A$504,"&gt;="&amp;DATE(Settings!$B$12,5,1),Expenses!$A$5:$A$504,"&lt;="&amp;EOMONTH(DATE(Settings!$B$12,5,1),0)))</f>
        <v/>
      </c>
      <c r="G34" s="15" t="str">
        <f aca="false">IF($A34="","",SUMIFS(Expenses!$D$5:$D$504,Expenses!$B$5:$B$504,$A34,Expenses!$A$5:$A$504,"&gt;="&amp;DATE(Settings!$B$12,6,1),Expenses!$A$5:$A$504,"&lt;="&amp;EOMONTH(DATE(Settings!$B$12,6,1),0)))</f>
        <v/>
      </c>
      <c r="H34" s="15" t="str">
        <f aca="false">IF($A34="","",SUMIFS(Expenses!$D$5:$D$504,Expenses!$B$5:$B$504,$A34,Expenses!$A$5:$A$504,"&gt;="&amp;DATE(Settings!$B$12,7,1),Expenses!$A$5:$A$504,"&lt;="&amp;EOMONTH(DATE(Settings!$B$12,7,1),0)))</f>
        <v/>
      </c>
      <c r="I34" s="15" t="str">
        <f aca="false">IF($A34="","",SUMIFS(Expenses!$D$5:$D$504,Expenses!$B$5:$B$504,$A34,Expenses!$A$5:$A$504,"&gt;="&amp;DATE(Settings!$B$12,8,1),Expenses!$A$5:$A$504,"&lt;="&amp;EOMONTH(DATE(Settings!$B$12,8,1),0)))</f>
        <v/>
      </c>
      <c r="J34" s="15" t="str">
        <f aca="false">IF($A34="","",SUMIFS(Expenses!$D$5:$D$504,Expenses!$B$5:$B$504,$A34,Expenses!$A$5:$A$504,"&gt;="&amp;DATE(Settings!$B$12,9,1),Expenses!$A$5:$A$504,"&lt;="&amp;EOMONTH(DATE(Settings!$B$12,9,1),0)))</f>
        <v/>
      </c>
      <c r="K34" s="15" t="str">
        <f aca="false">IF($A34="","",SUMIFS(Expenses!$D$5:$D$504,Expenses!$B$5:$B$504,$A34,Expenses!$A$5:$A$504,"&gt;="&amp;DATE(Settings!$B$12,10,1),Expenses!$A$5:$A$504,"&lt;="&amp;EOMONTH(DATE(Settings!$B$12,10,1),0)))</f>
        <v/>
      </c>
      <c r="L34" s="15" t="str">
        <f aca="false">IF($A34="","",SUMIFS(Expenses!$D$5:$D$504,Expenses!$B$5:$B$504,$A34,Expenses!$A$5:$A$504,"&gt;="&amp;DATE(Settings!$B$12,11,1),Expenses!$A$5:$A$504,"&lt;="&amp;EOMONTH(DATE(Settings!$B$12,11,1),0)))</f>
        <v/>
      </c>
      <c r="M34" s="15" t="str">
        <f aca="false">IF($A34="","",SUMIFS(Expenses!$D$5:$D$504,Expenses!$B$5:$B$504,$A34,Expenses!$A$5:$A$504,"&gt;="&amp;DATE(Settings!$B$12,12,1),Expenses!$A$5:$A$504,"&lt;="&amp;EOMONTH(DATE(Settings!$B$12,12,1),0)))</f>
        <v/>
      </c>
      <c r="N34" s="27" t="str">
        <f aca="false">IF($A34="","",SUM(B34:M34))</f>
        <v/>
      </c>
    </row>
    <row r="35" customFormat="false" ht="15" hidden="false" customHeight="false" outlineLevel="0" collapsed="false">
      <c r="A35" s="19" t="str">
        <f aca="false">IF(Settings!$H$19="","",Settings!$H$19)</f>
        <v/>
      </c>
      <c r="B35" s="15" t="str">
        <f aca="false">IF($A35="","",SUMIFS(Expenses!$D$5:$D$504,Expenses!$B$5:$B$504,$A35,Expenses!$A$5:$A$504,"&gt;="&amp;DATE(Settings!$B$12,1,1),Expenses!$A$5:$A$504,"&lt;="&amp;EOMONTH(DATE(Settings!$B$12,1,1),0)))</f>
        <v/>
      </c>
      <c r="C35" s="15" t="str">
        <f aca="false">IF($A35="","",SUMIFS(Expenses!$D$5:$D$504,Expenses!$B$5:$B$504,$A35,Expenses!$A$5:$A$504,"&gt;="&amp;DATE(Settings!$B$12,2,1),Expenses!$A$5:$A$504,"&lt;="&amp;EOMONTH(DATE(Settings!$B$12,2,1),0)))</f>
        <v/>
      </c>
      <c r="D35" s="15" t="str">
        <f aca="false">IF($A35="","",SUMIFS(Expenses!$D$5:$D$504,Expenses!$B$5:$B$504,$A35,Expenses!$A$5:$A$504,"&gt;="&amp;DATE(Settings!$B$12,3,1),Expenses!$A$5:$A$504,"&lt;="&amp;EOMONTH(DATE(Settings!$B$12,3,1),0)))</f>
        <v/>
      </c>
      <c r="E35" s="15" t="str">
        <f aca="false">IF($A35="","",SUMIFS(Expenses!$D$5:$D$504,Expenses!$B$5:$B$504,$A35,Expenses!$A$5:$A$504,"&gt;="&amp;DATE(Settings!$B$12,4,1),Expenses!$A$5:$A$504,"&lt;="&amp;EOMONTH(DATE(Settings!$B$12,4,1),0)))</f>
        <v/>
      </c>
      <c r="F35" s="15" t="str">
        <f aca="false">IF($A35="","",SUMIFS(Expenses!$D$5:$D$504,Expenses!$B$5:$B$504,$A35,Expenses!$A$5:$A$504,"&gt;="&amp;DATE(Settings!$B$12,5,1),Expenses!$A$5:$A$504,"&lt;="&amp;EOMONTH(DATE(Settings!$B$12,5,1),0)))</f>
        <v/>
      </c>
      <c r="G35" s="15" t="str">
        <f aca="false">IF($A35="","",SUMIFS(Expenses!$D$5:$D$504,Expenses!$B$5:$B$504,$A35,Expenses!$A$5:$A$504,"&gt;="&amp;DATE(Settings!$B$12,6,1),Expenses!$A$5:$A$504,"&lt;="&amp;EOMONTH(DATE(Settings!$B$12,6,1),0)))</f>
        <v/>
      </c>
      <c r="H35" s="15" t="str">
        <f aca="false">IF($A35="","",SUMIFS(Expenses!$D$5:$D$504,Expenses!$B$5:$B$504,$A35,Expenses!$A$5:$A$504,"&gt;="&amp;DATE(Settings!$B$12,7,1),Expenses!$A$5:$A$504,"&lt;="&amp;EOMONTH(DATE(Settings!$B$12,7,1),0)))</f>
        <v/>
      </c>
      <c r="I35" s="15" t="str">
        <f aca="false">IF($A35="","",SUMIFS(Expenses!$D$5:$D$504,Expenses!$B$5:$B$504,$A35,Expenses!$A$5:$A$504,"&gt;="&amp;DATE(Settings!$B$12,8,1),Expenses!$A$5:$A$504,"&lt;="&amp;EOMONTH(DATE(Settings!$B$12,8,1),0)))</f>
        <v/>
      </c>
      <c r="J35" s="15" t="str">
        <f aca="false">IF($A35="","",SUMIFS(Expenses!$D$5:$D$504,Expenses!$B$5:$B$504,$A35,Expenses!$A$5:$A$504,"&gt;="&amp;DATE(Settings!$B$12,9,1),Expenses!$A$5:$A$504,"&lt;="&amp;EOMONTH(DATE(Settings!$B$12,9,1),0)))</f>
        <v/>
      </c>
      <c r="K35" s="15" t="str">
        <f aca="false">IF($A35="","",SUMIFS(Expenses!$D$5:$D$504,Expenses!$B$5:$B$504,$A35,Expenses!$A$5:$A$504,"&gt;="&amp;DATE(Settings!$B$12,10,1),Expenses!$A$5:$A$504,"&lt;="&amp;EOMONTH(DATE(Settings!$B$12,10,1),0)))</f>
        <v/>
      </c>
      <c r="L35" s="15" t="str">
        <f aca="false">IF($A35="","",SUMIFS(Expenses!$D$5:$D$504,Expenses!$B$5:$B$504,$A35,Expenses!$A$5:$A$504,"&gt;="&amp;DATE(Settings!$B$12,11,1),Expenses!$A$5:$A$504,"&lt;="&amp;EOMONTH(DATE(Settings!$B$12,11,1),0)))</f>
        <v/>
      </c>
      <c r="M35" s="15" t="str">
        <f aca="false">IF($A35="","",SUMIFS(Expenses!$D$5:$D$504,Expenses!$B$5:$B$504,$A35,Expenses!$A$5:$A$504,"&gt;="&amp;DATE(Settings!$B$12,12,1),Expenses!$A$5:$A$504,"&lt;="&amp;EOMONTH(DATE(Settings!$B$12,12,1),0)))</f>
        <v/>
      </c>
      <c r="N35" s="27" t="str">
        <f aca="false">IF($A35="","",SUM(B35:M35))</f>
        <v/>
      </c>
    </row>
    <row r="36" customFormat="false" ht="15" hidden="false" customHeight="false" outlineLevel="0" collapsed="false">
      <c r="A36" s="25" t="s">
        <v>224</v>
      </c>
      <c r="B36" s="27" t="n">
        <f aca="false">SUM(B21:B35)</f>
        <v>0</v>
      </c>
      <c r="C36" s="27" t="n">
        <f aca="false">SUM(C21:C35)</f>
        <v>0</v>
      </c>
      <c r="D36" s="27" t="n">
        <f aca="false">SUM(D21:D35)</f>
        <v>0</v>
      </c>
      <c r="E36" s="27" t="n">
        <f aca="false">SUM(E21:E35)</f>
        <v>0</v>
      </c>
      <c r="F36" s="27" t="n">
        <f aca="false">SUM(F21:F35)</f>
        <v>0</v>
      </c>
      <c r="G36" s="27" t="n">
        <f aca="false">SUM(G21:G35)</f>
        <v>0</v>
      </c>
      <c r="H36" s="27" t="n">
        <f aca="false">SUM(H21:H35)</f>
        <v>483.14</v>
      </c>
      <c r="I36" s="27" t="n">
        <f aca="false">SUM(I21:I35)</f>
        <v>569.2</v>
      </c>
      <c r="J36" s="27" t="n">
        <f aca="false">SUM(J21:J35)</f>
        <v>246.35</v>
      </c>
      <c r="K36" s="27" t="n">
        <f aca="false">SUM(K21:K35)</f>
        <v>0</v>
      </c>
      <c r="L36" s="27" t="n">
        <f aca="false">SUM(L21:L35)</f>
        <v>0</v>
      </c>
      <c r="M36" s="27" t="n">
        <f aca="false">SUM(M21:M35)</f>
        <v>0</v>
      </c>
      <c r="N36" s="27" t="n">
        <f aca="false">SUM(N21:N35)</f>
        <v>1298.69</v>
      </c>
    </row>
    <row r="37" customFormat="false" ht="15" hidden="false" customHeight="false" outlineLevel="0" collapsed="false">
      <c r="A37" s="2" t="s">
        <v>225</v>
      </c>
    </row>
  </sheetData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2026-10-02T14:30:59Z</dcterms:created>
  <dc:creator>Template Studio</dc:creator>
  <dc:description/>
  <dc:language>en-US</dc:language>
  <cp:lastModifiedBy/>
  <dcterms:modified xsi:type="dcterms:W3CDTF">2026-10-02T14:30:59Z</dcterms:modified>
  <cp:revision>0</cp:revision>
  <dc:subject/>
  <dc:title>Cleaning Business System</dc:title>
</cp:coreProperties>
</file>